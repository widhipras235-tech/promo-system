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470" tabRatio="899" firstSheet="13" activeTab="17"/>
  </bookViews>
  <sheets>
    <sheet name="2019 NEVADA D90" sheetId="16" r:id="rId1"/>
    <sheet name="2020 2021 ST YVES D90" sheetId="17" r:id="rId2"/>
    <sheet name="2020 2021 CONNEXION D90" sheetId="15" r:id="rId3"/>
    <sheet name="2022 ALL D90" sheetId="14" r:id="rId4"/>
    <sheet name="2023 CONNEXION ALL SHEET D90" sheetId="32" r:id="rId5"/>
    <sheet name="2023 H1 H2 ALL D90" sheetId="11" r:id="rId6"/>
    <sheet name="2024 CONNEXION ALL SHEET D70" sheetId="33" r:id="rId7"/>
    <sheet name="2024 DISNEY TOWEL ALL D70" sheetId="27" r:id="rId8"/>
    <sheet name="2024 H2 JAMAS D70" sheetId="28" r:id="rId9"/>
    <sheet name="2024 CNX DISCONTINUE D50" sheetId="34" r:id="rId10"/>
    <sheet name="2024 SPORTTWL REG B1D20 B2G1" sheetId="26" r:id="rId11"/>
    <sheet name="2024 CONNEXION REG B1D20 B2G1" sheetId="25" r:id="rId12"/>
    <sheet name="2025 H2 TOWEL B1D20 B2G1" sheetId="29" r:id="rId13"/>
    <sheet name="2025 BLANKET POLOS B1SP79K" sheetId="30" r:id="rId14"/>
    <sheet name="2025 BLANKET SALUR B1SP99" sheetId="35" r:id="rId15"/>
    <sheet name="2025 PILBOL COVER B1SP59K" sheetId="36" r:id="rId16"/>
    <sheet name="2025 SHEETS B1DP159K" sheetId="37" r:id="rId17"/>
    <sheet name="2025 SHEETS B1DP199K" sheetId="38" r:id="rId18"/>
  </sheets>
  <definedNames>
    <definedName name="_xlnm._FilterDatabase" localSheetId="11" hidden="1">'2024 CONNEXION REG B1D20 B2G1'!$A$1:$P$19</definedName>
    <definedName name="_xlnm._FilterDatabase" localSheetId="13" hidden="1">'2025 BLANKET POLOS B1SP79K'!$A$1:$P$2</definedName>
    <definedName name="_xlnm._FilterDatabase" localSheetId="14" hidden="1">'2025 BLANKET SALUR B1SP99'!$A$1:$P$2</definedName>
    <definedName name="_xlnm._FilterDatabase" localSheetId="15" hidden="1">'2025 PILBOL COVER B1SP59K'!$A$1:$P$9</definedName>
    <definedName name="_xlnm._FilterDatabase" localSheetId="16" hidden="1">'2025 SHEETS B1DP159K'!$A$1:$P$5</definedName>
    <definedName name="_xlnm._FilterDatabase" localSheetId="17" hidden="1">'2025 SHEETS B1DP199K'!$A$1:$P$9</definedName>
    <definedName name="_xlnm._FilterDatabase" localSheetId="0" hidden="1">'2019 NEVADA D90'!$A$1:$P$1</definedName>
    <definedName name="_xlnm._FilterDatabase" localSheetId="2" hidden="1">'2020 2021 CONNEXION D90'!$A$1:$P$7</definedName>
    <definedName name="_xlnm._FilterDatabase" localSheetId="1" hidden="1">'2020 2021 ST YVES D90'!$A$1:$P$16</definedName>
    <definedName name="_xlnm._FilterDatabase" localSheetId="3" hidden="1">'2022 ALL D90'!$A$1:$P$1</definedName>
    <definedName name="_xlnm._FilterDatabase" localSheetId="5" hidden="1">'2023 H1 H2 ALL D90'!$A$1:$P$1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<sst xmlns="http://schemas.openxmlformats.org/spreadsheetml/2006/main" count="1468" uniqueCount="415">
  <si>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</si>
  <si>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</si>
  <si>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</si>
  <si>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</si>
  <si>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</si>
  <si>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</si>
  <si>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</si>
  <si>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</si>
  <si>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</si>
  <si>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</si>
  <si>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</si>
  <si>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</si>
  <si>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</si>
  <si>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</si>
  <si>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</si>
  <si>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</si>
  <si>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2019 NEVADA D90</t>
  </si>
  <si>
    <t>NEVADA</t>
  </si>
  <si>
    <t>MAT-EMB</t>
  </si>
  <si>
    <t>MAT MP COTTON EMBOSSED 1000 GR / M2:ASSORTIVE COLOR:F</t>
  </si>
  <si>
    <t>PERCENTAGE</t>
  </si>
  <si>
    <t>SHAPELY</t>
  </si>
  <si>
    <t>BATH TOWEL DOBBY PD 360 GR/M2 70X135 CM:ASSORTIVE COLO:F</t>
  </si>
  <si>
    <t>REMAIN</t>
  </si>
  <si>
    <t>BATH TOWEL DOBBY PD 400 GRAM</t>
  </si>
  <si>
    <t>LRCALUNG</t>
  </si>
  <si>
    <t>BATH TOWEL JACQ PD 400 GR/M2</t>
  </si>
  <si>
    <t>MPMDS028</t>
  </si>
  <si>
    <t>BATH TOWEL DOBBY PD 360 GR/M2</t>
  </si>
  <si>
    <t>MPMDS031</t>
  </si>
  <si>
    <t>MPMDS030</t>
  </si>
  <si>
    <t>2020 2021 ST YVES D90</t>
  </si>
  <si>
    <t>ST YVES</t>
  </si>
  <si>
    <t>SYFLAD-GY</t>
  </si>
  <si>
    <t>BATH TOWEL DOBBY PD 450 GR/M2:FROST GREY:F</t>
  </si>
  <si>
    <t>SYFLAD-BL</t>
  </si>
  <si>
    <t>BATH TOWEL DOBBY PD 450 GR/M2:CLASSIC BLUE:F</t>
  </si>
  <si>
    <t>SYFLAD-BP</t>
  </si>
  <si>
    <t>BATH TOWEL DOBBY PD 450 GR/M2:BUBBLEGUM PINK:F</t>
  </si>
  <si>
    <t>BSC4-GY</t>
  </si>
  <si>
    <t>BATH TOWEL DOBBY PD 360 GR / M2 70 X 135 CM:PASTEL GREY:F</t>
  </si>
  <si>
    <t>BSC4-BR</t>
  </si>
  <si>
    <t>BATH TOWEL DOBBY PD 360 GR / M2 70 X 135 CM:WOOD BROWN:F</t>
  </si>
  <si>
    <t>BSC4-GR</t>
  </si>
  <si>
    <t>BATH TOWEL DOBBY PD 360 GR / M2 70 X 135 CM:PASTEL GREEN:F</t>
  </si>
  <si>
    <t>BSC4-NV</t>
  </si>
  <si>
    <t>BATH TOWEL DOBBY PD 360 GR / M2 70 X 135 CM:NAVY BLUE:F</t>
  </si>
  <si>
    <t>BSC4-MR</t>
  </si>
  <si>
    <t>BATH TOWEL DOBBY PD 360 GR / M2 70 X 135 CM:MAROON:F</t>
  </si>
  <si>
    <t>BSC5-GR</t>
  </si>
  <si>
    <t>BATH TOWEL DOBBY PD 360 GR / M2 70 X 135 CM:GRASS GREEN:F</t>
  </si>
  <si>
    <t>BSC5-MU</t>
  </si>
  <si>
    <t>BATH TOWEL DOBBY PD 360 GR / M2 70 X 135 CM:MUSTARD:F</t>
  </si>
  <si>
    <t>BSC5-AQ</t>
  </si>
  <si>
    <t>BATH TOWEL DOBBY PD 360 GR / M2 70 X 135 CM:AQUA:F</t>
  </si>
  <si>
    <t>BSC5-RD</t>
  </si>
  <si>
    <t>BATH TOWEL DOBBY PD 360 GR / M2 70 X 135 CM:CLASSIC RED:F</t>
  </si>
  <si>
    <t>BSC5-DP</t>
  </si>
  <si>
    <t>BATH TOWEL DOBBY PD 360 GR / M2 70 X 135 CM:DUSTY PINK:F</t>
  </si>
  <si>
    <t>BSC5-RO</t>
  </si>
  <si>
    <t>BATH TOWEL DOBBY PD 360 GR / M2 70 X 135 CM:RUSTIC ORANGE:F</t>
  </si>
  <si>
    <t>NVDBSCCR</t>
  </si>
  <si>
    <t>BATH TOWEL DOBBY PD 360 GR/M2:VANILLA:F</t>
  </si>
  <si>
    <t>BSC2-GY</t>
  </si>
  <si>
    <t>BATH TOWEL DOBBY PD 360 GR/M2 70X135 CM2:PASTEL GREY:F</t>
  </si>
  <si>
    <t>BSC2-GR</t>
  </si>
  <si>
    <t>BATH TOWEL DOBBY PD 360 GR/M2 70X135 CM2:PASTEL GREEN:F</t>
  </si>
  <si>
    <t>BSC2-BL</t>
  </si>
  <si>
    <t>BATH TOWEL DOBBY PD 360 GR/M2 70X135 CM2:PASTEL BLUE:F</t>
  </si>
  <si>
    <t>BSC2-PC</t>
  </si>
  <si>
    <t>BATH TOWEL DOBBY PD 360 GR/M2 70X135 CM2:APRICOT:F</t>
  </si>
  <si>
    <t>2020 2021 CONNEXION D90</t>
  </si>
  <si>
    <t>CONNEXION</t>
  </si>
  <si>
    <t>BSC3TTGR</t>
  </si>
  <si>
    <t>TRAVEL TOWEL DOBBY PD 360 GR/M2 (50 CMX100 CM):PASTEL GREEN:F</t>
  </si>
  <si>
    <t>BSC3TTPK</t>
  </si>
  <si>
    <t>TRAVEL TOWEL DOBBY PD 360 GR/M2 (50 CMX100 CM):PASTEL PINK:F</t>
  </si>
  <si>
    <t>BSC3TTPU</t>
  </si>
  <si>
    <t>TRAVEL TOWEL DOBBY PD 360 GR/M2 (50 CMX100 CM):CLASSIC PURPL:F</t>
  </si>
  <si>
    <t>BMAT</t>
  </si>
  <si>
    <t>MAT BATH DOBBY PD BMAT:FROST GREY:F:SOLID:MAT</t>
  </si>
  <si>
    <t>MAT BATH DOBBY PD BMAT:NAVY BLUE:F:SOLID:MAT</t>
  </si>
  <si>
    <t>MAT BATH DOBBY PD BMAT:MAROON:F:SOLID:MAT</t>
  </si>
  <si>
    <t>2022 ALL D90</t>
  </si>
  <si>
    <t>TEXBS</t>
  </si>
  <si>
    <t>TOWEL BATH SHEET DOBBY PD TEXBS:PASTEL YELLOW:F:SOLID:TOWEL</t>
  </si>
  <si>
    <t>TEXBT</t>
  </si>
  <si>
    <t>TOWEL BATH DOBBY PD TEXBT:PASTEL YELLOW:F:SOLID:TOWEL</t>
  </si>
  <si>
    <t>BSC3</t>
  </si>
  <si>
    <t>TOWEL BATH DOBBY PD 360 GR-M2 BSC3:MISTY DARK GREE:F:SOLID:TOWEL</t>
  </si>
  <si>
    <t>NVDBSC</t>
  </si>
  <si>
    <t>TOWEL BATH DOBBY PD 360 GR-M2 NVDBSC:GRASS GREEN:F:SOLID:TOWEL</t>
  </si>
  <si>
    <t>TEXHT</t>
  </si>
  <si>
    <t>TOWEL HAND DOBBY PD 450 GR-M2 TEXHT:PASTEL YELLOW:F:SOLID:TOWEL</t>
  </si>
  <si>
    <t>BEACH221</t>
  </si>
  <si>
    <t>TOWEL BEACH YD 450GR.M2 BEACH221:NAVY BLUE:F:STRIPES:TOWEL</t>
  </si>
  <si>
    <t>TOWEL BEACH YD 450GR.M2 BEACH221:CLASSIC RED:F:STRIPES:TOWEL</t>
  </si>
  <si>
    <t>JACQ02</t>
  </si>
  <si>
    <t>TOWEL BATH PD 500 GR/M2 70X135 JACQ02:EMERALD GREEN:F:STRIPES:MAT</t>
  </si>
  <si>
    <t>JACQ03</t>
  </si>
  <si>
    <t>TOWEL BATH PD 500GR/M2 70X135 JACQ03:MISTY LIGHT GREY:F:PRINT:MAT</t>
  </si>
  <si>
    <t>BEACH223</t>
  </si>
  <si>
    <t>TOWEL BEACH YD 450GR/M2 85X160 BEACH223:SAND:F:STRIPES:MAT</t>
  </si>
  <si>
    <t>TOWEL BEACH YD 450GR/M2 85X160 BEACH223:MUSTARD:F:STRIPES:MAT</t>
  </si>
  <si>
    <t>TOWEL BATH PD 500 GR/M2 70X135 JACQ02:RUSTIC ORANGE:F:STRIPES:TOWEL</t>
  </si>
  <si>
    <t>2023 CONNEXION ALL SHEET D90</t>
  </si>
  <si>
    <t>LEAV160</t>
  </si>
  <si>
    <t>FITTED SHEET SET PRINTED 160 MICROTEX LEAV160:PASTEL BLUE:F:PRINT:FITTED SHEET</t>
  </si>
  <si>
    <t>LEAV180</t>
  </si>
  <si>
    <t>FITTED SHEET SET PRINTED 180 MICROTEX LEAV180:PASTEL BLUE:F:PRINT:FITTED SHEET</t>
  </si>
  <si>
    <t>LEAV200</t>
  </si>
  <si>
    <t>FITTED SHEET SET PRINTED 200 MICROTEX LEAV200:PASTEL BLUE:F:PRINT:FITTED SHEET</t>
  </si>
  <si>
    <t>LEAVBS</t>
  </si>
  <si>
    <t>BED COVER PRINTED SINGLE MICROTEX LEAVBS:PASTEL BLUE:F:PRINT:BED COVER</t>
  </si>
  <si>
    <t>LEAVBD</t>
  </si>
  <si>
    <t>BED COVER PRINTED DOUBLE MICROTEX LEAVBD:PASTEL BLUE:F:PRINT:BED COVER</t>
  </si>
  <si>
    <t>FLOW120</t>
  </si>
  <si>
    <t>FITTED SHEET SET PRINTED 120 MICROTEX FLOW120:PASTEL GREEN:F:PRINT:FITTED SHEET</t>
  </si>
  <si>
    <t>FLOW160</t>
  </si>
  <si>
    <t>FITTED SHEET SET PRINTED 160 MICROTEX FLOW160:PASTEL GREEN:F:PRINT:FITTED SHEET</t>
  </si>
  <si>
    <t>FLOW180</t>
  </si>
  <si>
    <t>FITTED SHEET SET PRINTED 180 MICROTEX FLOW180:PASTEL GREEN:F:PRINT:FITTED SHEET</t>
  </si>
  <si>
    <t>FLOW200</t>
  </si>
  <si>
    <t>FITTED SHEET SET PRINTED 200 MICROTEX FLOW200:PASTEL GREEN:F:PRINT:FITTED SHEET</t>
  </si>
  <si>
    <t>FLOWBS</t>
  </si>
  <si>
    <t>BED COVER PRINTED SINGLE MICROTEX FLOWBS:PASTEL GREEN:F:PRINT:BED COVER</t>
  </si>
  <si>
    <t>FLOWBD</t>
  </si>
  <si>
    <t>BED COVER PRINTED DOUBLE MICROTEX FLOWBD:PASTEL GREEN:F:PRINT:BED COVER</t>
  </si>
  <si>
    <t>GEO1120</t>
  </si>
  <si>
    <t>FITTED SHEET SET 120 MICROTEX GEO1120:CLASSIC GREEN:F:PRINT:FITTED SHEET</t>
  </si>
  <si>
    <t>GEO1160</t>
  </si>
  <si>
    <t>FITTED SHEET SET 160 MICROTEX GEO1160:CLASSIC GREEN:F:PRINT:FITTED SHEET</t>
  </si>
  <si>
    <t>GEO1180</t>
  </si>
  <si>
    <t>FITTED SHEET SET 180 MICROTEX GEO1180:CLASSIC GREEN:F:PRINT:FITTED SHEET</t>
  </si>
  <si>
    <t>GEO1200</t>
  </si>
  <si>
    <t>FITTED SHEET SET 200 MICROTEX GEO1200:CLASSIC GREEN:F:PRINT:FITTED SHEET</t>
  </si>
  <si>
    <t>GEO1BS</t>
  </si>
  <si>
    <t>BED COVER SINGLE MICROTEX GEO1BS:CLASSIC GREEN:F:PRINT:BED COVER</t>
  </si>
  <si>
    <t>GEO1BD</t>
  </si>
  <si>
    <t>BED COVER DOUBLE MICROTEX GEO1BD:CLASSIC GREEN:F:PRINT:BED COVER</t>
  </si>
  <si>
    <t>GEO212</t>
  </si>
  <si>
    <t>FITTED SHEET SET 120 MICROTEX GEO212:FROST GREY:F:PRINT:FITTED SHEET</t>
  </si>
  <si>
    <t>GEO216</t>
  </si>
  <si>
    <t>FITTED SHEET SET 160 MICROTEX GEO216:FROST GREY:F:PRINT:FITTED SHEET</t>
  </si>
  <si>
    <t>GEO218</t>
  </si>
  <si>
    <t>FITTED SHEET SET 180 MICROTEX GEO218:FROST GREY:F:PRINT:FITTED SHEET</t>
  </si>
  <si>
    <t>GEO2200</t>
  </si>
  <si>
    <t>FITTED SHEET SET 200 MICROTEX GEO2200:FROST GREY:F:PRINT:FITTED SHEET</t>
  </si>
  <si>
    <t>GEO2BS</t>
  </si>
  <si>
    <t>BED COVER SINGLE MICROTEX GEO2BS:FROST GREY:F:PRINT:BED COVER</t>
  </si>
  <si>
    <t>GEO2BD</t>
  </si>
  <si>
    <t>BED COVER DOUBLE MICROTEX GEO2BD:FROST GREY:F:PRINT:BED COVER</t>
  </si>
  <si>
    <t>LINE112</t>
  </si>
  <si>
    <t>FITTED SHEET SET 120 MICROTEX LINE112:CLASSIC BLUE:F:PRINT:FITTED SHEET</t>
  </si>
  <si>
    <t>LINE116</t>
  </si>
  <si>
    <t>FITTED SHEET SET 160 MICROTEX LINE116:CLASSIC BLUE:F:PRINT:FITTED SHEET</t>
  </si>
  <si>
    <t>LINE118</t>
  </si>
  <si>
    <t>FITTED SHEET SET 180 MICROTEX LINE118:CLASSIC BLUE:F:PRINT:FITTED SHEET</t>
  </si>
  <si>
    <t>LINE120</t>
  </si>
  <si>
    <t>FITTED SHEET SET 200 MICROTEX LINE120:CLASSIC BLUE:F:PRINT:FITTED SHEET</t>
  </si>
  <si>
    <t>LINE1BS</t>
  </si>
  <si>
    <t>BED COVER SINGLE MICROTEX LINE1BS:CLASSIC BLUE:F:PRINT:BED COVER</t>
  </si>
  <si>
    <t>LINE1BD</t>
  </si>
  <si>
    <t>BED COVER DOUBLE MICROTEX LINE1BD:CLASSIC BLUE:F:PRINT:BED COVER</t>
  </si>
  <si>
    <t>ABS1120</t>
  </si>
  <si>
    <t>FITTED SHEET SET PRINTED 120 MICROTEX ABS1120:CLASSIC GREEN:F:PRINT:FITTED SHEET</t>
  </si>
  <si>
    <t>ABS1160</t>
  </si>
  <si>
    <t>FITTED SHEET SET PRINTED 160 MICROTEX ABS1160:CLASSIC GREEN:F:PRINT:FITTED SHEET</t>
  </si>
  <si>
    <t>ABS1180</t>
  </si>
  <si>
    <t>FITTED SHEET SET PRINTED 180 MICROTEX ABS1180:CLASSIC GREEN:F:PRINT:FITTED SHEET</t>
  </si>
  <si>
    <t>ABS1200</t>
  </si>
  <si>
    <t>FITTED SHEET SET PRINTED 200 MICROTEX ABS1200:CLASSIC GREEN:F:PRINT:FITTED SHEET</t>
  </si>
  <si>
    <t>ABS1BS</t>
  </si>
  <si>
    <t>BED COVER PRINTED SINGLE MICROTEX ABS1BS:CLASSIC GREEN:F:PRINT:BED COVER</t>
  </si>
  <si>
    <t>ABS1BD</t>
  </si>
  <si>
    <t>BED COVER PRINTED DOUBLE MICROTEX ABS1BD:CLASSIC GREEN:F:PRINT:BED COVER</t>
  </si>
  <si>
    <t>ABS2120</t>
  </si>
  <si>
    <t>FITTED SHEET SET PRINTED 120 MICROTEX ABS2120:CLASSIC BLUE:F:PRINT:FITTED SHEET</t>
  </si>
  <si>
    <t>ABS2160</t>
  </si>
  <si>
    <t>FITTED SHEET SET PRINTED 160 MICROTEX ABS2160:CLASSIC BLUE:F:PRINT:FITTED SHEET</t>
  </si>
  <si>
    <t>ABS2180</t>
  </si>
  <si>
    <t>FITTED SHEET SET PRINTED 180 MICROTEX ABS2180:CLASSIC BLUE:F:PRINT:FITTED SHEET</t>
  </si>
  <si>
    <t>ABS2200</t>
  </si>
  <si>
    <t>FITTED SHEET SET PRINTED 200 MICROTEX ABS2200:CLASSIC BLUE:F:PRINT:FITTED SHEET</t>
  </si>
  <si>
    <t>ABS2BS</t>
  </si>
  <si>
    <t>BED COVER PRINTED SINGLE MICROTEX ABS2BS:CLASSIC BLUE:F:PRINT:BED COVER</t>
  </si>
  <si>
    <t>ABS2BD</t>
  </si>
  <si>
    <t>BED COVER PRINTED DOUBLE MICROTEX ABS2BD:CLASSIC BLUE:F:PRINT:BED COVER</t>
  </si>
  <si>
    <t>ABS3120</t>
  </si>
  <si>
    <t>FITTED SHEET SET PRINTED 120 MICROTEX ABS3120:PASTEL PINK:F:PRINT:FITTED SHEET</t>
  </si>
  <si>
    <t>ABS3160</t>
  </si>
  <si>
    <t>FITTED SHEET SET PRINTED 160 MICROTEX ABS3160:PASTEL PINK:F:PRINT:FITTED SHEET</t>
  </si>
  <si>
    <t>ABS3180</t>
  </si>
  <si>
    <t>FITTED SHEET SET PRINTED 180 MICROTEX ABS3180:PASTEL PINK:F:PRINT:FITTED SHEET</t>
  </si>
  <si>
    <t>ABS3200</t>
  </si>
  <si>
    <t>FITTED SHEET SET PRINTED 200 MICROTEX ABS3200:PASTEL PINK:F:PRINT:FITTED SHEET</t>
  </si>
  <si>
    <t>ABS3BS</t>
  </si>
  <si>
    <t>BED COVER PRINTED SINGLE MICROTEX ABS3BS:PASTEL PINK:F:PRINT:BED COVER</t>
  </si>
  <si>
    <t>ABS3BD</t>
  </si>
  <si>
    <t>BED COVER PRINTED DOUBLE MICROTEX ABS3BD:PASTEL PINK:F:PRINT:BED COVER</t>
  </si>
  <si>
    <t>2023 H1 H2 ALL D90</t>
  </si>
  <si>
    <t>BEACH222</t>
  </si>
  <si>
    <t>TOWEL BEACH YD 450GR/M2 85X160 BEACH222:CORAL:F:STRIPES:MAT</t>
  </si>
  <si>
    <t>TOWEL BEACH YD 450GR/M2 85X160 BEACH222:CLASSIC GREEN:F:STRIPES:MAT</t>
  </si>
  <si>
    <t>BUNDLE1</t>
  </si>
  <si>
    <t>TOWEL BUNDLING TOWEL PD 360 GR/M2 (BATH-TRAVEL-HAND TOWEL) BUNDLE1:WINE:F:SOLID:TOWEL</t>
  </si>
  <si>
    <t>TOWEL BUNDLING TOWEL PD 360 GR/M2 (BATH-TRAVEL-HAND TOWEL) BUNDLE1:TEAL:F:SOLID:TOWEL</t>
  </si>
  <si>
    <t>TOWEL BUNDLING TOWEL PD 360 GR M2 (BATH-TRAVEL-HAND:COBALT BLUE:F:SOLID:TOWEL</t>
  </si>
  <si>
    <t>TOWEL BUNDLING TOWEL PD 360 GR M2 (BATH-TRAVEL-HAND:DARK JADE:F:SOLID:TOWEL</t>
  </si>
  <si>
    <t>JACQ04</t>
  </si>
  <si>
    <t>BATH TOWEL JACQ YD 500 GR M2 JACQ04:TEAL:F:PRINT:TOWEL</t>
  </si>
  <si>
    <t>BATH TOWEL JACQ YD 500 GR M2 JACQ04:RUSTIC ORANGE:F:PRINT:TOWEL</t>
  </si>
  <si>
    <t>JACQ05</t>
  </si>
  <si>
    <t>BATH TOWEL JACQ YD 500 GR M2 JACQ05:CHARCOAL:F:PRINT:TOWEL</t>
  </si>
  <si>
    <t>BATH TOWEL JACQ YD 500 GR M2 JACQ05:SAND:F:PRINT:TOWEL</t>
  </si>
  <si>
    <t>JACQ06</t>
  </si>
  <si>
    <t>TOWEL BATH JACQ YD 500 GR/M2 JACQ06:PASTEL GREY:F:PRINT:TOWEL</t>
  </si>
  <si>
    <t>TOWEL BATH JACQ YD 500 GR/M2 JACQ06:CORAL:F:PRINT:TOWEL</t>
  </si>
  <si>
    <t>JACQ07</t>
  </si>
  <si>
    <t>TOWEL BATH JACQ YD 500 GR/M2 JACQ07:CORAL:F:PRINT:TOWEL</t>
  </si>
  <si>
    <t>TOWEL BATH JACQ YD 500 GR/M2 JACQ07:TURQOUISE:F:PRINT:TOWEL</t>
  </si>
  <si>
    <t>JACBOR2</t>
  </si>
  <si>
    <t>TOWEL BATH TOWEL JACQ PD 45GSM JACBOR2:MAROON:F:PRINT:TOWEL</t>
  </si>
  <si>
    <t>TOWEL BATH TOWEL JACQ PD 45GSM JACBOR2:FOREST GREEN:F:PRINT:TOWEL</t>
  </si>
  <si>
    <t>JACBOR3</t>
  </si>
  <si>
    <t>TOWEL BATH TOWEL JACQ PD 45GSM JACBOR3:CLASSIC RED:F:PRINT:TOWEL</t>
  </si>
  <si>
    <t>TOWEL BATH TOWEL JACQ PD 45GSM JACBOR3:GOLD:F:PRINT:TOWEL</t>
  </si>
  <si>
    <t>STARMC1</t>
  </si>
  <si>
    <t>TOWEL BATH PRINT STARMC1:KHAKI:F:PRINT:TOWEL</t>
  </si>
  <si>
    <t>STARMC2</t>
  </si>
  <si>
    <t>TOWEL BATH PRINT STARMC2:PASTEL BLUE:F:PRINT:TOWEL</t>
  </si>
  <si>
    <t>TRAVEL TOWEL DOBBY PD 360 GR/M2 (50 CMX100 CM):NAVY BLUE:F</t>
  </si>
  <si>
    <t>BEAC231</t>
  </si>
  <si>
    <t>TOWEL BEACH YD 450 GR/M2 BEAC231:NAVY BLUE:F:PRINT:TOWEL</t>
  </si>
  <si>
    <t>BEAC234</t>
  </si>
  <si>
    <t>TOWEL BEACH YD 450 GR/M2 BEAC234:PASTEL YELLOW:F:PRINT:TOWEL</t>
  </si>
  <si>
    <t>BEAC232</t>
  </si>
  <si>
    <t>TOWEL BEACH YD 450 GR/M2 BEAC232:TAUPE GREY:F:PRINT:TOWEL</t>
  </si>
  <si>
    <t>BEAC233</t>
  </si>
  <si>
    <t>TOWEL BEACH YD 450 GR/M2 BEAC233:PASTEL BLUE:F:PRINT:TOWEL</t>
  </si>
  <si>
    <t>JACQ08</t>
  </si>
  <si>
    <t>TOWEL BATH ANTI BACTERY JACQ YD 500 GR/M2 JACQ08:PASTEL GREEN:F:PRINT:TOWEL</t>
  </si>
  <si>
    <t>TOWEL BATH ANTI BACTERY JACQ YD 500 GR/M2 JACQ08:PASTEL PINK:F:PRINT:TOWEL</t>
  </si>
  <si>
    <t>TOWEL BATH ANTI BACTERY JACQ YD 500 GR/M2 JACQ08:PASTEL BLUE:F:PRINT:TOWEL</t>
  </si>
  <si>
    <t>ROBE</t>
  </si>
  <si>
    <t>TOWEL BATH ROBE:PASTEL GREY:F:SOLID:TOWEL</t>
  </si>
  <si>
    <t>TOWEL BATH ROBE:PASTEL PINK:F:SOLID:TOWEL</t>
  </si>
  <si>
    <t>MICROFB</t>
  </si>
  <si>
    <t>TOWEL BATH MICROFIBER MICROFB:NAVY BLUE:F:SOLID:TOWEL</t>
  </si>
  <si>
    <t>TOWEL BATH MICROFIBER MICROFB:MAROON:F:SOLID:TOWEL</t>
  </si>
  <si>
    <t>2024 CONNEXION ALL SHEET D70</t>
  </si>
  <si>
    <t>MCBW120</t>
  </si>
  <si>
    <t>FITTED SHEET SET DISNEY 120X200 MCBW120:CLASSIC RED:F:PRINT:FITTED SHEET</t>
  </si>
  <si>
    <t>MCBW160</t>
  </si>
  <si>
    <t>FITTED SHEET SET DISNEY 160X200 MCBW160:CLASSIC RED:F:PRINT:FITTED SHEET</t>
  </si>
  <si>
    <t>MCBWBCS</t>
  </si>
  <si>
    <t>BED COVER SET SINGLE MCBWBCS:CLASSIC RED:F:PRINT:BED COVER</t>
  </si>
  <si>
    <t>MCPL120</t>
  </si>
  <si>
    <t>FITTED SHEET SET DISNEY 120X200 MCPL120:BLACK:F:PRINT:FITTED SHEET</t>
  </si>
  <si>
    <t>MCPL160</t>
  </si>
  <si>
    <t>FITTED SHEET SET DISNEY 160X200 MCPL160:BLACK:F:PRINT:FITTED SHEET</t>
  </si>
  <si>
    <t>MCST120</t>
  </si>
  <si>
    <t>FITTED SHEET SET DISNEY 120X200 MCST120:AQUA:F:PRINT:FITTED SHEET</t>
  </si>
  <si>
    <t>MCST160</t>
  </si>
  <si>
    <t>FITTED SHEET SET DISNEY 160X200 MCST160:AQUA:F:PRINT:FITTED SHEET</t>
  </si>
  <si>
    <t>MCSTBCS</t>
  </si>
  <si>
    <t>BED COVER SET SINGLE MCSTBCS:AQUA:F:PRINT:BED COVER</t>
  </si>
  <si>
    <t>MCCA120</t>
  </si>
  <si>
    <t>FITTED SHEET SET DISNEY 120X200 MCCA120:PASTEL BLUE:F:PRINT:FITTED SHEET</t>
  </si>
  <si>
    <t>MCCA160</t>
  </si>
  <si>
    <t>FITTED SHEET SET DISNEY 160X200 MCCA160:PASTEL BLUE:F:PRINT:FITTED SHEET</t>
  </si>
  <si>
    <t>MCCABCS</t>
  </si>
  <si>
    <t>BED COVER SET SINGLE MCCABCS:PASTEL BLUE:F:PRINT:BED COVER</t>
  </si>
  <si>
    <t>MMSW120</t>
  </si>
  <si>
    <t>FITTED SHEET SET DISNEY 120X200 MMSW120:PASTEL PINK:F:PRINT:FITTED SHEET</t>
  </si>
  <si>
    <t>MMSW160</t>
  </si>
  <si>
    <t>FITTED SHEET SET DISNEY 160X200 MMSW160:PASTEL PINK:F:PRINT:FITTED SHEET</t>
  </si>
  <si>
    <t>MMSWBCS</t>
  </si>
  <si>
    <t>BED COVER SET SINGLE MMSWBCS:PASTEL PINK:F:PRINT:BED COVER</t>
  </si>
  <si>
    <t>2024 DISNEY TOWEL ALL D70</t>
  </si>
  <si>
    <t>DREMC1</t>
  </si>
  <si>
    <t>TOWEL DISNEY BATH PIGMENT PRINT 380 GSM DREMC1:PASTEL GREY:F:PRINT:TOWEL</t>
  </si>
  <si>
    <t>DREMC2</t>
  </si>
  <si>
    <t>TOWEL DISNEY BATH PIGMENT PRINT 380 GSM DREMC2:ASSORTIVE COLOR:F:PRINT:TOWEL</t>
  </si>
  <si>
    <t>DREMN1</t>
  </si>
  <si>
    <t>TOWEL BATH DISNEY TRANSFER PRINT DREMN1:PASTEL PINK:F:PRINT:TOWEL</t>
  </si>
  <si>
    <t>DREMC3</t>
  </si>
  <si>
    <t>TOWEL BATH DISNEY TRANSFER PRINT DREMC3:PASTEL GREY:F:PRINT:TOWEL</t>
  </si>
  <si>
    <t>DONALD3</t>
  </si>
  <si>
    <t>TOWEL BATH DISNEY TRANSFER PRINT DONALD3:BRILLIANT BLUE:F:PRINT:TOWEL</t>
  </si>
  <si>
    <t>DONALD4</t>
  </si>
  <si>
    <t>TOWEL BATH DISNEY TRANSFER PRINT DONALD4:WHITE:F:PRINT:TOWEL</t>
  </si>
  <si>
    <t>2024 H2 JAMAS D70</t>
  </si>
  <si>
    <t>JAMAS</t>
  </si>
  <si>
    <t>BMATPRNCT</t>
  </si>
  <si>
    <t>BATH MAT PVC PRINTING CAT 40X60CM BMATPRNCT:LIGHT BLUE:F:PRINT:MAT</t>
  </si>
  <si>
    <t>BMATPRNMN</t>
  </si>
  <si>
    <t>BATH MAT PVC PRINTING MONKEY 40X60CM BMATPRNMN:PASTEL BLUE:F:PRINT:MAT</t>
  </si>
  <si>
    <t>BMATPRNSH</t>
  </si>
  <si>
    <t>BATH MAT PVC PRINTING SHEEP 40X60CM BMATPRNSH:CLASSIC YELLOW:F:PRINT:MAT</t>
  </si>
  <si>
    <t>BMATPRNBR</t>
  </si>
  <si>
    <t>BATH MAT PVC PRINTING BEAR 40X60CM BMATPRNBR:PASTEL PINK:F:PRINT:MAT</t>
  </si>
  <si>
    <t>BMATAS</t>
  </si>
  <si>
    <t>BATH MAT ANTI SLIP 40X60CM BMATAS:BLACK:F:SOLID:MAT</t>
  </si>
  <si>
    <t>BATH MAT ANTI SLIP BROWN 40X60CM BMATAS:WOOD BROWN:F:SOLID:MAT</t>
  </si>
  <si>
    <t>BATH MAT ANTI SLIP GREY 40X60CM BMATAS:FROST GREY:F:SOLID:MAT</t>
  </si>
  <si>
    <t>RYLBTHMAT</t>
  </si>
  <si>
    <t>ROYAL BATHMAT BROWN 40X60CM RYLBTHMAT:BROWN SUGAR:F:SOLID:MAT</t>
  </si>
  <si>
    <t>ROYAL BATHMAT GREY 40X60CM RYLBTHMAT:FROST GREY:F:SOLID:MAT</t>
  </si>
  <si>
    <t>ROYAL BATHMAT BLACK 40X60CM RYLBTHMAT:BLACK:F:SOLID:MAT</t>
  </si>
  <si>
    <t>ROYAL BATHMAT DARKBROWN 40X60CM RYLBTHMAT:WOOD BROWN:F:SOLID:MAT</t>
  </si>
  <si>
    <t>BTMTWH</t>
  </si>
  <si>
    <t>MAT BATH MAT WELCOME HOME BTMTWH:MISTY MEDIUM BROWN:F:PRINT:MAT</t>
  </si>
  <si>
    <t>MAT BATH MAT WELCOME HOME BTMTWH:MISTY LIGHT GREY:F:PRINT:MAT</t>
  </si>
  <si>
    <t>BTMTHM</t>
  </si>
  <si>
    <t>MAT BATH MAT HOME BTMTWH:OLIVE:F:PRINT:MAT</t>
  </si>
  <si>
    <t>MAT BATH MAT HOME BTMTWH:MISTY LIGHT GREY:F:PRINT:MAT</t>
  </si>
  <si>
    <t>2024 CNX DISCONTINUE D50</t>
  </si>
  <si>
    <t>TOWEL HAND DOBBY PD 450 GR-M2 TEXHT:BAROQUE ROSE:F:SOLID:TOWEL</t>
  </si>
  <si>
    <t>TOWEL HAND DOBBY PD 450GR/M2 30X60 TEXHT:NAVY BLUE:F:SOLID:MAT</t>
  </si>
  <si>
    <t>TOWEL BATH DOBBY PD TEXBT:PEPPERMINT:F:SOLID:TOWEL</t>
  </si>
  <si>
    <t>TOWEL BATH DOBBY PD TEXBT:BAROQUE ROSE:F:SOLID:TOWEL</t>
  </si>
  <si>
    <t>TOWEL BATH DOBBY PD 450GR/M2 70X135 TEXBT:NAVY BLUE:F:SOLID:MAT</t>
  </si>
  <si>
    <t>TEX2BT</t>
  </si>
  <si>
    <t>TOWEL BATH DOBBY PD TEXTURE 450 GR/M2 TEX2BT:FROST GREY:F:SOLID:TOWEL</t>
  </si>
  <si>
    <t>TOWEL BATH DOBBY PD TEXTURE 450 GR/M2 TEX2BT:RUSTIC BROWN:F:SOLID:TOWEL</t>
  </si>
  <si>
    <t>TOWEL BATH MICROFIBER MICROFB:FROST GREY:F:SOLID:TOWEL</t>
  </si>
  <si>
    <t>TOWEL BATH MICROFIBER MICROFB:SAND:F:SOLID:TOWEL</t>
  </si>
  <si>
    <t>TOWEL BATH SHEET DOBBY PD TEXBS:BAROQUE ROSE:F:SOLID:TOWEL</t>
  </si>
  <si>
    <t>TOWEL BATH SHEET DOBBY PD 450GR.M2 85X160 TEXBS:NAVY BLUE:F:SOLID:MAT</t>
  </si>
  <si>
    <t>2024 SPORTTWL REG B1D20 B2G1</t>
  </si>
  <si>
    <t>AMERICAN JEANS</t>
  </si>
  <si>
    <t>SPORTTWL</t>
  </si>
  <si>
    <t>TOWEL DOBBY PD 360GR-M2 SPORTTWL:WHITE:F:SOLID:TOWEL</t>
  </si>
  <si>
    <t>BXGY</t>
  </si>
  <si>
    <t xml:space="preserve"> B1D20%/B2G1</t>
  </si>
  <si>
    <t>TOWEL DOBBY PD 360GR-M2 SPORTTWL:MUSTARD:F:SOLID:TOWEL</t>
  </si>
  <si>
    <t>TOWEL DOBBY PD 360GR-M2 SPORTTWL:AQUA:F:SOLID:TOWEL</t>
  </si>
  <si>
    <t>2024 CONNEXION REG B1D20 B2G1</t>
  </si>
  <si>
    <t>BSC3TTTL</t>
  </si>
  <si>
    <t>TRAVEL TOWEL DOBBY PD 360 GR/M2 (50 CMX100 CM):TEAL:F</t>
  </si>
  <si>
    <t>BSCTT</t>
  </si>
  <si>
    <t>TOWEL TRAVEL DOBBY PD 360 GR-M2 BSCTT:CHARCOAL:F:SOLID:TOWEL</t>
  </si>
  <si>
    <t>BSC3TT</t>
  </si>
  <si>
    <t>TOWEL TRAVEL DOBBY P BSC3TT:DUSTY PINK:F:SOLID:TOWEL</t>
  </si>
  <si>
    <t>TOWEL TRAVEL DOBBY P BSCTT:NAVY BLUE:F:SOLID:TOWEL</t>
  </si>
  <si>
    <t>NVDBSCGY</t>
  </si>
  <si>
    <t>BATH TOWEL DOBBY PD 360 GR / M2:CHARCOAL:F</t>
  </si>
  <si>
    <t>NVDBSCWH</t>
  </si>
  <si>
    <t>BATH TOWEL DOBBY PD 360 GR / M2:WHITE:F</t>
  </si>
  <si>
    <t>NVDBSCBR</t>
  </si>
  <si>
    <t>BATH TOWEL DOBBY PD 360 GR / M2:RUSTIC BROWN:F</t>
  </si>
  <si>
    <t>NVDBSCDG</t>
  </si>
  <si>
    <t>BATH TOWEL DOBBY PD 360 GR / M2:CACTUS GREEN:F</t>
  </si>
  <si>
    <t>NVDBSCNV</t>
  </si>
  <si>
    <t>BATH TOWEL DOBBY PD 360 GR / M2:NAVY BLUE:F</t>
  </si>
  <si>
    <t>NVDBSCPU</t>
  </si>
  <si>
    <t>BATH TOWEL DOBBY PD 360 GR / M2:CLASSIC PURPLE:F</t>
  </si>
  <si>
    <t>NVDBSCMR</t>
  </si>
  <si>
    <t>BATH TOWEL DOBBY PD 360 GR / M2:MAROON:F</t>
  </si>
  <si>
    <t>BSC3-TL</t>
  </si>
  <si>
    <t>BATH TOWEL DOBBY PD 360 GR/M2 70X135 CM2:TEAL:F</t>
  </si>
  <si>
    <t>TOWEL BATH DOBBY PD 360 GR-M2 BSC3:DUSTY PINK:F:SOLID:TOWEL</t>
  </si>
  <si>
    <t>TOWEL BATH DOBBY PD 360 GR-M2 NVDBSC:AQUA:F:SOLID:TOWEL</t>
  </si>
  <si>
    <t>BSC3-NV</t>
  </si>
  <si>
    <t>BATH TOWEL DOBBY PD 360 GR/M2 70X135 CM2:NAVY BLUE:F</t>
  </si>
  <si>
    <t>BSC3-PK</t>
  </si>
  <si>
    <t>BATH TOWEL DOBBY PD 360 GR/M2 70X135 CM2:PASTEL PINK:F</t>
  </si>
  <si>
    <t>BSC3-RD</t>
  </si>
  <si>
    <t>BATH TOWEL DOBBY PD 360 GR/M2 70X135 CM2:CORAL:F</t>
  </si>
  <si>
    <t>TOWEL BATH DOBBY PD 360 GR-M2 BSC3:MUSTARD:F:SOLID:TOWEL</t>
  </si>
  <si>
    <t>2025 H2 TOWEL B1D20 B2G1</t>
  </si>
  <si>
    <t>BTTWL</t>
  </si>
  <si>
    <t>BATH TOWEL DOBBY PD 360GR 70X135CM BTTWL:LIGHT CORAL:F:SOLID:TOWEL</t>
  </si>
  <si>
    <t>BATH TOWEL DOBBY PD 360GR 70X135CM BTTWL:PASTEL LAVENDER:F:SOLID:TOWEL</t>
  </si>
  <si>
    <t>BATH TOWEL DOBBY PD 360GR 70X135CM BTTWL:LIGHT YELLOW:F:SOLID:TOWEL</t>
  </si>
  <si>
    <t>BATH TOWEL DOBBY PD 360GR 70X135CM BTTWL:PASTEL GREEN:F:SOLID:TOWEL</t>
  </si>
  <si>
    <t>TRVTWL</t>
  </si>
  <si>
    <t>TRAVEL TOWEL DOBBY PD 360GR 50X100CM TRVTWL:LIGHT CORAL:F:SOLID:TOWEL</t>
  </si>
  <si>
    <t>TRAVEL TOWEL DOBBY PD 360GR 50X100CM TRVTWL:PASTEL LAVENDER:F:SOLID:TOWEL</t>
  </si>
  <si>
    <t>TRAVEL TOWEL DOBBY PD 360GR 50X100CM TRVTWL:LIGHT YELLOW:F:SOLID:TOWEL</t>
  </si>
  <si>
    <t>TRAVEL TOWEL DOBBY PD 360GR 50X100CM TRVTWL:PASTEL GREEN:F:SOLID:TOWEL</t>
  </si>
  <si>
    <t>2025 BLANKET POLOS B1SP79K</t>
  </si>
  <si>
    <t>CNXSELPLS600</t>
  </si>
  <si>
    <t>BLANKET CONNEXION SELIMUT POLOS 600GR 150CMX200CM CNXSELPLS600:ASSORTIVE COLOR:F:SOLID:BLANKET</t>
  </si>
  <si>
    <t>SP</t>
  </si>
  <si>
    <t>SPECIAL PRICE</t>
  </si>
  <si>
    <t>2025 BLANKET SALUR B1SP99</t>
  </si>
  <si>
    <t>CNXSELSLR900</t>
  </si>
  <si>
    <t>BLANKET CONNEXION SELIMUT SALUR 900GR 180CMX200CM CNXSELSLR900:ASSORTIVE COLOR:F:STRIPES:BLANKET</t>
  </si>
  <si>
    <t>2025 PILBOL COVER B1SP59K</t>
  </si>
  <si>
    <t>CNXSARBAL</t>
  </si>
  <si>
    <t>PILLOW BOLSTER SET CNX SARUNG BANTAL SUTRA MICRO TENCEL 50X70CM 2PCS CNXSARBAL:MISTY LIGHT GREY:F:SO</t>
  </si>
  <si>
    <t>PILLOW BOLSTER SET CNX SARUNG BANTAL SUTRA MICRO TENCEL 50X70CM 2PCS CNXSARBAL:MISTY LIGHT BROWN:F:S</t>
  </si>
  <si>
    <t>PILLOW BOLSTER SET CNX SARUNG BANTAL SUTRA MICRO TENCEL 50X70CM 2PCS CNXSARBAL:MISTY LIGHT BLUE:F:SO</t>
  </si>
  <si>
    <t>CNXSARGUL</t>
  </si>
  <si>
    <t>PILLOW BOLSTER SET CNX SARUNG GULING SUTRA MICRO TENCEL 36X100CM 2PCS CNXSARGUL:MISTY LIGHT GREY:F:S</t>
  </si>
  <si>
    <t>PILLOW BOLSTER SET CNX SARUNG GULING SUTRA MICRO TENCEL 36X100CM 2PCS CNXSARGUL:MISTY LIGHT BROWN:F:</t>
  </si>
  <si>
    <t>PILLOW BOLSTER SET CNX SARUNG GULING SUTRA MICRO TENCEL 36X100CM 2PCS CNXSARGUL:MISTY LIGHT BLUE:F:S</t>
  </si>
  <si>
    <t>PILLOW BOLSTER SET CNX SARUNG BANTAL SUTRA MICRO TENCEL 50X70CM 2PCS CNXSARBAL:MISTY MEDIUM BROWN:F:</t>
  </si>
  <si>
    <t>PILLOW BOLSTER SET CNX SARUNG GULING SUTRA MICRO TENCEL 36X100CM 2PCS CNXSARGUL:MISTY MEDIUM BROWN:F</t>
  </si>
  <si>
    <t>2025 SHEETS B1DP159K</t>
  </si>
  <si>
    <t>CNXBSHTMC120</t>
  </si>
  <si>
    <t>FITTED SHEET CONNEXION BEDSHEET MICROSILK FULL KANTONG KAIN SALUR 120X200X40CM CNXBSHTMC120:MISTY LI</t>
  </si>
  <si>
    <t>FITTED SHEET CONNEXION BEDSHEET MICROSILK FULL KANTONG KAIN SALUR 120X200X40CM CNXBSHTMC120:NAVY BLU</t>
  </si>
  <si>
    <t>FITTED SHEET CONNEXION BEDSHEET MICROSILK FULL KANTONG KAIN SALUR 120X200X40CM CNXBSHTMC120:MISTY ME</t>
  </si>
  <si>
    <t>2025 SHEETS B1DP199K</t>
  </si>
  <si>
    <t>CNXBSHTMC180</t>
  </si>
  <si>
    <t>FITTED SHEET CONNEXION BEDSHEET MICROSILK FULL KANTONG KAIN SALUR 180X200X40CM CNXBSHTMC180:MISTY LI</t>
  </si>
  <si>
    <t>FITTED SHEET CONNEXION BEDSHEET MICROSILK FULL KANTONG KAIN SALUR 180X200X40CM CNXBSHTMC180:NAVY BLU</t>
  </si>
  <si>
    <t>CNXBSHTMC160</t>
  </si>
  <si>
    <t>FITTED SHEET CONNEXION BEDSHEET MICROSILK FULL KANTONG KAIN SALUR 160X200X40CM CNXBSHTMC160:MISTY LI</t>
  </si>
  <si>
    <t>FITTED SHEET CONNEXION BEDSHEET MICROSILK FULL KANTONG KAIN SALUR 160X200X40CM CNXBSHTMC160:NAVY BLU</t>
  </si>
  <si>
    <t>FITTED SHEET CONNEXION BEDSHEET MICROSILK FULL KANTONG KAIN SALUR 180X200X40CM CNXBSHTMC180:MISTY ME</t>
  </si>
  <si>
    <t>FITTED SHEET CONNEXION BEDSHEET MICROSILK FULL KANTONG KAIN SALUR 160X200X40CM CNXBSHTMC160:MISTY 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</si>
</sst>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-* #,##0.00_-;\-* #,##0.00_-;_-* &quot;-&quot;??_-;_-@_-"/>
    <numFmt numFmtId="181" formatCode="yyyy\-mm\-dd;@"/>
    <numFmt numFmtId="182" formatCode="_-* #,##0_-;\-* #,##0_-;_-* &quot;-&quot;??_-;_-@_-"/>
  </numFmts>
  <fonts count="3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name val="Calibri"/>
      <charset val="134"/>
      <scheme val="minor"/>
    </font>
    <font>
      <sz val="11"/>
      <name val="Calibri"/>
      <charset val="134"/>
    </font>
    <font>
      <b/>
      <sz val="11"/>
      <color indexed="8"/>
      <name val="Calibri"/>
      <charset val="134"/>
    </font>
    <font>
      <sz val="11"/>
      <color theme="1"/>
      <name val="Calibri"/>
      <charset val="134"/>
    </font>
    <font>
      <sz val="11"/>
      <color indexed="8"/>
      <name val="Calibri"/>
      <charset val="134"/>
    </font>
    <font>
      <b/>
      <sz val="12"/>
      <color indexed="8"/>
      <name val="Calibri"/>
      <charset val="134"/>
    </font>
    <font>
      <sz val="12"/>
      <color theme="1"/>
      <name val="Calibri"/>
      <charset val="134"/>
    </font>
    <font>
      <sz val="12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b/>
      <sz val="9"/>
      <name val="Tahoma"/>
      <charset val="134"/>
    </font>
    <font>
      <sz val="9"/>
      <name val="Tahoma"/>
      <charset val="134"/>
    </font>
    <font>
      <b/>
      <sz val="9"/>
      <name val="Calibri"/>
      <charset val="0"/>
      <scheme val="minor"/>
    </font>
    <font>
      <sz val="9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41" fontId="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3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1" fontId="0" fillId="0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176" fontId="0" fillId="0" borderId="1" xfId="1" applyBorder="1" applyAlignment="1"/>
    <xf numFmtId="9" fontId="0" fillId="0" borderId="2" xfId="0" applyNumberFormat="1" applyBorder="1" applyAlignment="1">
      <alignment horizontal="center" vertical="center"/>
    </xf>
    <xf numFmtId="176" fontId="3" fillId="0" borderId="1" xfId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9" fontId="3" fillId="0" borderId="1" xfId="3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38" fontId="0" fillId="0" borderId="1" xfId="0" applyNumberForma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3" fontId="4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3" fontId="4" fillId="0" borderId="4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2" borderId="1" xfId="0" applyNumberFormat="1" applyFont="1" applyFill="1" applyBorder="1" applyAlignment="1" applyProtection="1">
      <alignment horizontal="center" vertical="center"/>
    </xf>
    <xf numFmtId="181" fontId="5" fillId="2" borderId="1" xfId="0" applyNumberFormat="1" applyFont="1" applyFill="1" applyBorder="1" applyAlignment="1" applyProtection="1">
      <alignment horizontal="center" vertical="center"/>
    </xf>
    <xf numFmtId="0" fontId="6" fillId="0" borderId="1" xfId="0" applyFont="1" applyBorder="1"/>
    <xf numFmtId="0" fontId="7" fillId="0" borderId="1" xfId="0" applyNumberFormat="1" applyFont="1" applyFill="1" applyBorder="1" applyAlignment="1" applyProtection="1">
      <alignment horizontal="center" vertical="center"/>
    </xf>
    <xf numFmtId="0" fontId="6" fillId="0" borderId="1" xfId="0" applyFont="1" applyBorder="1" applyAlignment="1">
      <alignment horizontal="center"/>
    </xf>
    <xf numFmtId="3" fontId="5" fillId="2" borderId="1" xfId="0" applyNumberFormat="1" applyFont="1" applyFill="1" applyBorder="1" applyAlignment="1" applyProtection="1">
      <alignment horizontal="center" vertical="center"/>
    </xf>
    <xf numFmtId="0" fontId="6" fillId="0" borderId="1" xfId="0" applyFont="1" applyFill="1" applyBorder="1"/>
    <xf numFmtId="38" fontId="6" fillId="0" borderId="1" xfId="0" applyNumberFormat="1" applyFont="1" applyBorder="1"/>
    <xf numFmtId="9" fontId="6" fillId="0" borderId="1" xfId="0" applyNumberFormat="1" applyFont="1" applyBorder="1"/>
    <xf numFmtId="182" fontId="6" fillId="0" borderId="1" xfId="1" applyNumberFormat="1" applyFont="1" applyBorder="1" applyAlignment="1"/>
    <xf numFmtId="0" fontId="6" fillId="0" borderId="1" xfId="0" applyFont="1" applyBorder="1" applyAlignment="1">
      <alignment wrapText="1"/>
    </xf>
    <xf numFmtId="0" fontId="8" fillId="2" borderId="1" xfId="0" applyNumberFormat="1" applyFont="1" applyFill="1" applyBorder="1" applyAlignment="1" applyProtection="1">
      <alignment horizontal="center" vertical="center"/>
    </xf>
    <xf numFmtId="181" fontId="8" fillId="2" borderId="1" xfId="0" applyNumberFormat="1" applyFont="1" applyFill="1" applyBorder="1" applyAlignment="1" applyProtection="1">
      <alignment horizontal="center" vertical="center"/>
    </xf>
    <xf numFmtId="0" fontId="9" fillId="0" borderId="1" xfId="0" applyFont="1" applyBorder="1"/>
    <xf numFmtId="0" fontId="10" fillId="0" borderId="1" xfId="0" applyNumberFormat="1" applyFont="1" applyFill="1" applyBorder="1" applyAlignment="1" applyProtection="1">
      <alignment horizontal="center" vertical="center"/>
    </xf>
    <xf numFmtId="0" fontId="9" fillId="0" borderId="1" xfId="0" applyFont="1" applyBorder="1" applyAlignment="1">
      <alignment horizontal="center" vertical="center"/>
    </xf>
    <xf numFmtId="3" fontId="8" fillId="2" borderId="1" xfId="0" applyNumberFormat="1" applyFont="1" applyFill="1" applyBorder="1" applyAlignment="1" applyProtection="1">
      <alignment horizontal="center" vertical="center"/>
    </xf>
    <xf numFmtId="38" fontId="9" fillId="0" borderId="1" xfId="0" applyNumberFormat="1" applyFont="1" applyBorder="1"/>
    <xf numFmtId="9" fontId="9" fillId="0" borderId="1" xfId="0" applyNumberFormat="1" applyFont="1" applyBorder="1"/>
    <xf numFmtId="182" fontId="9" fillId="0" borderId="1" xfId="1" applyNumberFormat="1" applyFont="1" applyBorder="1" applyAlignment="1"/>
    <xf numFmtId="0" fontId="9" fillId="0" borderId="1" xfId="0" applyFont="1" applyBorder="1" applyAlignment="1">
      <alignment wrapText="1"/>
    </xf>
    <xf numFmtId="9" fontId="0" fillId="0" borderId="1" xfId="3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[0] 2" xfId="49"/>
    <cellStyle name="Comma [0] 2 2" xfId="50"/>
    <cellStyle name="Comma [0] 3 2" xfId="51"/>
    <cellStyle name="Comma 16 3" xfId="52"/>
    <cellStyle name="Comma 2" xfId="53"/>
    <cellStyle name="Comma 5 2" xfId="54"/>
    <cellStyle name="Comma 5 2 2" xfId="55"/>
    <cellStyle name="Comma 7 2" xfId="56"/>
    <cellStyle name="Normal 2" xfId="57"/>
    <cellStyle name="Normal 2 2" xfId="58"/>
    <cellStyle name="Normal 3" xfId="59"/>
    <cellStyle name="Normal 4 3" xfId="6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comments" Target="../comments1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zoomScale="55" zoomScaleNormal="55" workbookViewId="0">
      <pane ySplit="1" topLeftCell="A2" activePane="bottomLeft" state="frozen"/>
      <selection/>
      <selection pane="bottomLeft" activeCell="C2" sqref="C2:C8"/>
    </sheetView>
  </sheetViews>
  <sheetFormatPr defaultColWidth="8.72727272727273" defaultRowHeight="14.5" outlineLevelRow="7"/>
  <cols>
    <col min="1" max="1" width="20.7272727272727" style="1" customWidth="1"/>
    <col min="2" max="2" width="11.4545454545455" style="2" customWidth="1"/>
    <col min="3" max="3" width="10.4545454545455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1.8181818181818" style="1" customWidth="1"/>
    <col min="10" max="10" width="9.18181818181818" style="1" customWidth="1"/>
    <col min="11" max="11" width="10.8181818181818" style="1" customWidth="1"/>
    <col min="12" max="12" width="60.1818181818182" style="1" customWidth="1"/>
    <col min="13" max="13" width="20.5454545454545" style="3" customWidth="1"/>
    <col min="14" max="14" width="12.4545454545455" style="4" customWidth="1"/>
    <col min="15" max="15" width="19.5454545454545" style="3" customWidth="1"/>
    <col min="16" max="16" width="19.7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7" t="s">
        <v>6</v>
      </c>
      <c r="H1" s="5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9" t="s">
        <v>12</v>
      </c>
      <c r="N1" s="10" t="s">
        <v>13</v>
      </c>
      <c r="O1" s="9" t="s">
        <v>14</v>
      </c>
      <c r="P1" s="5" t="s">
        <v>15</v>
      </c>
    </row>
    <row r="2" spans="1:16">
      <c r="A2" s="58" t="s">
        <v>16</v>
      </c>
      <c r="B2" s="8">
        <v>46093</v>
      </c>
      <c r="C2" s="8">
        <v>46098</v>
      </c>
      <c r="D2" s="7">
        <v>3302</v>
      </c>
      <c r="E2" s="7">
        <v>340</v>
      </c>
      <c r="F2" s="7">
        <v>6</v>
      </c>
      <c r="G2" s="7">
        <v>1</v>
      </c>
      <c r="H2" s="7">
        <v>721</v>
      </c>
      <c r="I2" s="7" t="s">
        <v>17</v>
      </c>
      <c r="J2" s="7">
        <v>21277227</v>
      </c>
      <c r="K2" s="7" t="s">
        <v>18</v>
      </c>
      <c r="L2" s="7" t="s">
        <v>19</v>
      </c>
      <c r="M2" s="20">
        <v>69900</v>
      </c>
      <c r="N2" s="56">
        <v>0.9</v>
      </c>
      <c r="O2" s="20">
        <f t="shared" ref="O2:O8" si="0">M2*(1-N2)</f>
        <v>6990</v>
      </c>
      <c r="P2" s="7" t="s">
        <v>20</v>
      </c>
    </row>
    <row r="3" spans="1:16">
      <c r="A3" s="58" t="s">
        <v>16</v>
      </c>
      <c r="B3" s="8">
        <v>46093</v>
      </c>
      <c r="C3" s="8">
        <v>46098</v>
      </c>
      <c r="D3" s="7">
        <v>3302</v>
      </c>
      <c r="E3" s="7">
        <v>340</v>
      </c>
      <c r="F3" s="7">
        <v>6</v>
      </c>
      <c r="G3" s="7">
        <v>1</v>
      </c>
      <c r="H3" s="7">
        <v>721</v>
      </c>
      <c r="I3" s="7" t="s">
        <v>17</v>
      </c>
      <c r="J3" s="7">
        <v>21808064</v>
      </c>
      <c r="K3" s="7" t="s">
        <v>21</v>
      </c>
      <c r="L3" s="7" t="s">
        <v>22</v>
      </c>
      <c r="M3" s="20">
        <v>89900</v>
      </c>
      <c r="N3" s="56">
        <v>0.9</v>
      </c>
      <c r="O3" s="20">
        <f t="shared" si="0"/>
        <v>8990</v>
      </c>
      <c r="P3" s="7" t="s">
        <v>20</v>
      </c>
    </row>
    <row r="4" spans="1:16">
      <c r="A4" s="58" t="s">
        <v>16</v>
      </c>
      <c r="B4" s="8">
        <v>46093</v>
      </c>
      <c r="C4" s="8">
        <v>46098</v>
      </c>
      <c r="D4" s="7">
        <v>3302</v>
      </c>
      <c r="E4" s="7">
        <v>340</v>
      </c>
      <c r="F4" s="7">
        <v>6</v>
      </c>
      <c r="G4" s="7">
        <v>1</v>
      </c>
      <c r="H4" s="7">
        <v>721</v>
      </c>
      <c r="I4" s="7" t="s">
        <v>17</v>
      </c>
      <c r="J4" s="7">
        <v>15693833</v>
      </c>
      <c r="K4" s="7" t="s">
        <v>23</v>
      </c>
      <c r="L4" s="7" t="s">
        <v>24</v>
      </c>
      <c r="M4" s="20">
        <v>149900</v>
      </c>
      <c r="N4" s="56">
        <v>0.9</v>
      </c>
      <c r="O4" s="20">
        <f t="shared" si="0"/>
        <v>14990</v>
      </c>
      <c r="P4" s="7" t="s">
        <v>20</v>
      </c>
    </row>
    <row r="5" spans="1:16">
      <c r="A5" s="58" t="s">
        <v>16</v>
      </c>
      <c r="B5" s="8">
        <v>46093</v>
      </c>
      <c r="C5" s="8">
        <v>46098</v>
      </c>
      <c r="D5" s="7">
        <v>3302</v>
      </c>
      <c r="E5" s="7">
        <v>340</v>
      </c>
      <c r="F5" s="7">
        <v>6</v>
      </c>
      <c r="G5" s="7">
        <v>1</v>
      </c>
      <c r="H5" s="7">
        <v>721</v>
      </c>
      <c r="I5" s="7" t="s">
        <v>17</v>
      </c>
      <c r="J5" s="7">
        <v>16123170</v>
      </c>
      <c r="K5" s="7" t="s">
        <v>25</v>
      </c>
      <c r="L5" s="7" t="s">
        <v>26</v>
      </c>
      <c r="M5" s="20">
        <v>149900</v>
      </c>
      <c r="N5" s="56">
        <v>0.9</v>
      </c>
      <c r="O5" s="20">
        <f t="shared" si="0"/>
        <v>14990</v>
      </c>
      <c r="P5" s="7" t="s">
        <v>20</v>
      </c>
    </row>
    <row r="6" spans="1:16">
      <c r="A6" s="58" t="s">
        <v>16</v>
      </c>
      <c r="B6" s="8">
        <v>46093</v>
      </c>
      <c r="C6" s="8">
        <v>46098</v>
      </c>
      <c r="D6" s="7">
        <v>3302</v>
      </c>
      <c r="E6" s="7">
        <v>340</v>
      </c>
      <c r="F6" s="7">
        <v>6</v>
      </c>
      <c r="G6" s="7">
        <v>1</v>
      </c>
      <c r="H6" s="7">
        <v>721</v>
      </c>
      <c r="I6" s="7" t="s">
        <v>17</v>
      </c>
      <c r="J6" s="7">
        <v>16236996</v>
      </c>
      <c r="K6" s="7" t="s">
        <v>27</v>
      </c>
      <c r="L6" s="7" t="s">
        <v>28</v>
      </c>
      <c r="M6" s="20">
        <v>49900</v>
      </c>
      <c r="N6" s="56">
        <v>0.9</v>
      </c>
      <c r="O6" s="20">
        <f t="shared" si="0"/>
        <v>4990</v>
      </c>
      <c r="P6" s="7" t="s">
        <v>20</v>
      </c>
    </row>
    <row r="7" spans="1:16">
      <c r="A7" s="58" t="s">
        <v>16</v>
      </c>
      <c r="B7" s="8">
        <v>46093</v>
      </c>
      <c r="C7" s="8">
        <v>46098</v>
      </c>
      <c r="D7" s="7">
        <v>3302</v>
      </c>
      <c r="E7" s="7">
        <v>340</v>
      </c>
      <c r="F7" s="7">
        <v>6</v>
      </c>
      <c r="G7" s="7">
        <v>1</v>
      </c>
      <c r="H7" s="7">
        <v>721</v>
      </c>
      <c r="I7" s="7" t="s">
        <v>17</v>
      </c>
      <c r="J7" s="7">
        <v>16271635</v>
      </c>
      <c r="K7" s="7" t="s">
        <v>29</v>
      </c>
      <c r="L7" s="7" t="s">
        <v>28</v>
      </c>
      <c r="M7" s="20">
        <v>59900</v>
      </c>
      <c r="N7" s="56">
        <v>0.9</v>
      </c>
      <c r="O7" s="20">
        <f t="shared" si="0"/>
        <v>5990</v>
      </c>
      <c r="P7" s="7" t="s">
        <v>20</v>
      </c>
    </row>
    <row r="8" spans="1:16">
      <c r="A8" s="58" t="s">
        <v>16</v>
      </c>
      <c r="B8" s="8">
        <v>46093</v>
      </c>
      <c r="C8" s="8">
        <v>46098</v>
      </c>
      <c r="D8" s="7">
        <v>3302</v>
      </c>
      <c r="E8" s="7">
        <v>340</v>
      </c>
      <c r="F8" s="7">
        <v>6</v>
      </c>
      <c r="G8" s="7">
        <v>1</v>
      </c>
      <c r="H8" s="7">
        <v>721</v>
      </c>
      <c r="I8" s="7" t="s">
        <v>17</v>
      </c>
      <c r="J8" s="7">
        <v>16271751</v>
      </c>
      <c r="K8" s="7" t="s">
        <v>30</v>
      </c>
      <c r="L8" s="7" t="s">
        <v>28</v>
      </c>
      <c r="M8" s="20">
        <v>59900</v>
      </c>
      <c r="N8" s="56">
        <v>0.9</v>
      </c>
      <c r="O8" s="20">
        <f t="shared" si="0"/>
        <v>5990</v>
      </c>
      <c r="P8" s="7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zoomScale="70" zoomScaleNormal="70" workbookViewId="0">
      <pane ySplit="1" topLeftCell="A2" activePane="bottomLeft" state="frozen"/>
      <selection/>
      <selection pane="bottomLeft" activeCell="C2" sqref="C2:C20"/>
    </sheetView>
  </sheetViews>
  <sheetFormatPr defaultColWidth="8.72727272727273" defaultRowHeight="14.5"/>
  <cols>
    <col min="1" max="1" width="27.4545454545455" style="1" customWidth="1"/>
    <col min="2" max="2" width="11.1818181818182" style="2" customWidth="1"/>
    <col min="3" max="3" width="10.8181818181818" style="2" customWidth="1"/>
    <col min="4" max="4" width="5.45454545454545" style="1" customWidth="1"/>
    <col min="5" max="5" width="7.72727272727273" style="1" customWidth="1"/>
    <col min="6" max="6" width="9.18181818181818" style="1" customWidth="1"/>
    <col min="7" max="7" width="6.27272727272727" style="1" customWidth="1"/>
    <col min="8" max="8" width="9.27272727272727" style="1" customWidth="1"/>
    <col min="9" max="9" width="7.81818181818182" style="1" customWidth="1"/>
    <col min="10" max="10" width="9" style="1" customWidth="1"/>
    <col min="11" max="11" width="10.5454545454545" style="1" customWidth="1"/>
    <col min="12" max="12" width="60.2727272727273" style="1" customWidth="1"/>
    <col min="13" max="13" width="16" style="3" customWidth="1"/>
    <col min="14" max="14" width="7.81818181818182" style="4" customWidth="1"/>
    <col min="15" max="15" width="15" style="3" customWidth="1"/>
    <col min="16" max="16" width="15.1818181818182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7" t="s">
        <v>6</v>
      </c>
      <c r="H1" s="5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9" t="s">
        <v>12</v>
      </c>
      <c r="N1" s="10" t="s">
        <v>13</v>
      </c>
      <c r="O1" s="9" t="s">
        <v>14</v>
      </c>
      <c r="P1" s="5" t="s">
        <v>15</v>
      </c>
    </row>
    <row r="2" spans="1:16">
      <c r="A2" s="7" t="s">
        <v>31</v>
      </c>
      <c r="B2" s="8">
        <v>46093</v>
      </c>
      <c r="C2" s="8">
        <v>46098</v>
      </c>
      <c r="D2" s="7">
        <v>3302</v>
      </c>
      <c r="E2" s="7">
        <v>340</v>
      </c>
      <c r="F2" s="7">
        <v>6</v>
      </c>
      <c r="G2" s="7">
        <v>1</v>
      </c>
      <c r="H2" s="7">
        <v>721</v>
      </c>
      <c r="I2" s="7" t="s">
        <v>32</v>
      </c>
      <c r="J2" s="7">
        <v>21601303</v>
      </c>
      <c r="K2" s="7" t="s">
        <v>33</v>
      </c>
      <c r="L2" s="7" t="s">
        <v>34</v>
      </c>
      <c r="M2" s="20">
        <v>139900</v>
      </c>
      <c r="N2" s="56">
        <v>0.9</v>
      </c>
      <c r="O2" s="20">
        <f t="shared" ref="O2:O20" si="0">M2*(1-N2)</f>
        <v>13990</v>
      </c>
      <c r="P2" s="7" t="s">
        <v>20</v>
      </c>
    </row>
    <row r="3" spans="1:16">
      <c r="A3" s="7" t="s">
        <v>31</v>
      </c>
      <c r="B3" s="8">
        <v>46093</v>
      </c>
      <c r="C3" s="8">
        <v>46098</v>
      </c>
      <c r="D3" s="7">
        <v>3302</v>
      </c>
      <c r="E3" s="7">
        <v>340</v>
      </c>
      <c r="F3" s="7">
        <v>6</v>
      </c>
      <c r="G3" s="7">
        <v>1</v>
      </c>
      <c r="H3" s="7">
        <v>721</v>
      </c>
      <c r="I3" s="7" t="s">
        <v>32</v>
      </c>
      <c r="J3" s="7">
        <v>21601312</v>
      </c>
      <c r="K3" s="7" t="s">
        <v>35</v>
      </c>
      <c r="L3" s="7" t="s">
        <v>36</v>
      </c>
      <c r="M3" s="20">
        <v>139900</v>
      </c>
      <c r="N3" s="56">
        <v>0.9</v>
      </c>
      <c r="O3" s="20">
        <f t="shared" si="0"/>
        <v>13990</v>
      </c>
      <c r="P3" s="7" t="s">
        <v>20</v>
      </c>
    </row>
    <row r="4" spans="1:16">
      <c r="A4" s="7" t="s">
        <v>31</v>
      </c>
      <c r="B4" s="8">
        <v>46093</v>
      </c>
      <c r="C4" s="8">
        <v>46098</v>
      </c>
      <c r="D4" s="7">
        <v>3302</v>
      </c>
      <c r="E4" s="7">
        <v>340</v>
      </c>
      <c r="F4" s="7">
        <v>6</v>
      </c>
      <c r="G4" s="7">
        <v>1</v>
      </c>
      <c r="H4" s="7">
        <v>721</v>
      </c>
      <c r="I4" s="7" t="s">
        <v>32</v>
      </c>
      <c r="J4" s="7">
        <v>21601349</v>
      </c>
      <c r="K4" s="7" t="s">
        <v>37</v>
      </c>
      <c r="L4" s="7" t="s">
        <v>38</v>
      </c>
      <c r="M4" s="20">
        <v>139900</v>
      </c>
      <c r="N4" s="56">
        <v>0.9</v>
      </c>
      <c r="O4" s="20">
        <f t="shared" si="0"/>
        <v>13990</v>
      </c>
      <c r="P4" s="7" t="s">
        <v>20</v>
      </c>
    </row>
    <row r="5" spans="1:16">
      <c r="A5" s="7" t="s">
        <v>31</v>
      </c>
      <c r="B5" s="8">
        <v>46093</v>
      </c>
      <c r="C5" s="8">
        <v>46098</v>
      </c>
      <c r="D5" s="7">
        <v>3302</v>
      </c>
      <c r="E5" s="7">
        <v>340</v>
      </c>
      <c r="F5" s="7">
        <v>6</v>
      </c>
      <c r="G5" s="7">
        <v>1</v>
      </c>
      <c r="H5" s="7">
        <v>721</v>
      </c>
      <c r="I5" s="7" t="s">
        <v>32</v>
      </c>
      <c r="J5" s="7">
        <v>24017350</v>
      </c>
      <c r="K5" s="7" t="s">
        <v>39</v>
      </c>
      <c r="L5" s="7" t="s">
        <v>40</v>
      </c>
      <c r="M5" s="20">
        <v>89900</v>
      </c>
      <c r="N5" s="56">
        <v>0.9</v>
      </c>
      <c r="O5" s="20">
        <f t="shared" si="0"/>
        <v>8990</v>
      </c>
      <c r="P5" s="7" t="s">
        <v>20</v>
      </c>
    </row>
    <row r="6" spans="1:16">
      <c r="A6" s="7" t="s">
        <v>31</v>
      </c>
      <c r="B6" s="8">
        <v>46093</v>
      </c>
      <c r="C6" s="8">
        <v>46098</v>
      </c>
      <c r="D6" s="7">
        <v>3302</v>
      </c>
      <c r="E6" s="7">
        <v>340</v>
      </c>
      <c r="F6" s="7">
        <v>6</v>
      </c>
      <c r="G6" s="7">
        <v>1</v>
      </c>
      <c r="H6" s="7">
        <v>721</v>
      </c>
      <c r="I6" s="7" t="s">
        <v>32</v>
      </c>
      <c r="J6" s="7">
        <v>24017369</v>
      </c>
      <c r="K6" s="7" t="s">
        <v>41</v>
      </c>
      <c r="L6" s="7" t="s">
        <v>42</v>
      </c>
      <c r="M6" s="20">
        <v>89900</v>
      </c>
      <c r="N6" s="56">
        <v>0.9</v>
      </c>
      <c r="O6" s="20">
        <f t="shared" si="0"/>
        <v>8990</v>
      </c>
      <c r="P6" s="7" t="s">
        <v>20</v>
      </c>
    </row>
    <row r="7" spans="1:16">
      <c r="A7" s="7" t="s">
        <v>31</v>
      </c>
      <c r="B7" s="8">
        <v>46093</v>
      </c>
      <c r="C7" s="8">
        <v>46098</v>
      </c>
      <c r="D7" s="7">
        <v>3302</v>
      </c>
      <c r="E7" s="7">
        <v>340</v>
      </c>
      <c r="F7" s="7">
        <v>6</v>
      </c>
      <c r="G7" s="7">
        <v>1</v>
      </c>
      <c r="H7" s="7">
        <v>721</v>
      </c>
      <c r="I7" s="7" t="s">
        <v>32</v>
      </c>
      <c r="J7" s="7">
        <v>24017378</v>
      </c>
      <c r="K7" s="7" t="s">
        <v>43</v>
      </c>
      <c r="L7" s="7" t="s">
        <v>44</v>
      </c>
      <c r="M7" s="20">
        <v>89900</v>
      </c>
      <c r="N7" s="56">
        <v>0.9</v>
      </c>
      <c r="O7" s="20">
        <f t="shared" si="0"/>
        <v>8990</v>
      </c>
      <c r="P7" s="7" t="s">
        <v>20</v>
      </c>
    </row>
    <row r="8" spans="1:16">
      <c r="A8" s="7" t="s">
        <v>31</v>
      </c>
      <c r="B8" s="8">
        <v>46093</v>
      </c>
      <c r="C8" s="8">
        <v>46098</v>
      </c>
      <c r="D8" s="7">
        <v>3302</v>
      </c>
      <c r="E8" s="7">
        <v>340</v>
      </c>
      <c r="F8" s="7">
        <v>6</v>
      </c>
      <c r="G8" s="7">
        <v>1</v>
      </c>
      <c r="H8" s="7">
        <v>721</v>
      </c>
      <c r="I8" s="7" t="s">
        <v>32</v>
      </c>
      <c r="J8" s="7">
        <v>24017387</v>
      </c>
      <c r="K8" s="7" t="s">
        <v>45</v>
      </c>
      <c r="L8" s="7" t="s">
        <v>46</v>
      </c>
      <c r="M8" s="20">
        <v>89900</v>
      </c>
      <c r="N8" s="56">
        <v>0.9</v>
      </c>
      <c r="O8" s="20">
        <f t="shared" si="0"/>
        <v>8990</v>
      </c>
      <c r="P8" s="7" t="s">
        <v>20</v>
      </c>
    </row>
    <row r="9" spans="1:16">
      <c r="A9" s="7" t="s">
        <v>31</v>
      </c>
      <c r="B9" s="8">
        <v>46093</v>
      </c>
      <c r="C9" s="8">
        <v>46098</v>
      </c>
      <c r="D9" s="7">
        <v>3302</v>
      </c>
      <c r="E9" s="7">
        <v>340</v>
      </c>
      <c r="F9" s="7">
        <v>6</v>
      </c>
      <c r="G9" s="7">
        <v>1</v>
      </c>
      <c r="H9" s="7">
        <v>721</v>
      </c>
      <c r="I9" s="7" t="s">
        <v>32</v>
      </c>
      <c r="J9" s="7">
        <v>24017396</v>
      </c>
      <c r="K9" s="7" t="s">
        <v>47</v>
      </c>
      <c r="L9" s="7" t="s">
        <v>48</v>
      </c>
      <c r="M9" s="20">
        <v>89900</v>
      </c>
      <c r="N9" s="56">
        <v>0.9</v>
      </c>
      <c r="O9" s="20">
        <f t="shared" si="0"/>
        <v>8990</v>
      </c>
      <c r="P9" s="7" t="s">
        <v>20</v>
      </c>
    </row>
    <row r="10" spans="1:16">
      <c r="A10" s="7" t="s">
        <v>31</v>
      </c>
      <c r="B10" s="8">
        <v>46093</v>
      </c>
      <c r="C10" s="8">
        <v>46098</v>
      </c>
      <c r="D10" s="7">
        <v>3302</v>
      </c>
      <c r="E10" s="7">
        <v>340</v>
      </c>
      <c r="F10" s="7">
        <v>6</v>
      </c>
      <c r="G10" s="7">
        <v>1</v>
      </c>
      <c r="H10" s="7">
        <v>721</v>
      </c>
      <c r="I10" s="7" t="s">
        <v>32</v>
      </c>
      <c r="J10" s="7">
        <v>26477421</v>
      </c>
      <c r="K10" s="7" t="s">
        <v>49</v>
      </c>
      <c r="L10" s="7" t="s">
        <v>50</v>
      </c>
      <c r="M10" s="20">
        <v>89900</v>
      </c>
      <c r="N10" s="56">
        <v>0.9</v>
      </c>
      <c r="O10" s="20">
        <f t="shared" si="0"/>
        <v>8990</v>
      </c>
      <c r="P10" s="7" t="s">
        <v>20</v>
      </c>
    </row>
    <row r="11" spans="1:16">
      <c r="A11" s="7" t="s">
        <v>31</v>
      </c>
      <c r="B11" s="8">
        <v>46093</v>
      </c>
      <c r="C11" s="8">
        <v>46098</v>
      </c>
      <c r="D11" s="7">
        <v>3302</v>
      </c>
      <c r="E11" s="7">
        <v>340</v>
      </c>
      <c r="F11" s="7">
        <v>6</v>
      </c>
      <c r="G11" s="7">
        <v>1</v>
      </c>
      <c r="H11" s="7">
        <v>721</v>
      </c>
      <c r="I11" s="7" t="s">
        <v>32</v>
      </c>
      <c r="J11" s="7">
        <v>26477430</v>
      </c>
      <c r="K11" s="7" t="s">
        <v>51</v>
      </c>
      <c r="L11" s="7" t="s">
        <v>52</v>
      </c>
      <c r="M11" s="20">
        <v>89900</v>
      </c>
      <c r="N11" s="56">
        <v>0.9</v>
      </c>
      <c r="O11" s="20">
        <f t="shared" si="0"/>
        <v>8990</v>
      </c>
      <c r="P11" s="7" t="s">
        <v>20</v>
      </c>
    </row>
    <row r="12" spans="1:16">
      <c r="A12" s="7" t="s">
        <v>31</v>
      </c>
      <c r="B12" s="8">
        <v>46093</v>
      </c>
      <c r="C12" s="8">
        <v>46098</v>
      </c>
      <c r="D12" s="7">
        <v>3302</v>
      </c>
      <c r="E12" s="7">
        <v>340</v>
      </c>
      <c r="F12" s="7">
        <v>6</v>
      </c>
      <c r="G12" s="7">
        <v>1</v>
      </c>
      <c r="H12" s="7">
        <v>721</v>
      </c>
      <c r="I12" s="7" t="s">
        <v>32</v>
      </c>
      <c r="J12" s="7">
        <v>26477449</v>
      </c>
      <c r="K12" s="7" t="s">
        <v>53</v>
      </c>
      <c r="L12" s="7" t="s">
        <v>54</v>
      </c>
      <c r="M12" s="20">
        <v>89900</v>
      </c>
      <c r="N12" s="56">
        <v>0.9</v>
      </c>
      <c r="O12" s="20">
        <f t="shared" si="0"/>
        <v>8990</v>
      </c>
      <c r="P12" s="7" t="s">
        <v>20</v>
      </c>
    </row>
    <row r="13" spans="1:16">
      <c r="A13" s="7" t="s">
        <v>31</v>
      </c>
      <c r="B13" s="8">
        <v>46093</v>
      </c>
      <c r="C13" s="8">
        <v>46098</v>
      </c>
      <c r="D13" s="7">
        <v>3302</v>
      </c>
      <c r="E13" s="7">
        <v>340</v>
      </c>
      <c r="F13" s="7">
        <v>6</v>
      </c>
      <c r="G13" s="7">
        <v>1</v>
      </c>
      <c r="H13" s="7">
        <v>721</v>
      </c>
      <c r="I13" s="7" t="s">
        <v>32</v>
      </c>
      <c r="J13" s="7">
        <v>26477458</v>
      </c>
      <c r="K13" s="7" t="s">
        <v>55</v>
      </c>
      <c r="L13" s="7" t="s">
        <v>56</v>
      </c>
      <c r="M13" s="20">
        <v>89900</v>
      </c>
      <c r="N13" s="56">
        <v>0.9</v>
      </c>
      <c r="O13" s="20">
        <f t="shared" si="0"/>
        <v>8990</v>
      </c>
      <c r="P13" s="7" t="s">
        <v>20</v>
      </c>
    </row>
    <row r="14" spans="1:16">
      <c r="A14" s="7" t="s">
        <v>31</v>
      </c>
      <c r="B14" s="8">
        <v>46093</v>
      </c>
      <c r="C14" s="8">
        <v>46098</v>
      </c>
      <c r="D14" s="7">
        <v>3302</v>
      </c>
      <c r="E14" s="7">
        <v>340</v>
      </c>
      <c r="F14" s="7">
        <v>6</v>
      </c>
      <c r="G14" s="7">
        <v>1</v>
      </c>
      <c r="H14" s="7">
        <v>721</v>
      </c>
      <c r="I14" s="7" t="s">
        <v>32</v>
      </c>
      <c r="J14" s="7">
        <v>26477467</v>
      </c>
      <c r="K14" s="7" t="s">
        <v>57</v>
      </c>
      <c r="L14" s="7" t="s">
        <v>58</v>
      </c>
      <c r="M14" s="20">
        <v>89900</v>
      </c>
      <c r="N14" s="56">
        <v>0.9</v>
      </c>
      <c r="O14" s="20">
        <f t="shared" si="0"/>
        <v>8990</v>
      </c>
      <c r="P14" s="7" t="s">
        <v>20</v>
      </c>
    </row>
    <row r="15" spans="1:16">
      <c r="A15" s="7" t="s">
        <v>31</v>
      </c>
      <c r="B15" s="8">
        <v>46093</v>
      </c>
      <c r="C15" s="8">
        <v>46098</v>
      </c>
      <c r="D15" s="7">
        <v>3302</v>
      </c>
      <c r="E15" s="7">
        <v>340</v>
      </c>
      <c r="F15" s="7">
        <v>6</v>
      </c>
      <c r="G15" s="7">
        <v>1</v>
      </c>
      <c r="H15" s="7">
        <v>721</v>
      </c>
      <c r="I15" s="7" t="s">
        <v>32</v>
      </c>
      <c r="J15" s="7">
        <v>26477476</v>
      </c>
      <c r="K15" s="7" t="s">
        <v>59</v>
      </c>
      <c r="L15" s="7" t="s">
        <v>60</v>
      </c>
      <c r="M15" s="20">
        <v>89900</v>
      </c>
      <c r="N15" s="56">
        <v>0.9</v>
      </c>
      <c r="O15" s="20">
        <f t="shared" si="0"/>
        <v>8990</v>
      </c>
      <c r="P15" s="7" t="s">
        <v>20</v>
      </c>
    </row>
    <row r="16" spans="1:16">
      <c r="A16" s="7" t="s">
        <v>31</v>
      </c>
      <c r="B16" s="8">
        <v>46093</v>
      </c>
      <c r="C16" s="8">
        <v>46098</v>
      </c>
      <c r="D16" s="7">
        <v>3302</v>
      </c>
      <c r="E16" s="7">
        <v>340</v>
      </c>
      <c r="F16" s="7">
        <v>6</v>
      </c>
      <c r="G16" s="7">
        <v>1</v>
      </c>
      <c r="H16" s="7">
        <v>721</v>
      </c>
      <c r="I16" s="7" t="s">
        <v>32</v>
      </c>
      <c r="J16" s="7">
        <v>22079136</v>
      </c>
      <c r="K16" s="7" t="s">
        <v>61</v>
      </c>
      <c r="L16" s="7" t="s">
        <v>62</v>
      </c>
      <c r="M16" s="20">
        <v>89900</v>
      </c>
      <c r="N16" s="56">
        <v>0.9</v>
      </c>
      <c r="O16" s="20">
        <f t="shared" si="0"/>
        <v>8990</v>
      </c>
      <c r="P16" s="7" t="s">
        <v>20</v>
      </c>
    </row>
    <row r="17" spans="1:16">
      <c r="A17" s="7" t="s">
        <v>31</v>
      </c>
      <c r="B17" s="8">
        <v>46093</v>
      </c>
      <c r="C17" s="8">
        <v>46098</v>
      </c>
      <c r="D17" s="7">
        <v>3302</v>
      </c>
      <c r="E17" s="7">
        <v>340</v>
      </c>
      <c r="F17" s="7">
        <v>6</v>
      </c>
      <c r="G17" s="7">
        <v>1</v>
      </c>
      <c r="H17" s="7">
        <v>721</v>
      </c>
      <c r="I17" s="7" t="s">
        <v>32</v>
      </c>
      <c r="J17" s="7">
        <v>23539048</v>
      </c>
      <c r="K17" s="7" t="s">
        <v>63</v>
      </c>
      <c r="L17" s="7" t="s">
        <v>64</v>
      </c>
      <c r="M17" s="20">
        <v>89900</v>
      </c>
      <c r="N17" s="56">
        <v>0.9</v>
      </c>
      <c r="O17" s="20">
        <f t="shared" si="0"/>
        <v>8990</v>
      </c>
      <c r="P17" s="7" t="s">
        <v>20</v>
      </c>
    </row>
    <row r="18" spans="1:16">
      <c r="A18" s="7" t="s">
        <v>31</v>
      </c>
      <c r="B18" s="8">
        <v>46093</v>
      </c>
      <c r="C18" s="8">
        <v>46098</v>
      </c>
      <c r="D18" s="7">
        <v>3302</v>
      </c>
      <c r="E18" s="7">
        <v>340</v>
      </c>
      <c r="F18" s="7">
        <v>6</v>
      </c>
      <c r="G18" s="7">
        <v>1</v>
      </c>
      <c r="H18" s="7">
        <v>721</v>
      </c>
      <c r="I18" s="7" t="s">
        <v>32</v>
      </c>
      <c r="J18" s="7">
        <v>23539057</v>
      </c>
      <c r="K18" s="7" t="s">
        <v>65</v>
      </c>
      <c r="L18" s="7" t="s">
        <v>66</v>
      </c>
      <c r="M18" s="20">
        <v>89900</v>
      </c>
      <c r="N18" s="56">
        <v>0.9</v>
      </c>
      <c r="O18" s="20">
        <f t="shared" si="0"/>
        <v>8990</v>
      </c>
      <c r="P18" s="7" t="s">
        <v>20</v>
      </c>
    </row>
    <row r="19" spans="1:16">
      <c r="A19" s="7" t="s">
        <v>31</v>
      </c>
      <c r="B19" s="8">
        <v>46093</v>
      </c>
      <c r="C19" s="8">
        <v>46098</v>
      </c>
      <c r="D19" s="7">
        <v>3302</v>
      </c>
      <c r="E19" s="7">
        <v>340</v>
      </c>
      <c r="F19" s="7">
        <v>6</v>
      </c>
      <c r="G19" s="7">
        <v>1</v>
      </c>
      <c r="H19" s="7">
        <v>721</v>
      </c>
      <c r="I19" s="7" t="s">
        <v>32</v>
      </c>
      <c r="J19" s="7">
        <v>23539066</v>
      </c>
      <c r="K19" s="7" t="s">
        <v>67</v>
      </c>
      <c r="L19" s="7" t="s">
        <v>68</v>
      </c>
      <c r="M19" s="20">
        <v>89900</v>
      </c>
      <c r="N19" s="56">
        <v>0.9</v>
      </c>
      <c r="O19" s="20">
        <f t="shared" si="0"/>
        <v>8990</v>
      </c>
      <c r="P19" s="7" t="s">
        <v>20</v>
      </c>
    </row>
    <row r="20" spans="1:16">
      <c r="A20" s="7" t="s">
        <v>31</v>
      </c>
      <c r="B20" s="8">
        <v>46093</v>
      </c>
      <c r="C20" s="8">
        <v>46098</v>
      </c>
      <c r="D20" s="7">
        <v>3302</v>
      </c>
      <c r="E20" s="7">
        <v>340</v>
      </c>
      <c r="F20" s="7">
        <v>6</v>
      </c>
      <c r="G20" s="7">
        <v>1</v>
      </c>
      <c r="H20" s="7">
        <v>721</v>
      </c>
      <c r="I20" s="7" t="s">
        <v>32</v>
      </c>
      <c r="J20" s="7">
        <v>23539075</v>
      </c>
      <c r="K20" s="7" t="s">
        <v>69</v>
      </c>
      <c r="L20" s="7" t="s">
        <v>70</v>
      </c>
      <c r="M20" s="20">
        <v>89900</v>
      </c>
      <c r="N20" s="56">
        <v>0.9</v>
      </c>
      <c r="O20" s="20">
        <f t="shared" si="0"/>
        <v>8990</v>
      </c>
      <c r="P20" s="7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zoomScale="70" zoomScaleNormal="70" workbookViewId="0">
      <pane ySplit="1" topLeftCell="A2" activePane="bottomLeft" state="frozen"/>
      <selection/>
      <selection pane="bottomLeft" activeCell="C2" sqref="C2:C7"/>
    </sheetView>
  </sheetViews>
  <sheetFormatPr defaultColWidth="8.72727272727273" defaultRowHeight="14.5" outlineLevelRow="6"/>
  <cols>
    <col min="1" max="1" width="25.1818181818182" style="1" customWidth="1"/>
    <col min="2" max="2" width="11.4545454545455" style="2" customWidth="1"/>
    <col min="3" max="3" width="10.4545454545455" style="2" customWidth="1"/>
    <col min="4" max="4" width="5.45454545454545" style="1" customWidth="1"/>
    <col min="5" max="5" width="7.72727272727273" style="1" customWidth="1"/>
    <col min="6" max="6" width="9.18181818181818" style="1" customWidth="1"/>
    <col min="7" max="7" width="6.27272727272727" style="1" customWidth="1"/>
    <col min="8" max="8" width="9.27272727272727" style="1" customWidth="1"/>
    <col min="9" max="9" width="12" style="1" customWidth="1"/>
    <col min="10" max="10" width="9" style="1" customWidth="1"/>
    <col min="11" max="11" width="10" style="1" customWidth="1"/>
    <col min="12" max="12" width="64.8181818181818" style="1" customWidth="1"/>
    <col min="13" max="13" width="16" style="3" customWidth="1"/>
    <col min="14" max="14" width="7.81818181818182" style="4" customWidth="1"/>
    <col min="15" max="15" width="15" style="3" customWidth="1"/>
    <col min="16" max="16" width="15.1818181818182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7" t="s">
        <v>6</v>
      </c>
      <c r="H1" s="5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9" t="s">
        <v>12</v>
      </c>
      <c r="N1" s="10" t="s">
        <v>13</v>
      </c>
      <c r="O1" s="9" t="s">
        <v>14</v>
      </c>
      <c r="P1" s="5" t="s">
        <v>15</v>
      </c>
    </row>
    <row r="2" spans="1:16">
      <c r="A2" s="7" t="s">
        <v>71</v>
      </c>
      <c r="B2" s="8">
        <v>46093</v>
      </c>
      <c r="C2" s="8">
        <v>46098</v>
      </c>
      <c r="D2" s="7">
        <v>3302</v>
      </c>
      <c r="E2" s="7">
        <v>340</v>
      </c>
      <c r="F2" s="7">
        <v>6</v>
      </c>
      <c r="G2" s="7">
        <v>1</v>
      </c>
      <c r="H2" s="7">
        <v>721</v>
      </c>
      <c r="I2" s="7" t="s">
        <v>72</v>
      </c>
      <c r="J2" s="7">
        <v>23229598</v>
      </c>
      <c r="K2" s="7" t="s">
        <v>73</v>
      </c>
      <c r="L2" s="7" t="s">
        <v>74</v>
      </c>
      <c r="M2" s="20">
        <v>59900</v>
      </c>
      <c r="N2" s="56">
        <v>0.9</v>
      </c>
      <c r="O2" s="20">
        <f t="shared" ref="O2:O7" si="0">M2*(1-N2)</f>
        <v>5990</v>
      </c>
      <c r="P2" s="7" t="s">
        <v>20</v>
      </c>
    </row>
    <row r="3" spans="1:16">
      <c r="A3" s="7" t="s">
        <v>71</v>
      </c>
      <c r="B3" s="8">
        <v>46093</v>
      </c>
      <c r="C3" s="8">
        <v>46098</v>
      </c>
      <c r="D3" s="7">
        <v>3302</v>
      </c>
      <c r="E3" s="7">
        <v>340</v>
      </c>
      <c r="F3" s="7">
        <v>6</v>
      </c>
      <c r="G3" s="7">
        <v>1</v>
      </c>
      <c r="H3" s="7">
        <v>721</v>
      </c>
      <c r="I3" s="7" t="s">
        <v>72</v>
      </c>
      <c r="J3" s="7">
        <v>23229641</v>
      </c>
      <c r="K3" s="7" t="s">
        <v>75</v>
      </c>
      <c r="L3" s="7" t="s">
        <v>76</v>
      </c>
      <c r="M3" s="20">
        <v>59900</v>
      </c>
      <c r="N3" s="56">
        <v>0.9</v>
      </c>
      <c r="O3" s="20">
        <f t="shared" si="0"/>
        <v>5990</v>
      </c>
      <c r="P3" s="7" t="s">
        <v>20</v>
      </c>
    </row>
    <row r="4" spans="1:16">
      <c r="A4" s="7" t="s">
        <v>71</v>
      </c>
      <c r="B4" s="8">
        <v>46093</v>
      </c>
      <c r="C4" s="8">
        <v>46098</v>
      </c>
      <c r="D4" s="7">
        <v>3302</v>
      </c>
      <c r="E4" s="7">
        <v>340</v>
      </c>
      <c r="F4" s="7">
        <v>6</v>
      </c>
      <c r="G4" s="7">
        <v>1</v>
      </c>
      <c r="H4" s="7">
        <v>721</v>
      </c>
      <c r="I4" s="7" t="s">
        <v>72</v>
      </c>
      <c r="J4" s="7">
        <v>24726969</v>
      </c>
      <c r="K4" s="7" t="s">
        <v>77</v>
      </c>
      <c r="L4" s="7" t="s">
        <v>78</v>
      </c>
      <c r="M4" s="20">
        <v>59900</v>
      </c>
      <c r="N4" s="56">
        <v>0.9</v>
      </c>
      <c r="O4" s="20">
        <f t="shared" si="0"/>
        <v>5990</v>
      </c>
      <c r="P4" s="7" t="s">
        <v>20</v>
      </c>
    </row>
    <row r="5" spans="1:16">
      <c r="A5" s="7" t="s">
        <v>71</v>
      </c>
      <c r="B5" s="8">
        <v>46093</v>
      </c>
      <c r="C5" s="8">
        <v>46098</v>
      </c>
      <c r="D5" s="7">
        <v>3302</v>
      </c>
      <c r="E5" s="7">
        <v>340</v>
      </c>
      <c r="F5" s="7">
        <v>6</v>
      </c>
      <c r="G5" s="7">
        <v>1</v>
      </c>
      <c r="H5" s="7">
        <v>81757</v>
      </c>
      <c r="I5" s="7" t="s">
        <v>72</v>
      </c>
      <c r="J5" s="7">
        <v>33342268</v>
      </c>
      <c r="K5" s="7" t="s">
        <v>79</v>
      </c>
      <c r="L5" s="7" t="s">
        <v>80</v>
      </c>
      <c r="M5" s="20">
        <v>79900</v>
      </c>
      <c r="N5" s="56">
        <v>0.9</v>
      </c>
      <c r="O5" s="20">
        <f t="shared" si="0"/>
        <v>7990</v>
      </c>
      <c r="P5" s="7" t="s">
        <v>20</v>
      </c>
    </row>
    <row r="6" spans="1:16">
      <c r="A6" s="7" t="s">
        <v>71</v>
      </c>
      <c r="B6" s="8">
        <v>46093</v>
      </c>
      <c r="C6" s="8">
        <v>46098</v>
      </c>
      <c r="D6" s="7">
        <v>3302</v>
      </c>
      <c r="E6" s="7">
        <v>340</v>
      </c>
      <c r="F6" s="7">
        <v>6</v>
      </c>
      <c r="G6" s="7">
        <v>1</v>
      </c>
      <c r="H6" s="7">
        <v>81757</v>
      </c>
      <c r="I6" s="7" t="s">
        <v>72</v>
      </c>
      <c r="J6" s="7">
        <v>33342277</v>
      </c>
      <c r="K6" s="7" t="s">
        <v>79</v>
      </c>
      <c r="L6" s="7" t="s">
        <v>81</v>
      </c>
      <c r="M6" s="20">
        <v>79900</v>
      </c>
      <c r="N6" s="56">
        <v>0.9</v>
      </c>
      <c r="O6" s="20">
        <f t="shared" si="0"/>
        <v>7990</v>
      </c>
      <c r="P6" s="7" t="s">
        <v>20</v>
      </c>
    </row>
    <row r="7" spans="1:16">
      <c r="A7" s="7" t="s">
        <v>71</v>
      </c>
      <c r="B7" s="8">
        <v>46093</v>
      </c>
      <c r="C7" s="8">
        <v>46098</v>
      </c>
      <c r="D7" s="7">
        <v>3302</v>
      </c>
      <c r="E7" s="7">
        <v>340</v>
      </c>
      <c r="F7" s="7">
        <v>6</v>
      </c>
      <c r="G7" s="7">
        <v>1</v>
      </c>
      <c r="H7" s="7">
        <v>81757</v>
      </c>
      <c r="I7" s="7" t="s">
        <v>72</v>
      </c>
      <c r="J7" s="7">
        <v>33342286</v>
      </c>
      <c r="K7" s="7" t="s">
        <v>79</v>
      </c>
      <c r="L7" s="7" t="s">
        <v>82</v>
      </c>
      <c r="M7" s="20">
        <v>79900</v>
      </c>
      <c r="N7" s="56">
        <v>0.9</v>
      </c>
      <c r="O7" s="20">
        <f t="shared" si="0"/>
        <v>7990</v>
      </c>
      <c r="P7" s="7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zoomScale="70" zoomScaleNormal="70" workbookViewId="0">
      <pane ySplit="1" topLeftCell="A2" activePane="bottomLeft" state="frozen"/>
      <selection/>
      <selection pane="bottomLeft" activeCell="C2" sqref="C2:C13"/>
    </sheetView>
  </sheetViews>
  <sheetFormatPr defaultColWidth="8.72727272727273" defaultRowHeight="14.5"/>
  <cols>
    <col min="1" max="1" width="18.7272727272727" style="1" customWidth="1"/>
    <col min="2" max="2" width="11.4545454545455" style="2" customWidth="1"/>
    <col min="3" max="3" width="10.4545454545455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2" style="1" customWidth="1"/>
    <col min="10" max="10" width="9.18181818181818" style="1" customWidth="1"/>
    <col min="11" max="11" width="12.5454545454545" style="1" customWidth="1"/>
    <col min="12" max="12" width="56.3636363636364" style="1" customWidth="1"/>
    <col min="13" max="13" width="20.5454545454545" style="3" customWidth="1"/>
    <col min="14" max="14" width="12.4545454545455" style="4" customWidth="1"/>
    <col min="15" max="15" width="19.5454545454545" style="3" customWidth="1"/>
    <col min="16" max="16" width="19.7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9" t="s">
        <v>12</v>
      </c>
      <c r="N1" s="10" t="s">
        <v>13</v>
      </c>
      <c r="O1" s="9" t="s">
        <v>14</v>
      </c>
      <c r="P1" s="5" t="s">
        <v>15</v>
      </c>
    </row>
    <row r="2" spans="1:16">
      <c r="A2" s="7" t="s">
        <v>83</v>
      </c>
      <c r="B2" s="8">
        <v>46093</v>
      </c>
      <c r="C2" s="8">
        <v>46098</v>
      </c>
      <c r="D2" s="7">
        <v>3302</v>
      </c>
      <c r="E2" s="7">
        <v>340</v>
      </c>
      <c r="F2" s="7">
        <v>6</v>
      </c>
      <c r="G2" s="7">
        <v>1</v>
      </c>
      <c r="H2" s="7">
        <v>721</v>
      </c>
      <c r="I2" s="7" t="s">
        <v>72</v>
      </c>
      <c r="J2" s="7">
        <v>33342213</v>
      </c>
      <c r="K2" s="7" t="s">
        <v>84</v>
      </c>
      <c r="L2" s="19" t="s">
        <v>85</v>
      </c>
      <c r="M2" s="20">
        <v>199900</v>
      </c>
      <c r="N2" s="56">
        <v>0.9</v>
      </c>
      <c r="O2" s="20">
        <f>M2-(M2*N2)</f>
        <v>19990</v>
      </c>
      <c r="P2" s="7" t="s">
        <v>20</v>
      </c>
    </row>
    <row r="3" spans="1:16">
      <c r="A3" s="7" t="s">
        <v>83</v>
      </c>
      <c r="B3" s="8">
        <v>46093</v>
      </c>
      <c r="C3" s="8">
        <v>46098</v>
      </c>
      <c r="D3" s="7">
        <v>3302</v>
      </c>
      <c r="E3" s="7">
        <v>340</v>
      </c>
      <c r="F3" s="7">
        <v>6</v>
      </c>
      <c r="G3" s="7">
        <v>1</v>
      </c>
      <c r="H3" s="7">
        <v>721</v>
      </c>
      <c r="I3" s="7" t="s">
        <v>72</v>
      </c>
      <c r="J3" s="7">
        <v>33342240</v>
      </c>
      <c r="K3" s="7" t="s">
        <v>86</v>
      </c>
      <c r="L3" s="19" t="s">
        <v>87</v>
      </c>
      <c r="M3" s="20">
        <v>139900</v>
      </c>
      <c r="N3" s="56">
        <v>0.9</v>
      </c>
      <c r="O3" s="20">
        <f t="shared" ref="O3:O13" si="0">M3-(M3*N3)</f>
        <v>13990</v>
      </c>
      <c r="P3" s="7" t="s">
        <v>20</v>
      </c>
    </row>
    <row r="4" spans="1:16">
      <c r="A4" s="7" t="s">
        <v>83</v>
      </c>
      <c r="B4" s="8">
        <v>46093</v>
      </c>
      <c r="C4" s="8">
        <v>46098</v>
      </c>
      <c r="D4" s="7">
        <v>3302</v>
      </c>
      <c r="E4" s="7">
        <v>340</v>
      </c>
      <c r="F4" s="7">
        <v>6</v>
      </c>
      <c r="G4" s="7">
        <v>1</v>
      </c>
      <c r="H4" s="7">
        <v>721</v>
      </c>
      <c r="I4" s="7" t="s">
        <v>72</v>
      </c>
      <c r="J4" s="7">
        <v>33611539</v>
      </c>
      <c r="K4" s="7" t="s">
        <v>88</v>
      </c>
      <c r="L4" s="19" t="s">
        <v>89</v>
      </c>
      <c r="M4" s="20">
        <v>89900</v>
      </c>
      <c r="N4" s="56">
        <v>0.9</v>
      </c>
      <c r="O4" s="20">
        <f t="shared" si="0"/>
        <v>8990</v>
      </c>
      <c r="P4" s="7" t="s">
        <v>20</v>
      </c>
    </row>
    <row r="5" spans="1:16">
      <c r="A5" s="7" t="s">
        <v>83</v>
      </c>
      <c r="B5" s="8">
        <v>46093</v>
      </c>
      <c r="C5" s="8">
        <v>46098</v>
      </c>
      <c r="D5" s="7">
        <v>3302</v>
      </c>
      <c r="E5" s="7">
        <v>340</v>
      </c>
      <c r="F5" s="7">
        <v>6</v>
      </c>
      <c r="G5" s="7">
        <v>1</v>
      </c>
      <c r="H5" s="7">
        <v>721</v>
      </c>
      <c r="I5" s="7" t="s">
        <v>72</v>
      </c>
      <c r="J5" s="7">
        <v>33621304</v>
      </c>
      <c r="K5" s="7" t="s">
        <v>90</v>
      </c>
      <c r="L5" s="19" t="s">
        <v>91</v>
      </c>
      <c r="M5" s="20">
        <v>89900</v>
      </c>
      <c r="N5" s="56">
        <v>0.9</v>
      </c>
      <c r="O5" s="20">
        <f t="shared" si="0"/>
        <v>8990</v>
      </c>
      <c r="P5" s="7" t="s">
        <v>20</v>
      </c>
    </row>
    <row r="6" spans="1:16">
      <c r="A6" s="7" t="s">
        <v>83</v>
      </c>
      <c r="B6" s="8">
        <v>46093</v>
      </c>
      <c r="C6" s="8">
        <v>46098</v>
      </c>
      <c r="D6" s="7">
        <v>3302</v>
      </c>
      <c r="E6" s="7">
        <v>340</v>
      </c>
      <c r="F6" s="7">
        <v>6</v>
      </c>
      <c r="G6" s="7">
        <v>1</v>
      </c>
      <c r="H6" s="7">
        <v>721</v>
      </c>
      <c r="I6" s="7" t="s">
        <v>72</v>
      </c>
      <c r="J6" s="7">
        <v>42569195</v>
      </c>
      <c r="K6" s="7" t="s">
        <v>92</v>
      </c>
      <c r="L6" s="19" t="s">
        <v>93</v>
      </c>
      <c r="M6" s="20">
        <v>39900</v>
      </c>
      <c r="N6" s="56">
        <v>0.9</v>
      </c>
      <c r="O6" s="20">
        <f t="shared" si="0"/>
        <v>3990</v>
      </c>
      <c r="P6" s="7" t="s">
        <v>20</v>
      </c>
    </row>
    <row r="7" spans="1:16">
      <c r="A7" s="7" t="s">
        <v>83</v>
      </c>
      <c r="B7" s="8">
        <v>46093</v>
      </c>
      <c r="C7" s="8">
        <v>46098</v>
      </c>
      <c r="D7" s="7">
        <v>3302</v>
      </c>
      <c r="E7" s="7">
        <v>340</v>
      </c>
      <c r="F7" s="7">
        <v>6</v>
      </c>
      <c r="G7" s="7">
        <v>1</v>
      </c>
      <c r="H7" s="7">
        <v>721</v>
      </c>
      <c r="I7" s="7" t="s">
        <v>72</v>
      </c>
      <c r="J7" s="7">
        <v>76067771</v>
      </c>
      <c r="K7" s="7" t="s">
        <v>94</v>
      </c>
      <c r="L7" s="19" t="s">
        <v>95</v>
      </c>
      <c r="M7" s="20">
        <v>229900</v>
      </c>
      <c r="N7" s="56">
        <v>0.9</v>
      </c>
      <c r="O7" s="20">
        <f t="shared" si="0"/>
        <v>22990</v>
      </c>
      <c r="P7" s="7" t="s">
        <v>20</v>
      </c>
    </row>
    <row r="8" spans="1:16">
      <c r="A8" s="7" t="s">
        <v>83</v>
      </c>
      <c r="B8" s="8">
        <v>46093</v>
      </c>
      <c r="C8" s="8">
        <v>46098</v>
      </c>
      <c r="D8" s="7">
        <v>3302</v>
      </c>
      <c r="E8" s="7">
        <v>340</v>
      </c>
      <c r="F8" s="7">
        <v>6</v>
      </c>
      <c r="G8" s="7">
        <v>1</v>
      </c>
      <c r="H8" s="7">
        <v>721</v>
      </c>
      <c r="I8" s="7" t="s">
        <v>72</v>
      </c>
      <c r="J8" s="7">
        <v>76067780</v>
      </c>
      <c r="K8" s="7" t="s">
        <v>94</v>
      </c>
      <c r="L8" s="19" t="s">
        <v>96</v>
      </c>
      <c r="M8" s="20">
        <v>229900</v>
      </c>
      <c r="N8" s="56">
        <v>0.9</v>
      </c>
      <c r="O8" s="20">
        <f t="shared" si="0"/>
        <v>22990</v>
      </c>
      <c r="P8" s="7" t="s">
        <v>20</v>
      </c>
    </row>
    <row r="9" spans="1:16">
      <c r="A9" s="7" t="s">
        <v>83</v>
      </c>
      <c r="B9" s="8">
        <v>46093</v>
      </c>
      <c r="C9" s="8">
        <v>46098</v>
      </c>
      <c r="D9" s="7">
        <v>3302</v>
      </c>
      <c r="E9" s="7">
        <v>340</v>
      </c>
      <c r="F9" s="7">
        <v>6</v>
      </c>
      <c r="G9" s="7">
        <v>1</v>
      </c>
      <c r="H9" s="7">
        <v>721</v>
      </c>
      <c r="I9" s="7" t="s">
        <v>72</v>
      </c>
      <c r="J9" s="7">
        <v>76394604</v>
      </c>
      <c r="K9" s="7" t="s">
        <v>97</v>
      </c>
      <c r="L9" s="19" t="s">
        <v>98</v>
      </c>
      <c r="M9" s="20">
        <v>179900</v>
      </c>
      <c r="N9" s="56">
        <v>0.9</v>
      </c>
      <c r="O9" s="20">
        <f t="shared" si="0"/>
        <v>17990</v>
      </c>
      <c r="P9" s="7" t="s">
        <v>20</v>
      </c>
    </row>
    <row r="10" spans="1:16">
      <c r="A10" s="7" t="s">
        <v>83</v>
      </c>
      <c r="B10" s="8">
        <v>46093</v>
      </c>
      <c r="C10" s="8">
        <v>46098</v>
      </c>
      <c r="D10" s="7">
        <v>3302</v>
      </c>
      <c r="E10" s="7">
        <v>340</v>
      </c>
      <c r="F10" s="7">
        <v>6</v>
      </c>
      <c r="G10" s="7">
        <v>1</v>
      </c>
      <c r="H10" s="7">
        <v>721</v>
      </c>
      <c r="I10" s="7" t="s">
        <v>72</v>
      </c>
      <c r="J10" s="7">
        <v>76394613</v>
      </c>
      <c r="K10" s="7" t="s">
        <v>99</v>
      </c>
      <c r="L10" s="19" t="s">
        <v>100</v>
      </c>
      <c r="M10" s="20">
        <v>179900</v>
      </c>
      <c r="N10" s="56">
        <v>0.9</v>
      </c>
      <c r="O10" s="20">
        <f t="shared" si="0"/>
        <v>17990</v>
      </c>
      <c r="P10" s="7" t="s">
        <v>20</v>
      </c>
    </row>
    <row r="11" spans="1:16">
      <c r="A11" s="7" t="s">
        <v>83</v>
      </c>
      <c r="B11" s="8">
        <v>46093</v>
      </c>
      <c r="C11" s="8">
        <v>46098</v>
      </c>
      <c r="D11" s="7">
        <v>3302</v>
      </c>
      <c r="E11" s="7">
        <v>340</v>
      </c>
      <c r="F11" s="7">
        <v>6</v>
      </c>
      <c r="G11" s="7">
        <v>1</v>
      </c>
      <c r="H11" s="7">
        <v>721</v>
      </c>
      <c r="I11" s="7" t="s">
        <v>72</v>
      </c>
      <c r="J11" s="7">
        <v>76394659</v>
      </c>
      <c r="K11" s="7" t="s">
        <v>101</v>
      </c>
      <c r="L11" s="19" t="s">
        <v>102</v>
      </c>
      <c r="M11" s="20">
        <v>229900</v>
      </c>
      <c r="N11" s="56">
        <v>0.9</v>
      </c>
      <c r="O11" s="20">
        <f t="shared" si="0"/>
        <v>22990</v>
      </c>
      <c r="P11" s="7" t="s">
        <v>20</v>
      </c>
    </row>
    <row r="12" spans="1:16">
      <c r="A12" s="7" t="s">
        <v>83</v>
      </c>
      <c r="B12" s="8">
        <v>46093</v>
      </c>
      <c r="C12" s="8">
        <v>46098</v>
      </c>
      <c r="D12" s="7">
        <v>3302</v>
      </c>
      <c r="E12" s="7">
        <v>340</v>
      </c>
      <c r="F12" s="7">
        <v>6</v>
      </c>
      <c r="G12" s="7">
        <v>1</v>
      </c>
      <c r="H12" s="7">
        <v>721</v>
      </c>
      <c r="I12" s="7" t="s">
        <v>72</v>
      </c>
      <c r="J12" s="7">
        <v>76394668</v>
      </c>
      <c r="K12" s="7" t="s">
        <v>101</v>
      </c>
      <c r="L12" s="19" t="s">
        <v>103</v>
      </c>
      <c r="M12" s="20">
        <v>229900</v>
      </c>
      <c r="N12" s="56">
        <v>0.9</v>
      </c>
      <c r="O12" s="20">
        <f t="shared" si="0"/>
        <v>22990</v>
      </c>
      <c r="P12" s="7" t="s">
        <v>20</v>
      </c>
    </row>
    <row r="13" spans="1:16">
      <c r="A13" s="7" t="s">
        <v>83</v>
      </c>
      <c r="B13" s="8">
        <v>46093</v>
      </c>
      <c r="C13" s="8">
        <v>46098</v>
      </c>
      <c r="D13" s="7">
        <v>3302</v>
      </c>
      <c r="E13" s="7">
        <v>340</v>
      </c>
      <c r="F13" s="7">
        <v>6</v>
      </c>
      <c r="G13" s="7">
        <v>1</v>
      </c>
      <c r="H13" s="7">
        <v>721</v>
      </c>
      <c r="I13" s="7" t="s">
        <v>72</v>
      </c>
      <c r="J13" s="7">
        <v>76408947</v>
      </c>
      <c r="K13" s="7" t="s">
        <v>97</v>
      </c>
      <c r="L13" s="19" t="s">
        <v>104</v>
      </c>
      <c r="M13" s="20">
        <v>179900</v>
      </c>
      <c r="N13" s="56">
        <v>0.9</v>
      </c>
      <c r="O13" s="20">
        <f t="shared" si="0"/>
        <v>17990</v>
      </c>
      <c r="P13" s="7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"/>
  <sheetViews>
    <sheetView zoomScale="55" zoomScaleNormal="55" workbookViewId="0">
      <selection activeCell="C2" sqref="C2:C48"/>
    </sheetView>
  </sheetViews>
  <sheetFormatPr defaultColWidth="9" defaultRowHeight="14.5"/>
  <cols>
    <col min="1" max="1" width="32.1818181818182" customWidth="1"/>
    <col min="2" max="2" width="12.4545454545455" customWidth="1"/>
    <col min="3" max="3" width="11.9090909090909" customWidth="1"/>
    <col min="4" max="4" width="5.72727272727273" customWidth="1"/>
    <col min="5" max="5" width="11.9090909090909" customWidth="1"/>
    <col min="6" max="6" width="11.3636363636364" customWidth="1"/>
    <col min="7" max="7" width="9.27272727272727" customWidth="1"/>
    <col min="8" max="8" width="12.4545454545455" customWidth="1"/>
    <col min="9" max="9" width="13.3636363636364" customWidth="1"/>
    <col min="10" max="10" width="15.9090909090909" customWidth="1"/>
    <col min="11" max="11" width="11.5454545454545" customWidth="1"/>
    <col min="12" max="12" width="85.6363636363636" customWidth="1"/>
    <col min="13" max="13" width="19.2727272727273" customWidth="1"/>
    <col min="14" max="14" width="9.63636363636364" customWidth="1"/>
    <col min="15" max="15" width="18.0909090909091" customWidth="1"/>
    <col min="16" max="16" width="19.6363636363636" customWidth="1"/>
  </cols>
  <sheetData>
    <row r="1" ht="15.5" spans="1:16">
      <c r="A1" s="46" t="s">
        <v>0</v>
      </c>
      <c r="B1" s="47" t="s">
        <v>1</v>
      </c>
      <c r="C1" s="47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9</v>
      </c>
      <c r="K1" s="46" t="s">
        <v>10</v>
      </c>
      <c r="L1" s="46" t="s">
        <v>11</v>
      </c>
      <c r="M1" s="51" t="s">
        <v>12</v>
      </c>
      <c r="N1" s="51" t="s">
        <v>13</v>
      </c>
      <c r="O1" s="51" t="s">
        <v>14</v>
      </c>
      <c r="P1" s="46" t="s">
        <v>15</v>
      </c>
    </row>
    <row r="2" ht="15.5" spans="1:16">
      <c r="A2" s="48" t="s">
        <v>105</v>
      </c>
      <c r="B2" s="8">
        <v>46093</v>
      </c>
      <c r="C2" s="8">
        <v>46098</v>
      </c>
      <c r="D2" s="48">
        <v>3302</v>
      </c>
      <c r="E2" s="49">
        <v>340</v>
      </c>
      <c r="F2" s="50">
        <v>6</v>
      </c>
      <c r="G2" s="50">
        <v>3</v>
      </c>
      <c r="H2" s="50">
        <v>81770</v>
      </c>
      <c r="I2" s="48" t="s">
        <v>72</v>
      </c>
      <c r="J2" s="48">
        <v>14355905</v>
      </c>
      <c r="K2" s="48" t="s">
        <v>106</v>
      </c>
      <c r="L2" s="48" t="s">
        <v>107</v>
      </c>
      <c r="M2" s="52">
        <v>379000</v>
      </c>
      <c r="N2" s="53">
        <v>0.9</v>
      </c>
      <c r="O2" s="54">
        <f t="shared" ref="O2:O48" si="0">M2*(1-N2)</f>
        <v>37900</v>
      </c>
      <c r="P2" s="55" t="s">
        <v>20</v>
      </c>
    </row>
    <row r="3" ht="15.5" spans="1:16">
      <c r="A3" s="48" t="s">
        <v>105</v>
      </c>
      <c r="B3" s="8">
        <v>46093</v>
      </c>
      <c r="C3" s="8">
        <v>46098</v>
      </c>
      <c r="D3" s="48">
        <v>3302</v>
      </c>
      <c r="E3" s="49">
        <v>340</v>
      </c>
      <c r="F3" s="50">
        <v>6</v>
      </c>
      <c r="G3" s="50">
        <v>3</v>
      </c>
      <c r="H3" s="50">
        <v>81770</v>
      </c>
      <c r="I3" s="48" t="s">
        <v>72</v>
      </c>
      <c r="J3" s="48">
        <v>14355914</v>
      </c>
      <c r="K3" s="48" t="s">
        <v>108</v>
      </c>
      <c r="L3" s="48" t="s">
        <v>109</v>
      </c>
      <c r="M3" s="52">
        <v>399000</v>
      </c>
      <c r="N3" s="53">
        <v>0.9</v>
      </c>
      <c r="O3" s="54">
        <f t="shared" si="0"/>
        <v>39900</v>
      </c>
      <c r="P3" s="55" t="s">
        <v>20</v>
      </c>
    </row>
    <row r="4" ht="15.5" spans="1:16">
      <c r="A4" s="48" t="s">
        <v>105</v>
      </c>
      <c r="B4" s="8">
        <v>46093</v>
      </c>
      <c r="C4" s="8">
        <v>46098</v>
      </c>
      <c r="D4" s="48">
        <v>3302</v>
      </c>
      <c r="E4" s="49">
        <v>340</v>
      </c>
      <c r="F4" s="50">
        <v>6</v>
      </c>
      <c r="G4" s="50">
        <v>3</v>
      </c>
      <c r="H4" s="50">
        <v>81770</v>
      </c>
      <c r="I4" s="48" t="s">
        <v>72</v>
      </c>
      <c r="J4" s="48">
        <v>14355923</v>
      </c>
      <c r="K4" s="48" t="s">
        <v>110</v>
      </c>
      <c r="L4" s="48" t="s">
        <v>111</v>
      </c>
      <c r="M4" s="52">
        <v>419000</v>
      </c>
      <c r="N4" s="53">
        <v>0.9</v>
      </c>
      <c r="O4" s="54">
        <f t="shared" si="0"/>
        <v>41900</v>
      </c>
      <c r="P4" s="55" t="s">
        <v>20</v>
      </c>
    </row>
    <row r="5" ht="15.5" spans="1:16">
      <c r="A5" s="48" t="s">
        <v>105</v>
      </c>
      <c r="B5" s="8">
        <v>46093</v>
      </c>
      <c r="C5" s="8">
        <v>46098</v>
      </c>
      <c r="D5" s="48">
        <v>3302</v>
      </c>
      <c r="E5" s="49">
        <v>340</v>
      </c>
      <c r="F5" s="50">
        <v>6</v>
      </c>
      <c r="G5" s="50">
        <v>3</v>
      </c>
      <c r="H5" s="50">
        <v>81770</v>
      </c>
      <c r="I5" s="48" t="s">
        <v>72</v>
      </c>
      <c r="J5" s="48">
        <v>14355932</v>
      </c>
      <c r="K5" s="48" t="s">
        <v>112</v>
      </c>
      <c r="L5" s="48" t="s">
        <v>113</v>
      </c>
      <c r="M5" s="52">
        <v>499000</v>
      </c>
      <c r="N5" s="53">
        <v>0.9</v>
      </c>
      <c r="O5" s="54">
        <f t="shared" si="0"/>
        <v>49900</v>
      </c>
      <c r="P5" s="55" t="s">
        <v>20</v>
      </c>
    </row>
    <row r="6" ht="15.5" spans="1:16">
      <c r="A6" s="48" t="s">
        <v>105</v>
      </c>
      <c r="B6" s="8">
        <v>46093</v>
      </c>
      <c r="C6" s="8">
        <v>46098</v>
      </c>
      <c r="D6" s="48">
        <v>3302</v>
      </c>
      <c r="E6" s="49">
        <v>340</v>
      </c>
      <c r="F6" s="50">
        <v>6</v>
      </c>
      <c r="G6" s="50">
        <v>3</v>
      </c>
      <c r="H6" s="50">
        <v>81770</v>
      </c>
      <c r="I6" s="48" t="s">
        <v>72</v>
      </c>
      <c r="J6" s="48">
        <v>14355941</v>
      </c>
      <c r="K6" s="48" t="s">
        <v>114</v>
      </c>
      <c r="L6" s="48" t="s">
        <v>115</v>
      </c>
      <c r="M6" s="52">
        <v>699000</v>
      </c>
      <c r="N6" s="53">
        <v>0.9</v>
      </c>
      <c r="O6" s="54">
        <f t="shared" si="0"/>
        <v>69900</v>
      </c>
      <c r="P6" s="55" t="s">
        <v>20</v>
      </c>
    </row>
    <row r="7" ht="15.5" spans="1:16">
      <c r="A7" s="48" t="s">
        <v>105</v>
      </c>
      <c r="B7" s="8">
        <v>46093</v>
      </c>
      <c r="C7" s="8">
        <v>46098</v>
      </c>
      <c r="D7" s="48">
        <v>3302</v>
      </c>
      <c r="E7" s="49">
        <v>340</v>
      </c>
      <c r="F7" s="50">
        <v>6</v>
      </c>
      <c r="G7" s="50">
        <v>3</v>
      </c>
      <c r="H7" s="50">
        <v>81770</v>
      </c>
      <c r="I7" s="48" t="s">
        <v>72</v>
      </c>
      <c r="J7" s="48">
        <v>14355950</v>
      </c>
      <c r="K7" s="48" t="s">
        <v>116</v>
      </c>
      <c r="L7" s="48" t="s">
        <v>117</v>
      </c>
      <c r="M7" s="52">
        <v>299000</v>
      </c>
      <c r="N7" s="53">
        <v>0.9</v>
      </c>
      <c r="O7" s="54">
        <f t="shared" si="0"/>
        <v>29900</v>
      </c>
      <c r="P7" s="55" t="s">
        <v>20</v>
      </c>
    </row>
    <row r="8" ht="15.5" spans="1:16">
      <c r="A8" s="48" t="s">
        <v>105</v>
      </c>
      <c r="B8" s="8">
        <v>46093</v>
      </c>
      <c r="C8" s="8">
        <v>46098</v>
      </c>
      <c r="D8" s="48">
        <v>3302</v>
      </c>
      <c r="E8" s="49">
        <v>340</v>
      </c>
      <c r="F8" s="50">
        <v>6</v>
      </c>
      <c r="G8" s="50">
        <v>3</v>
      </c>
      <c r="H8" s="50">
        <v>81770</v>
      </c>
      <c r="I8" s="48" t="s">
        <v>72</v>
      </c>
      <c r="J8" s="48">
        <v>14355969</v>
      </c>
      <c r="K8" s="48" t="s">
        <v>118</v>
      </c>
      <c r="L8" s="48" t="s">
        <v>119</v>
      </c>
      <c r="M8" s="52">
        <v>379000</v>
      </c>
      <c r="N8" s="53">
        <v>0.9</v>
      </c>
      <c r="O8" s="54">
        <f t="shared" si="0"/>
        <v>37900</v>
      </c>
      <c r="P8" s="55" t="s">
        <v>20</v>
      </c>
    </row>
    <row r="9" ht="15.5" spans="1:16">
      <c r="A9" s="48" t="s">
        <v>105</v>
      </c>
      <c r="B9" s="8">
        <v>46093</v>
      </c>
      <c r="C9" s="8">
        <v>46098</v>
      </c>
      <c r="D9" s="48">
        <v>3302</v>
      </c>
      <c r="E9" s="49">
        <v>340</v>
      </c>
      <c r="F9" s="50">
        <v>6</v>
      </c>
      <c r="G9" s="50">
        <v>3</v>
      </c>
      <c r="H9" s="50">
        <v>81770</v>
      </c>
      <c r="I9" s="48" t="s">
        <v>72</v>
      </c>
      <c r="J9" s="48">
        <v>14355978</v>
      </c>
      <c r="K9" s="48" t="s">
        <v>120</v>
      </c>
      <c r="L9" s="48" t="s">
        <v>121</v>
      </c>
      <c r="M9" s="52">
        <v>399000</v>
      </c>
      <c r="N9" s="53">
        <v>0.9</v>
      </c>
      <c r="O9" s="54">
        <f t="shared" si="0"/>
        <v>39900</v>
      </c>
      <c r="P9" s="55" t="s">
        <v>20</v>
      </c>
    </row>
    <row r="10" ht="15.5" spans="1:16">
      <c r="A10" s="48" t="s">
        <v>105</v>
      </c>
      <c r="B10" s="8">
        <v>46093</v>
      </c>
      <c r="C10" s="8">
        <v>46098</v>
      </c>
      <c r="D10" s="48">
        <v>3302</v>
      </c>
      <c r="E10" s="49">
        <v>340</v>
      </c>
      <c r="F10" s="50">
        <v>6</v>
      </c>
      <c r="G10" s="50">
        <v>3</v>
      </c>
      <c r="H10" s="50">
        <v>81770</v>
      </c>
      <c r="I10" s="48" t="s">
        <v>72</v>
      </c>
      <c r="J10" s="48">
        <v>14355987</v>
      </c>
      <c r="K10" s="48" t="s">
        <v>122</v>
      </c>
      <c r="L10" s="48" t="s">
        <v>123</v>
      </c>
      <c r="M10" s="52">
        <v>419000</v>
      </c>
      <c r="N10" s="53">
        <v>0.9</v>
      </c>
      <c r="O10" s="54">
        <f t="shared" si="0"/>
        <v>41900</v>
      </c>
      <c r="P10" s="55" t="s">
        <v>20</v>
      </c>
    </row>
    <row r="11" ht="15.5" spans="1:16">
      <c r="A11" s="48" t="s">
        <v>105</v>
      </c>
      <c r="B11" s="8">
        <v>46093</v>
      </c>
      <c r="C11" s="8">
        <v>46098</v>
      </c>
      <c r="D11" s="48">
        <v>3302</v>
      </c>
      <c r="E11" s="49">
        <v>340</v>
      </c>
      <c r="F11" s="50">
        <v>6</v>
      </c>
      <c r="G11" s="50">
        <v>3</v>
      </c>
      <c r="H11" s="50">
        <v>81770</v>
      </c>
      <c r="I11" s="48" t="s">
        <v>72</v>
      </c>
      <c r="J11" s="48">
        <v>14355996</v>
      </c>
      <c r="K11" s="48" t="s">
        <v>124</v>
      </c>
      <c r="L11" s="48" t="s">
        <v>125</v>
      </c>
      <c r="M11" s="52">
        <v>499000</v>
      </c>
      <c r="N11" s="53">
        <v>0.9</v>
      </c>
      <c r="O11" s="54">
        <f t="shared" si="0"/>
        <v>49900</v>
      </c>
      <c r="P11" s="55" t="s">
        <v>20</v>
      </c>
    </row>
    <row r="12" ht="15.5" spans="1:16">
      <c r="A12" s="48" t="s">
        <v>105</v>
      </c>
      <c r="B12" s="8">
        <v>46093</v>
      </c>
      <c r="C12" s="8">
        <v>46098</v>
      </c>
      <c r="D12" s="48">
        <v>3302</v>
      </c>
      <c r="E12" s="49">
        <v>340</v>
      </c>
      <c r="F12" s="50">
        <v>6</v>
      </c>
      <c r="G12" s="50">
        <v>3</v>
      </c>
      <c r="H12" s="50">
        <v>81770</v>
      </c>
      <c r="I12" s="48" t="s">
        <v>72</v>
      </c>
      <c r="J12" s="48">
        <v>14356002</v>
      </c>
      <c r="K12" s="48" t="s">
        <v>126</v>
      </c>
      <c r="L12" s="48" t="s">
        <v>127</v>
      </c>
      <c r="M12" s="52">
        <v>699000</v>
      </c>
      <c r="N12" s="53">
        <v>0.9</v>
      </c>
      <c r="O12" s="54">
        <f t="shared" si="0"/>
        <v>69900</v>
      </c>
      <c r="P12" s="55" t="s">
        <v>20</v>
      </c>
    </row>
    <row r="13" ht="15.5" spans="1:16">
      <c r="A13" s="48" t="s">
        <v>105</v>
      </c>
      <c r="B13" s="8">
        <v>46093</v>
      </c>
      <c r="C13" s="8">
        <v>46098</v>
      </c>
      <c r="D13" s="48">
        <v>3302</v>
      </c>
      <c r="E13" s="49">
        <v>340</v>
      </c>
      <c r="F13" s="50">
        <v>6</v>
      </c>
      <c r="G13" s="50">
        <v>3</v>
      </c>
      <c r="H13" s="50">
        <v>81770</v>
      </c>
      <c r="I13" s="48" t="s">
        <v>72</v>
      </c>
      <c r="J13" s="48">
        <v>82420411</v>
      </c>
      <c r="K13" s="48" t="s">
        <v>128</v>
      </c>
      <c r="L13" s="48" t="s">
        <v>129</v>
      </c>
      <c r="M13" s="52">
        <v>299000</v>
      </c>
      <c r="N13" s="53">
        <v>0.9</v>
      </c>
      <c r="O13" s="54">
        <f t="shared" si="0"/>
        <v>29900</v>
      </c>
      <c r="P13" s="55" t="s">
        <v>20</v>
      </c>
    </row>
    <row r="14" ht="15.5" spans="1:16">
      <c r="A14" s="48" t="s">
        <v>105</v>
      </c>
      <c r="B14" s="8">
        <v>46093</v>
      </c>
      <c r="C14" s="8">
        <v>46098</v>
      </c>
      <c r="D14" s="48">
        <v>3302</v>
      </c>
      <c r="E14" s="49">
        <v>340</v>
      </c>
      <c r="F14" s="50">
        <v>6</v>
      </c>
      <c r="G14" s="50">
        <v>3</v>
      </c>
      <c r="H14" s="50">
        <v>81770</v>
      </c>
      <c r="I14" s="48" t="s">
        <v>72</v>
      </c>
      <c r="J14" s="48">
        <v>82420420</v>
      </c>
      <c r="K14" s="48" t="s">
        <v>130</v>
      </c>
      <c r="L14" s="48" t="s">
        <v>131</v>
      </c>
      <c r="M14" s="52">
        <v>379000</v>
      </c>
      <c r="N14" s="53">
        <v>0.9</v>
      </c>
      <c r="O14" s="54">
        <f t="shared" si="0"/>
        <v>37900</v>
      </c>
      <c r="P14" s="55" t="s">
        <v>20</v>
      </c>
    </row>
    <row r="15" ht="15.5" spans="1:16">
      <c r="A15" s="48" t="s">
        <v>105</v>
      </c>
      <c r="B15" s="8">
        <v>46093</v>
      </c>
      <c r="C15" s="8">
        <v>46098</v>
      </c>
      <c r="D15" s="48">
        <v>3302</v>
      </c>
      <c r="E15" s="49">
        <v>340</v>
      </c>
      <c r="F15" s="50">
        <v>6</v>
      </c>
      <c r="G15" s="50">
        <v>3</v>
      </c>
      <c r="H15" s="50">
        <v>81770</v>
      </c>
      <c r="I15" s="48" t="s">
        <v>72</v>
      </c>
      <c r="J15" s="48">
        <v>82420439</v>
      </c>
      <c r="K15" s="48" t="s">
        <v>132</v>
      </c>
      <c r="L15" s="48" t="s">
        <v>133</v>
      </c>
      <c r="M15" s="52">
        <v>399000</v>
      </c>
      <c r="N15" s="53">
        <v>0.9</v>
      </c>
      <c r="O15" s="54">
        <f t="shared" si="0"/>
        <v>39900</v>
      </c>
      <c r="P15" s="55" t="s">
        <v>20</v>
      </c>
    </row>
    <row r="16" ht="15.5" spans="1:16">
      <c r="A16" s="48" t="s">
        <v>105</v>
      </c>
      <c r="B16" s="8">
        <v>46093</v>
      </c>
      <c r="C16" s="8">
        <v>46098</v>
      </c>
      <c r="D16" s="48">
        <v>3302</v>
      </c>
      <c r="E16" s="49">
        <v>340</v>
      </c>
      <c r="F16" s="50">
        <v>6</v>
      </c>
      <c r="G16" s="50">
        <v>3</v>
      </c>
      <c r="H16" s="50">
        <v>81770</v>
      </c>
      <c r="I16" s="48" t="s">
        <v>72</v>
      </c>
      <c r="J16" s="48">
        <v>82420448</v>
      </c>
      <c r="K16" s="48" t="s">
        <v>134</v>
      </c>
      <c r="L16" s="48" t="s">
        <v>135</v>
      </c>
      <c r="M16" s="52">
        <v>429000</v>
      </c>
      <c r="N16" s="53">
        <v>0.9</v>
      </c>
      <c r="O16" s="54">
        <f t="shared" si="0"/>
        <v>42900</v>
      </c>
      <c r="P16" s="55" t="s">
        <v>20</v>
      </c>
    </row>
    <row r="17" ht="15.5" spans="1:16">
      <c r="A17" s="48" t="s">
        <v>105</v>
      </c>
      <c r="B17" s="8">
        <v>46093</v>
      </c>
      <c r="C17" s="8">
        <v>46098</v>
      </c>
      <c r="D17" s="48">
        <v>3302</v>
      </c>
      <c r="E17" s="49">
        <v>340</v>
      </c>
      <c r="F17" s="50">
        <v>6</v>
      </c>
      <c r="G17" s="50">
        <v>3</v>
      </c>
      <c r="H17" s="50">
        <v>81770</v>
      </c>
      <c r="I17" s="48" t="s">
        <v>72</v>
      </c>
      <c r="J17" s="48">
        <v>82420457</v>
      </c>
      <c r="K17" s="48" t="s">
        <v>136</v>
      </c>
      <c r="L17" s="48" t="s">
        <v>137</v>
      </c>
      <c r="M17" s="52">
        <v>499000</v>
      </c>
      <c r="N17" s="53">
        <v>0.9</v>
      </c>
      <c r="O17" s="54">
        <f t="shared" si="0"/>
        <v>49900</v>
      </c>
      <c r="P17" s="55" t="s">
        <v>20</v>
      </c>
    </row>
    <row r="18" ht="15.5" spans="1:16">
      <c r="A18" s="48" t="s">
        <v>105</v>
      </c>
      <c r="B18" s="8">
        <v>46093</v>
      </c>
      <c r="C18" s="8">
        <v>46098</v>
      </c>
      <c r="D18" s="48">
        <v>3302</v>
      </c>
      <c r="E18" s="49">
        <v>340</v>
      </c>
      <c r="F18" s="50">
        <v>6</v>
      </c>
      <c r="G18" s="50">
        <v>3</v>
      </c>
      <c r="H18" s="50">
        <v>81770</v>
      </c>
      <c r="I18" s="48" t="s">
        <v>72</v>
      </c>
      <c r="J18" s="48">
        <v>82420466</v>
      </c>
      <c r="K18" s="48" t="s">
        <v>138</v>
      </c>
      <c r="L18" s="48" t="s">
        <v>139</v>
      </c>
      <c r="M18" s="52">
        <v>699000</v>
      </c>
      <c r="N18" s="53">
        <v>0.9</v>
      </c>
      <c r="O18" s="54">
        <f t="shared" si="0"/>
        <v>69900</v>
      </c>
      <c r="P18" s="55" t="s">
        <v>20</v>
      </c>
    </row>
    <row r="19" ht="15.5" spans="1:16">
      <c r="A19" s="48" t="s">
        <v>105</v>
      </c>
      <c r="B19" s="8">
        <v>46093</v>
      </c>
      <c r="C19" s="8">
        <v>46098</v>
      </c>
      <c r="D19" s="48">
        <v>3302</v>
      </c>
      <c r="E19" s="49">
        <v>340</v>
      </c>
      <c r="F19" s="50">
        <v>6</v>
      </c>
      <c r="G19" s="50">
        <v>3</v>
      </c>
      <c r="H19" s="50">
        <v>81770</v>
      </c>
      <c r="I19" s="48" t="s">
        <v>72</v>
      </c>
      <c r="J19" s="48">
        <v>82420475</v>
      </c>
      <c r="K19" s="48" t="s">
        <v>140</v>
      </c>
      <c r="L19" s="48" t="s">
        <v>141</v>
      </c>
      <c r="M19" s="52">
        <v>299000</v>
      </c>
      <c r="N19" s="53">
        <v>0.9</v>
      </c>
      <c r="O19" s="54">
        <f t="shared" si="0"/>
        <v>29900</v>
      </c>
      <c r="P19" s="55" t="s">
        <v>20</v>
      </c>
    </row>
    <row r="20" ht="15.5" spans="1:16">
      <c r="A20" s="48" t="s">
        <v>105</v>
      </c>
      <c r="B20" s="8">
        <v>46093</v>
      </c>
      <c r="C20" s="8">
        <v>46098</v>
      </c>
      <c r="D20" s="48">
        <v>3302</v>
      </c>
      <c r="E20" s="49">
        <v>340</v>
      </c>
      <c r="F20" s="50">
        <v>6</v>
      </c>
      <c r="G20" s="50">
        <v>3</v>
      </c>
      <c r="H20" s="50">
        <v>81770</v>
      </c>
      <c r="I20" s="48" t="s">
        <v>72</v>
      </c>
      <c r="J20" s="48">
        <v>82420484</v>
      </c>
      <c r="K20" s="48" t="s">
        <v>142</v>
      </c>
      <c r="L20" s="48" t="s">
        <v>143</v>
      </c>
      <c r="M20" s="52">
        <v>379000</v>
      </c>
      <c r="N20" s="53">
        <v>0.9</v>
      </c>
      <c r="O20" s="54">
        <f t="shared" si="0"/>
        <v>37900</v>
      </c>
      <c r="P20" s="55" t="s">
        <v>20</v>
      </c>
    </row>
    <row r="21" ht="15.5" spans="1:16">
      <c r="A21" s="48" t="s">
        <v>105</v>
      </c>
      <c r="B21" s="8">
        <v>46093</v>
      </c>
      <c r="C21" s="8">
        <v>46098</v>
      </c>
      <c r="D21" s="48">
        <v>3302</v>
      </c>
      <c r="E21" s="49">
        <v>340</v>
      </c>
      <c r="F21" s="50">
        <v>6</v>
      </c>
      <c r="G21" s="50">
        <v>3</v>
      </c>
      <c r="H21" s="50">
        <v>81770</v>
      </c>
      <c r="I21" s="48" t="s">
        <v>72</v>
      </c>
      <c r="J21" s="48">
        <v>82420493</v>
      </c>
      <c r="K21" s="48" t="s">
        <v>144</v>
      </c>
      <c r="L21" s="48" t="s">
        <v>145</v>
      </c>
      <c r="M21" s="52">
        <v>399000</v>
      </c>
      <c r="N21" s="53">
        <v>0.9</v>
      </c>
      <c r="O21" s="54">
        <f t="shared" si="0"/>
        <v>39900</v>
      </c>
      <c r="P21" s="55" t="s">
        <v>20</v>
      </c>
    </row>
    <row r="22" ht="15.5" spans="1:16">
      <c r="A22" s="48" t="s">
        <v>105</v>
      </c>
      <c r="B22" s="8">
        <v>46093</v>
      </c>
      <c r="C22" s="8">
        <v>46098</v>
      </c>
      <c r="D22" s="48">
        <v>3302</v>
      </c>
      <c r="E22" s="49">
        <v>340</v>
      </c>
      <c r="F22" s="50">
        <v>6</v>
      </c>
      <c r="G22" s="50">
        <v>3</v>
      </c>
      <c r="H22" s="50">
        <v>81770</v>
      </c>
      <c r="I22" s="48" t="s">
        <v>72</v>
      </c>
      <c r="J22" s="48">
        <v>82420500</v>
      </c>
      <c r="K22" s="48" t="s">
        <v>146</v>
      </c>
      <c r="L22" s="48" t="s">
        <v>147</v>
      </c>
      <c r="M22" s="52">
        <v>429000</v>
      </c>
      <c r="N22" s="53">
        <v>0.9</v>
      </c>
      <c r="O22" s="54">
        <f t="shared" si="0"/>
        <v>42900</v>
      </c>
      <c r="P22" s="55" t="s">
        <v>20</v>
      </c>
    </row>
    <row r="23" ht="15.5" spans="1:16">
      <c r="A23" s="48" t="s">
        <v>105</v>
      </c>
      <c r="B23" s="8">
        <v>46093</v>
      </c>
      <c r="C23" s="8">
        <v>46098</v>
      </c>
      <c r="D23" s="48">
        <v>3302</v>
      </c>
      <c r="E23" s="49">
        <v>340</v>
      </c>
      <c r="F23" s="50">
        <v>6</v>
      </c>
      <c r="G23" s="50">
        <v>3</v>
      </c>
      <c r="H23" s="50">
        <v>81770</v>
      </c>
      <c r="I23" s="48" t="s">
        <v>72</v>
      </c>
      <c r="J23" s="48">
        <v>82420519</v>
      </c>
      <c r="K23" s="48" t="s">
        <v>148</v>
      </c>
      <c r="L23" s="48" t="s">
        <v>149</v>
      </c>
      <c r="M23" s="52">
        <v>499000</v>
      </c>
      <c r="N23" s="53">
        <v>0.9</v>
      </c>
      <c r="O23" s="54">
        <f t="shared" si="0"/>
        <v>49900</v>
      </c>
      <c r="P23" s="55" t="s">
        <v>20</v>
      </c>
    </row>
    <row r="24" ht="15.5" spans="1:16">
      <c r="A24" s="48" t="s">
        <v>105</v>
      </c>
      <c r="B24" s="8">
        <v>46093</v>
      </c>
      <c r="C24" s="8">
        <v>46098</v>
      </c>
      <c r="D24" s="48">
        <v>3302</v>
      </c>
      <c r="E24" s="49">
        <v>340</v>
      </c>
      <c r="F24" s="50">
        <v>6</v>
      </c>
      <c r="G24" s="50">
        <v>3</v>
      </c>
      <c r="H24" s="50">
        <v>81770</v>
      </c>
      <c r="I24" s="48" t="s">
        <v>72</v>
      </c>
      <c r="J24" s="48">
        <v>82420528</v>
      </c>
      <c r="K24" s="48" t="s">
        <v>150</v>
      </c>
      <c r="L24" s="48" t="s">
        <v>151</v>
      </c>
      <c r="M24" s="52">
        <v>699000</v>
      </c>
      <c r="N24" s="53">
        <v>0.9</v>
      </c>
      <c r="O24" s="54">
        <f t="shared" si="0"/>
        <v>69900</v>
      </c>
      <c r="P24" s="55" t="s">
        <v>20</v>
      </c>
    </row>
    <row r="25" ht="15.5" spans="1:16">
      <c r="A25" s="48" t="s">
        <v>105</v>
      </c>
      <c r="B25" s="8">
        <v>46093</v>
      </c>
      <c r="C25" s="8">
        <v>46098</v>
      </c>
      <c r="D25" s="48">
        <v>3302</v>
      </c>
      <c r="E25" s="49">
        <v>340</v>
      </c>
      <c r="F25" s="50">
        <v>6</v>
      </c>
      <c r="G25" s="50">
        <v>3</v>
      </c>
      <c r="H25" s="50">
        <v>81770</v>
      </c>
      <c r="I25" s="48" t="s">
        <v>72</v>
      </c>
      <c r="J25" s="48">
        <v>82420537</v>
      </c>
      <c r="K25" s="48" t="s">
        <v>152</v>
      </c>
      <c r="L25" s="48" t="s">
        <v>153</v>
      </c>
      <c r="M25" s="52">
        <v>299000</v>
      </c>
      <c r="N25" s="53">
        <v>0.9</v>
      </c>
      <c r="O25" s="54">
        <f t="shared" si="0"/>
        <v>29900</v>
      </c>
      <c r="P25" s="55" t="s">
        <v>20</v>
      </c>
    </row>
    <row r="26" ht="15.5" spans="1:16">
      <c r="A26" s="48" t="s">
        <v>105</v>
      </c>
      <c r="B26" s="8">
        <v>46093</v>
      </c>
      <c r="C26" s="8">
        <v>46098</v>
      </c>
      <c r="D26" s="48">
        <v>3302</v>
      </c>
      <c r="E26" s="49">
        <v>340</v>
      </c>
      <c r="F26" s="50">
        <v>6</v>
      </c>
      <c r="G26" s="50">
        <v>3</v>
      </c>
      <c r="H26" s="50">
        <v>81770</v>
      </c>
      <c r="I26" s="48" t="s">
        <v>72</v>
      </c>
      <c r="J26" s="48">
        <v>82420546</v>
      </c>
      <c r="K26" s="48" t="s">
        <v>154</v>
      </c>
      <c r="L26" s="48" t="s">
        <v>155</v>
      </c>
      <c r="M26" s="52">
        <v>379000</v>
      </c>
      <c r="N26" s="53">
        <v>0.9</v>
      </c>
      <c r="O26" s="54">
        <f t="shared" si="0"/>
        <v>37900</v>
      </c>
      <c r="P26" s="55" t="s">
        <v>20</v>
      </c>
    </row>
    <row r="27" ht="15.5" spans="1:16">
      <c r="A27" s="48" t="s">
        <v>105</v>
      </c>
      <c r="B27" s="8">
        <v>46093</v>
      </c>
      <c r="C27" s="8">
        <v>46098</v>
      </c>
      <c r="D27" s="48">
        <v>3302</v>
      </c>
      <c r="E27" s="49">
        <v>340</v>
      </c>
      <c r="F27" s="50">
        <v>6</v>
      </c>
      <c r="G27" s="50">
        <v>3</v>
      </c>
      <c r="H27" s="50">
        <v>81770</v>
      </c>
      <c r="I27" s="48" t="s">
        <v>72</v>
      </c>
      <c r="J27" s="48">
        <v>82420555</v>
      </c>
      <c r="K27" s="48" t="s">
        <v>156</v>
      </c>
      <c r="L27" s="48" t="s">
        <v>157</v>
      </c>
      <c r="M27" s="52">
        <v>399000</v>
      </c>
      <c r="N27" s="53">
        <v>0.9</v>
      </c>
      <c r="O27" s="54">
        <f t="shared" si="0"/>
        <v>39900</v>
      </c>
      <c r="P27" s="55" t="s">
        <v>20</v>
      </c>
    </row>
    <row r="28" ht="15.5" spans="1:16">
      <c r="A28" s="48" t="s">
        <v>105</v>
      </c>
      <c r="B28" s="8">
        <v>46093</v>
      </c>
      <c r="C28" s="8">
        <v>46098</v>
      </c>
      <c r="D28" s="48">
        <v>3302</v>
      </c>
      <c r="E28" s="49">
        <v>340</v>
      </c>
      <c r="F28" s="50">
        <v>6</v>
      </c>
      <c r="G28" s="50">
        <v>3</v>
      </c>
      <c r="H28" s="50">
        <v>81770</v>
      </c>
      <c r="I28" s="48" t="s">
        <v>72</v>
      </c>
      <c r="J28" s="48">
        <v>82420564</v>
      </c>
      <c r="K28" s="48" t="s">
        <v>158</v>
      </c>
      <c r="L28" s="48" t="s">
        <v>159</v>
      </c>
      <c r="M28" s="52">
        <v>429000</v>
      </c>
      <c r="N28" s="53">
        <v>0.9</v>
      </c>
      <c r="O28" s="54">
        <f t="shared" si="0"/>
        <v>42900</v>
      </c>
      <c r="P28" s="55" t="s">
        <v>20</v>
      </c>
    </row>
    <row r="29" ht="15.5" spans="1:16">
      <c r="A29" s="48" t="s">
        <v>105</v>
      </c>
      <c r="B29" s="8">
        <v>46093</v>
      </c>
      <c r="C29" s="8">
        <v>46098</v>
      </c>
      <c r="D29" s="48">
        <v>3302</v>
      </c>
      <c r="E29" s="49">
        <v>340</v>
      </c>
      <c r="F29" s="50">
        <v>6</v>
      </c>
      <c r="G29" s="50">
        <v>3</v>
      </c>
      <c r="H29" s="50">
        <v>81770</v>
      </c>
      <c r="I29" s="48" t="s">
        <v>72</v>
      </c>
      <c r="J29" s="48">
        <v>82420573</v>
      </c>
      <c r="K29" s="48" t="s">
        <v>160</v>
      </c>
      <c r="L29" s="48" t="s">
        <v>161</v>
      </c>
      <c r="M29" s="52">
        <v>499000</v>
      </c>
      <c r="N29" s="53">
        <v>0.9</v>
      </c>
      <c r="O29" s="54">
        <f t="shared" si="0"/>
        <v>49900</v>
      </c>
      <c r="P29" s="55" t="s">
        <v>20</v>
      </c>
    </row>
    <row r="30" ht="15.5" spans="1:16">
      <c r="A30" s="48" t="s">
        <v>105</v>
      </c>
      <c r="B30" s="8">
        <v>46093</v>
      </c>
      <c r="C30" s="8">
        <v>46098</v>
      </c>
      <c r="D30" s="48">
        <v>3302</v>
      </c>
      <c r="E30" s="49">
        <v>340</v>
      </c>
      <c r="F30" s="50">
        <v>6</v>
      </c>
      <c r="G30" s="50">
        <v>3</v>
      </c>
      <c r="H30" s="50">
        <v>81770</v>
      </c>
      <c r="I30" s="48" t="s">
        <v>72</v>
      </c>
      <c r="J30" s="48">
        <v>82420582</v>
      </c>
      <c r="K30" s="48" t="s">
        <v>162</v>
      </c>
      <c r="L30" s="48" t="s">
        <v>163</v>
      </c>
      <c r="M30" s="52">
        <v>699000</v>
      </c>
      <c r="N30" s="53">
        <v>0.9</v>
      </c>
      <c r="O30" s="54">
        <f t="shared" si="0"/>
        <v>69900</v>
      </c>
      <c r="P30" s="55" t="s">
        <v>20</v>
      </c>
    </row>
    <row r="31" ht="15.5" spans="1:16">
      <c r="A31" s="48" t="s">
        <v>105</v>
      </c>
      <c r="B31" s="8">
        <v>46093</v>
      </c>
      <c r="C31" s="8">
        <v>46098</v>
      </c>
      <c r="D31" s="48">
        <v>3302</v>
      </c>
      <c r="E31" s="49">
        <v>340</v>
      </c>
      <c r="F31" s="50">
        <v>6</v>
      </c>
      <c r="G31" s="50">
        <v>3</v>
      </c>
      <c r="H31" s="50">
        <v>81770</v>
      </c>
      <c r="I31" s="48" t="s">
        <v>72</v>
      </c>
      <c r="J31" s="48">
        <v>84135459</v>
      </c>
      <c r="K31" s="48" t="s">
        <v>164</v>
      </c>
      <c r="L31" s="48" t="s">
        <v>165</v>
      </c>
      <c r="M31" s="52">
        <v>299000</v>
      </c>
      <c r="N31" s="53">
        <v>0.9</v>
      </c>
      <c r="O31" s="54">
        <f t="shared" si="0"/>
        <v>29900</v>
      </c>
      <c r="P31" s="55" t="s">
        <v>20</v>
      </c>
    </row>
    <row r="32" ht="15.5" spans="1:16">
      <c r="A32" s="48" t="s">
        <v>105</v>
      </c>
      <c r="B32" s="8">
        <v>46093</v>
      </c>
      <c r="C32" s="8">
        <v>46098</v>
      </c>
      <c r="D32" s="48">
        <v>3302</v>
      </c>
      <c r="E32" s="49">
        <v>340</v>
      </c>
      <c r="F32" s="50">
        <v>6</v>
      </c>
      <c r="G32" s="50">
        <v>3</v>
      </c>
      <c r="H32" s="50">
        <v>81770</v>
      </c>
      <c r="I32" s="48" t="s">
        <v>72</v>
      </c>
      <c r="J32" s="48">
        <v>84135468</v>
      </c>
      <c r="K32" s="48" t="s">
        <v>166</v>
      </c>
      <c r="L32" s="48" t="s">
        <v>167</v>
      </c>
      <c r="M32" s="52">
        <v>379000</v>
      </c>
      <c r="N32" s="53">
        <v>0.9</v>
      </c>
      <c r="O32" s="54">
        <f t="shared" si="0"/>
        <v>37900</v>
      </c>
      <c r="P32" s="55" t="s">
        <v>20</v>
      </c>
    </row>
    <row r="33" ht="15.5" spans="1:16">
      <c r="A33" s="48" t="s">
        <v>105</v>
      </c>
      <c r="B33" s="8">
        <v>46093</v>
      </c>
      <c r="C33" s="8">
        <v>46098</v>
      </c>
      <c r="D33" s="48">
        <v>3302</v>
      </c>
      <c r="E33" s="49">
        <v>340</v>
      </c>
      <c r="F33" s="50">
        <v>6</v>
      </c>
      <c r="G33" s="50">
        <v>3</v>
      </c>
      <c r="H33" s="50">
        <v>81770</v>
      </c>
      <c r="I33" s="48" t="s">
        <v>72</v>
      </c>
      <c r="J33" s="48">
        <v>84135477</v>
      </c>
      <c r="K33" s="48" t="s">
        <v>168</v>
      </c>
      <c r="L33" s="48" t="s">
        <v>169</v>
      </c>
      <c r="M33" s="52">
        <v>399000</v>
      </c>
      <c r="N33" s="53">
        <v>0.9</v>
      </c>
      <c r="O33" s="54">
        <f t="shared" si="0"/>
        <v>39900</v>
      </c>
      <c r="P33" s="55" t="s">
        <v>20</v>
      </c>
    </row>
    <row r="34" ht="15.5" spans="1:16">
      <c r="A34" s="48" t="s">
        <v>105</v>
      </c>
      <c r="B34" s="8">
        <v>46093</v>
      </c>
      <c r="C34" s="8">
        <v>46098</v>
      </c>
      <c r="D34" s="48">
        <v>3302</v>
      </c>
      <c r="E34" s="49">
        <v>340</v>
      </c>
      <c r="F34" s="50">
        <v>6</v>
      </c>
      <c r="G34" s="50">
        <v>3</v>
      </c>
      <c r="H34" s="50">
        <v>81770</v>
      </c>
      <c r="I34" s="48" t="s">
        <v>72</v>
      </c>
      <c r="J34" s="48">
        <v>84135486</v>
      </c>
      <c r="K34" s="48" t="s">
        <v>170</v>
      </c>
      <c r="L34" s="48" t="s">
        <v>171</v>
      </c>
      <c r="M34" s="52">
        <v>419000</v>
      </c>
      <c r="N34" s="53">
        <v>0.9</v>
      </c>
      <c r="O34" s="54">
        <f t="shared" si="0"/>
        <v>41900</v>
      </c>
      <c r="P34" s="55" t="s">
        <v>20</v>
      </c>
    </row>
    <row r="35" ht="15.5" spans="1:16">
      <c r="A35" s="48" t="s">
        <v>105</v>
      </c>
      <c r="B35" s="8">
        <v>46093</v>
      </c>
      <c r="C35" s="8">
        <v>46098</v>
      </c>
      <c r="D35" s="48">
        <v>3302</v>
      </c>
      <c r="E35" s="49">
        <v>340</v>
      </c>
      <c r="F35" s="50">
        <v>6</v>
      </c>
      <c r="G35" s="50">
        <v>3</v>
      </c>
      <c r="H35" s="50">
        <v>81770</v>
      </c>
      <c r="I35" s="48" t="s">
        <v>72</v>
      </c>
      <c r="J35" s="48">
        <v>84135495</v>
      </c>
      <c r="K35" s="48" t="s">
        <v>172</v>
      </c>
      <c r="L35" s="48" t="s">
        <v>173</v>
      </c>
      <c r="M35" s="52">
        <v>499000</v>
      </c>
      <c r="N35" s="53">
        <v>0.9</v>
      </c>
      <c r="O35" s="54">
        <f t="shared" si="0"/>
        <v>49900</v>
      </c>
      <c r="P35" s="55" t="s">
        <v>20</v>
      </c>
    </row>
    <row r="36" ht="15.5" spans="1:16">
      <c r="A36" s="48" t="s">
        <v>105</v>
      </c>
      <c r="B36" s="8">
        <v>46093</v>
      </c>
      <c r="C36" s="8">
        <v>46098</v>
      </c>
      <c r="D36" s="48">
        <v>3302</v>
      </c>
      <c r="E36" s="49">
        <v>340</v>
      </c>
      <c r="F36" s="50">
        <v>6</v>
      </c>
      <c r="G36" s="50">
        <v>3</v>
      </c>
      <c r="H36" s="50">
        <v>81770</v>
      </c>
      <c r="I36" s="48" t="s">
        <v>72</v>
      </c>
      <c r="J36" s="48">
        <v>84135502</v>
      </c>
      <c r="K36" s="48" t="s">
        <v>174</v>
      </c>
      <c r="L36" s="48" t="s">
        <v>175</v>
      </c>
      <c r="M36" s="52">
        <v>699000</v>
      </c>
      <c r="N36" s="53">
        <v>0.9</v>
      </c>
      <c r="O36" s="54">
        <f t="shared" si="0"/>
        <v>69900</v>
      </c>
      <c r="P36" s="55" t="s">
        <v>20</v>
      </c>
    </row>
    <row r="37" ht="15.5" spans="1:16">
      <c r="A37" s="48" t="s">
        <v>105</v>
      </c>
      <c r="B37" s="8">
        <v>46093</v>
      </c>
      <c r="C37" s="8">
        <v>46098</v>
      </c>
      <c r="D37" s="48">
        <v>3302</v>
      </c>
      <c r="E37" s="49">
        <v>340</v>
      </c>
      <c r="F37" s="50">
        <v>6</v>
      </c>
      <c r="G37" s="50">
        <v>3</v>
      </c>
      <c r="H37" s="50">
        <v>81770</v>
      </c>
      <c r="I37" s="48" t="s">
        <v>72</v>
      </c>
      <c r="J37" s="48">
        <v>84135511</v>
      </c>
      <c r="K37" s="48" t="s">
        <v>176</v>
      </c>
      <c r="L37" s="48" t="s">
        <v>177</v>
      </c>
      <c r="M37" s="52">
        <v>299000</v>
      </c>
      <c r="N37" s="53">
        <v>0.9</v>
      </c>
      <c r="O37" s="54">
        <f t="shared" si="0"/>
        <v>29900</v>
      </c>
      <c r="P37" s="55" t="s">
        <v>20</v>
      </c>
    </row>
    <row r="38" ht="15.5" spans="1:16">
      <c r="A38" s="48" t="s">
        <v>105</v>
      </c>
      <c r="B38" s="8">
        <v>46093</v>
      </c>
      <c r="C38" s="8">
        <v>46098</v>
      </c>
      <c r="D38" s="48">
        <v>3302</v>
      </c>
      <c r="E38" s="49">
        <v>340</v>
      </c>
      <c r="F38" s="50">
        <v>6</v>
      </c>
      <c r="G38" s="50">
        <v>3</v>
      </c>
      <c r="H38" s="50">
        <v>81770</v>
      </c>
      <c r="I38" s="48" t="s">
        <v>72</v>
      </c>
      <c r="J38" s="48">
        <v>84135520</v>
      </c>
      <c r="K38" s="48" t="s">
        <v>178</v>
      </c>
      <c r="L38" s="48" t="s">
        <v>179</v>
      </c>
      <c r="M38" s="52">
        <v>379000</v>
      </c>
      <c r="N38" s="53">
        <v>0.9</v>
      </c>
      <c r="O38" s="54">
        <f t="shared" si="0"/>
        <v>37900</v>
      </c>
      <c r="P38" s="55" t="s">
        <v>20</v>
      </c>
    </row>
    <row r="39" ht="15.5" spans="1:16">
      <c r="A39" s="48" t="s">
        <v>105</v>
      </c>
      <c r="B39" s="8">
        <v>46093</v>
      </c>
      <c r="C39" s="8">
        <v>46098</v>
      </c>
      <c r="D39" s="48">
        <v>3302</v>
      </c>
      <c r="E39" s="49">
        <v>340</v>
      </c>
      <c r="F39" s="50">
        <v>6</v>
      </c>
      <c r="G39" s="50">
        <v>3</v>
      </c>
      <c r="H39" s="50">
        <v>81770</v>
      </c>
      <c r="I39" s="48" t="s">
        <v>72</v>
      </c>
      <c r="J39" s="48">
        <v>84135539</v>
      </c>
      <c r="K39" s="48" t="s">
        <v>180</v>
      </c>
      <c r="L39" s="48" t="s">
        <v>181</v>
      </c>
      <c r="M39" s="52">
        <v>399000</v>
      </c>
      <c r="N39" s="53">
        <v>0.9</v>
      </c>
      <c r="O39" s="54">
        <f t="shared" si="0"/>
        <v>39900</v>
      </c>
      <c r="P39" s="55" t="s">
        <v>20</v>
      </c>
    </row>
    <row r="40" ht="15.5" spans="1:16">
      <c r="A40" s="48" t="s">
        <v>105</v>
      </c>
      <c r="B40" s="8">
        <v>46093</v>
      </c>
      <c r="C40" s="8">
        <v>46098</v>
      </c>
      <c r="D40" s="48">
        <v>3302</v>
      </c>
      <c r="E40" s="49">
        <v>340</v>
      </c>
      <c r="F40" s="50">
        <v>6</v>
      </c>
      <c r="G40" s="50">
        <v>3</v>
      </c>
      <c r="H40" s="50">
        <v>81770</v>
      </c>
      <c r="I40" s="48" t="s">
        <v>72</v>
      </c>
      <c r="J40" s="48">
        <v>84135548</v>
      </c>
      <c r="K40" s="48" t="s">
        <v>182</v>
      </c>
      <c r="L40" s="48" t="s">
        <v>183</v>
      </c>
      <c r="M40" s="52">
        <v>419000</v>
      </c>
      <c r="N40" s="53">
        <v>0.9</v>
      </c>
      <c r="O40" s="54">
        <f t="shared" si="0"/>
        <v>41900</v>
      </c>
      <c r="P40" s="55" t="s">
        <v>20</v>
      </c>
    </row>
    <row r="41" ht="15.5" spans="1:16">
      <c r="A41" s="48" t="s">
        <v>105</v>
      </c>
      <c r="B41" s="8">
        <v>46093</v>
      </c>
      <c r="C41" s="8">
        <v>46098</v>
      </c>
      <c r="D41" s="48">
        <v>3302</v>
      </c>
      <c r="E41" s="49">
        <v>340</v>
      </c>
      <c r="F41" s="50">
        <v>6</v>
      </c>
      <c r="G41" s="50">
        <v>3</v>
      </c>
      <c r="H41" s="50">
        <v>81770</v>
      </c>
      <c r="I41" s="48" t="s">
        <v>72</v>
      </c>
      <c r="J41" s="48">
        <v>84135557</v>
      </c>
      <c r="K41" s="48" t="s">
        <v>184</v>
      </c>
      <c r="L41" s="48" t="s">
        <v>185</v>
      </c>
      <c r="M41" s="52">
        <v>499000</v>
      </c>
      <c r="N41" s="53">
        <v>0.9</v>
      </c>
      <c r="O41" s="54">
        <f t="shared" si="0"/>
        <v>49900</v>
      </c>
      <c r="P41" s="55" t="s">
        <v>20</v>
      </c>
    </row>
    <row r="42" ht="15.5" spans="1:16">
      <c r="A42" s="48" t="s">
        <v>105</v>
      </c>
      <c r="B42" s="8">
        <v>46093</v>
      </c>
      <c r="C42" s="8">
        <v>46098</v>
      </c>
      <c r="D42" s="48">
        <v>3302</v>
      </c>
      <c r="E42" s="49">
        <v>340</v>
      </c>
      <c r="F42" s="50">
        <v>6</v>
      </c>
      <c r="G42" s="50">
        <v>3</v>
      </c>
      <c r="H42" s="50">
        <v>81770</v>
      </c>
      <c r="I42" s="48" t="s">
        <v>72</v>
      </c>
      <c r="J42" s="48">
        <v>84135566</v>
      </c>
      <c r="K42" s="48" t="s">
        <v>186</v>
      </c>
      <c r="L42" s="48" t="s">
        <v>187</v>
      </c>
      <c r="M42" s="52">
        <v>699000</v>
      </c>
      <c r="N42" s="53">
        <v>0.9</v>
      </c>
      <c r="O42" s="54">
        <f t="shared" si="0"/>
        <v>69900</v>
      </c>
      <c r="P42" s="55" t="s">
        <v>20</v>
      </c>
    </row>
    <row r="43" ht="15.5" spans="1:16">
      <c r="A43" s="48" t="s">
        <v>105</v>
      </c>
      <c r="B43" s="8">
        <v>46093</v>
      </c>
      <c r="C43" s="8">
        <v>46098</v>
      </c>
      <c r="D43" s="48">
        <v>3302</v>
      </c>
      <c r="E43" s="49">
        <v>340</v>
      </c>
      <c r="F43" s="50">
        <v>6</v>
      </c>
      <c r="G43" s="50">
        <v>3</v>
      </c>
      <c r="H43" s="50">
        <v>81770</v>
      </c>
      <c r="I43" s="48" t="s">
        <v>72</v>
      </c>
      <c r="J43" s="48">
        <v>84135575</v>
      </c>
      <c r="K43" s="48" t="s">
        <v>188</v>
      </c>
      <c r="L43" s="48" t="s">
        <v>189</v>
      </c>
      <c r="M43" s="52">
        <v>299000</v>
      </c>
      <c r="N43" s="53">
        <v>0.9</v>
      </c>
      <c r="O43" s="54">
        <f t="shared" si="0"/>
        <v>29900</v>
      </c>
      <c r="P43" s="55" t="s">
        <v>20</v>
      </c>
    </row>
    <row r="44" ht="15.5" spans="1:16">
      <c r="A44" s="48" t="s">
        <v>105</v>
      </c>
      <c r="B44" s="8">
        <v>46093</v>
      </c>
      <c r="C44" s="8">
        <v>46098</v>
      </c>
      <c r="D44" s="48">
        <v>3302</v>
      </c>
      <c r="E44" s="49">
        <v>340</v>
      </c>
      <c r="F44" s="50">
        <v>6</v>
      </c>
      <c r="G44" s="50">
        <v>3</v>
      </c>
      <c r="H44" s="50">
        <v>81770</v>
      </c>
      <c r="I44" s="48" t="s">
        <v>72</v>
      </c>
      <c r="J44" s="48">
        <v>84135584</v>
      </c>
      <c r="K44" s="48" t="s">
        <v>190</v>
      </c>
      <c r="L44" s="48" t="s">
        <v>191</v>
      </c>
      <c r="M44" s="52">
        <v>379000</v>
      </c>
      <c r="N44" s="53">
        <v>0.9</v>
      </c>
      <c r="O44" s="54">
        <f t="shared" si="0"/>
        <v>37900</v>
      </c>
      <c r="P44" s="55" t="s">
        <v>20</v>
      </c>
    </row>
    <row r="45" ht="15.5" spans="1:16">
      <c r="A45" s="48" t="s">
        <v>105</v>
      </c>
      <c r="B45" s="8">
        <v>46093</v>
      </c>
      <c r="C45" s="8">
        <v>46098</v>
      </c>
      <c r="D45" s="48">
        <v>3302</v>
      </c>
      <c r="E45" s="49">
        <v>340</v>
      </c>
      <c r="F45" s="50">
        <v>6</v>
      </c>
      <c r="G45" s="50">
        <v>3</v>
      </c>
      <c r="H45" s="50">
        <v>81770</v>
      </c>
      <c r="I45" s="48" t="s">
        <v>72</v>
      </c>
      <c r="J45" s="48">
        <v>84135593</v>
      </c>
      <c r="K45" s="48" t="s">
        <v>192</v>
      </c>
      <c r="L45" s="48" t="s">
        <v>193</v>
      </c>
      <c r="M45" s="52">
        <v>399000</v>
      </c>
      <c r="N45" s="53">
        <v>0.9</v>
      </c>
      <c r="O45" s="54">
        <f t="shared" si="0"/>
        <v>39900</v>
      </c>
      <c r="P45" s="55" t="s">
        <v>20</v>
      </c>
    </row>
    <row r="46" ht="15.5" spans="1:16">
      <c r="A46" s="48" t="s">
        <v>105</v>
      </c>
      <c r="B46" s="8">
        <v>46093</v>
      </c>
      <c r="C46" s="8">
        <v>46098</v>
      </c>
      <c r="D46" s="48">
        <v>3302</v>
      </c>
      <c r="E46" s="49">
        <v>340</v>
      </c>
      <c r="F46" s="50">
        <v>6</v>
      </c>
      <c r="G46" s="50">
        <v>3</v>
      </c>
      <c r="H46" s="50">
        <v>81770</v>
      </c>
      <c r="I46" s="48" t="s">
        <v>72</v>
      </c>
      <c r="J46" s="48">
        <v>84135600</v>
      </c>
      <c r="K46" s="48" t="s">
        <v>194</v>
      </c>
      <c r="L46" s="48" t="s">
        <v>195</v>
      </c>
      <c r="M46" s="52">
        <v>419000</v>
      </c>
      <c r="N46" s="53">
        <v>0.9</v>
      </c>
      <c r="O46" s="54">
        <f t="shared" si="0"/>
        <v>41900</v>
      </c>
      <c r="P46" s="55" t="s">
        <v>20</v>
      </c>
    </row>
    <row r="47" ht="15.5" spans="1:16">
      <c r="A47" s="48" t="s">
        <v>105</v>
      </c>
      <c r="B47" s="8">
        <v>46093</v>
      </c>
      <c r="C47" s="8">
        <v>46098</v>
      </c>
      <c r="D47" s="48">
        <v>3302</v>
      </c>
      <c r="E47" s="49">
        <v>340</v>
      </c>
      <c r="F47" s="50">
        <v>6</v>
      </c>
      <c r="G47" s="50">
        <v>3</v>
      </c>
      <c r="H47" s="50">
        <v>81770</v>
      </c>
      <c r="I47" s="48" t="s">
        <v>72</v>
      </c>
      <c r="J47" s="48">
        <v>84135619</v>
      </c>
      <c r="K47" s="48" t="s">
        <v>196</v>
      </c>
      <c r="L47" s="48" t="s">
        <v>197</v>
      </c>
      <c r="M47" s="52">
        <v>499000</v>
      </c>
      <c r="N47" s="53">
        <v>0.9</v>
      </c>
      <c r="O47" s="54">
        <f t="shared" si="0"/>
        <v>49900</v>
      </c>
      <c r="P47" s="55" t="s">
        <v>20</v>
      </c>
    </row>
    <row r="48" ht="15.5" spans="1:16">
      <c r="A48" s="48" t="s">
        <v>105</v>
      </c>
      <c r="B48" s="8">
        <v>46093</v>
      </c>
      <c r="C48" s="8">
        <v>46098</v>
      </c>
      <c r="D48" s="48">
        <v>3302</v>
      </c>
      <c r="E48" s="49">
        <v>340</v>
      </c>
      <c r="F48" s="50">
        <v>6</v>
      </c>
      <c r="G48" s="50">
        <v>3</v>
      </c>
      <c r="H48" s="50">
        <v>81770</v>
      </c>
      <c r="I48" s="48" t="s">
        <v>72</v>
      </c>
      <c r="J48" s="48">
        <v>84135628</v>
      </c>
      <c r="K48" s="48" t="s">
        <v>198</v>
      </c>
      <c r="L48" s="48" t="s">
        <v>199</v>
      </c>
      <c r="M48" s="52">
        <v>699000</v>
      </c>
      <c r="N48" s="53">
        <v>0.9</v>
      </c>
      <c r="O48" s="54">
        <f t="shared" si="0"/>
        <v>69900</v>
      </c>
      <c r="P48" s="55" t="s">
        <v>20</v>
      </c>
    </row>
  </sheetData>
  <pageMargins left="0.7" right="0.7" top="0.75" bottom="0.75" header="0.3" footer="0.3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3"/>
  <sheetViews>
    <sheetView zoomScale="70" zoomScaleNormal="70" workbookViewId="0">
      <pane ySplit="1" topLeftCell="A2" activePane="bottomLeft" state="frozen"/>
      <selection/>
      <selection pane="bottomLeft" activeCell="C2" sqref="C2:C33"/>
    </sheetView>
  </sheetViews>
  <sheetFormatPr defaultColWidth="8.72727272727273" defaultRowHeight="14.5"/>
  <cols>
    <col min="1" max="1" width="17.7272727272727" style="1" customWidth="1"/>
    <col min="2" max="2" width="11.4545454545455" style="2" customWidth="1"/>
    <col min="3" max="3" width="10.4545454545455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2" style="1" customWidth="1"/>
    <col min="10" max="10" width="9.18181818181818" style="1" customWidth="1"/>
    <col min="11" max="11" width="12.5454545454545" style="1" customWidth="1"/>
    <col min="12" max="12" width="55.7090909090909" style="1" customWidth="1"/>
    <col min="13" max="13" width="20.5454545454545" style="3" customWidth="1"/>
    <col min="14" max="14" width="12.4545454545455" style="4" customWidth="1"/>
    <col min="15" max="15" width="19.5454545454545" style="3" customWidth="1"/>
    <col min="16" max="16" width="19.7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9" t="s">
        <v>12</v>
      </c>
      <c r="N1" s="10" t="s">
        <v>13</v>
      </c>
      <c r="O1" s="9" t="s">
        <v>14</v>
      </c>
      <c r="P1" s="5" t="s">
        <v>15</v>
      </c>
    </row>
    <row r="2" spans="1:16">
      <c r="A2" s="7" t="s">
        <v>200</v>
      </c>
      <c r="B2" s="8">
        <v>46093</v>
      </c>
      <c r="C2" s="8">
        <v>46098</v>
      </c>
      <c r="D2" s="7">
        <v>3302</v>
      </c>
      <c r="E2" s="7">
        <v>340</v>
      </c>
      <c r="F2" s="7">
        <v>6</v>
      </c>
      <c r="G2" s="7">
        <v>1</v>
      </c>
      <c r="H2" s="7">
        <v>721</v>
      </c>
      <c r="I2" s="7" t="s">
        <v>72</v>
      </c>
      <c r="J2" s="7">
        <v>76394631</v>
      </c>
      <c r="K2" s="7" t="s">
        <v>201</v>
      </c>
      <c r="L2" s="19" t="s">
        <v>202</v>
      </c>
      <c r="M2" s="20">
        <v>229900</v>
      </c>
      <c r="N2" s="16">
        <v>0.9</v>
      </c>
      <c r="O2" s="20">
        <f>M2-(M2*N2)</f>
        <v>22990</v>
      </c>
      <c r="P2" s="7" t="s">
        <v>20</v>
      </c>
    </row>
    <row r="3" spans="1:16">
      <c r="A3" s="7" t="s">
        <v>200</v>
      </c>
      <c r="B3" s="8">
        <v>46093</v>
      </c>
      <c r="C3" s="8">
        <v>46098</v>
      </c>
      <c r="D3" s="7">
        <v>3302</v>
      </c>
      <c r="E3" s="7">
        <v>340</v>
      </c>
      <c r="F3" s="7">
        <v>6</v>
      </c>
      <c r="G3" s="7">
        <v>1</v>
      </c>
      <c r="H3" s="7">
        <v>721</v>
      </c>
      <c r="I3" s="7" t="s">
        <v>72</v>
      </c>
      <c r="J3" s="7">
        <v>76394640</v>
      </c>
      <c r="K3" s="7" t="s">
        <v>201</v>
      </c>
      <c r="L3" s="19" t="s">
        <v>203</v>
      </c>
      <c r="M3" s="20">
        <v>229900</v>
      </c>
      <c r="N3" s="16">
        <v>0.9</v>
      </c>
      <c r="O3" s="20">
        <f t="shared" ref="O3:O15" si="0">M3-(M3*N3)</f>
        <v>22990</v>
      </c>
      <c r="P3" s="7" t="s">
        <v>20</v>
      </c>
    </row>
    <row r="4" spans="1:16">
      <c r="A4" s="7" t="s">
        <v>200</v>
      </c>
      <c r="B4" s="8">
        <v>46093</v>
      </c>
      <c r="C4" s="8">
        <v>46098</v>
      </c>
      <c r="D4" s="7">
        <v>3302</v>
      </c>
      <c r="E4" s="7">
        <v>340</v>
      </c>
      <c r="F4" s="7">
        <v>6</v>
      </c>
      <c r="G4" s="7">
        <v>1</v>
      </c>
      <c r="H4" s="7">
        <v>721</v>
      </c>
      <c r="I4" s="7" t="s">
        <v>72</v>
      </c>
      <c r="J4" s="7">
        <v>78192159</v>
      </c>
      <c r="K4" s="7" t="s">
        <v>204</v>
      </c>
      <c r="L4" s="19" t="s">
        <v>205</v>
      </c>
      <c r="M4" s="20">
        <v>189900</v>
      </c>
      <c r="N4" s="16">
        <v>0.9</v>
      </c>
      <c r="O4" s="20">
        <f t="shared" si="0"/>
        <v>18990</v>
      </c>
      <c r="P4" s="7" t="s">
        <v>20</v>
      </c>
    </row>
    <row r="5" spans="1:16">
      <c r="A5" s="7" t="s">
        <v>200</v>
      </c>
      <c r="B5" s="8">
        <v>46093</v>
      </c>
      <c r="C5" s="8">
        <v>46098</v>
      </c>
      <c r="D5" s="7">
        <v>3302</v>
      </c>
      <c r="E5" s="7">
        <v>340</v>
      </c>
      <c r="F5" s="7">
        <v>6</v>
      </c>
      <c r="G5" s="7">
        <v>1</v>
      </c>
      <c r="H5" s="7">
        <v>721</v>
      </c>
      <c r="I5" s="7" t="s">
        <v>72</v>
      </c>
      <c r="J5" s="7">
        <v>78192168</v>
      </c>
      <c r="K5" s="7" t="s">
        <v>204</v>
      </c>
      <c r="L5" s="19" t="s">
        <v>206</v>
      </c>
      <c r="M5" s="20">
        <v>189900</v>
      </c>
      <c r="N5" s="16">
        <v>0.9</v>
      </c>
      <c r="O5" s="20">
        <f t="shared" si="0"/>
        <v>18990</v>
      </c>
      <c r="P5" s="7" t="s">
        <v>20</v>
      </c>
    </row>
    <row r="6" spans="1:16">
      <c r="A6" s="7" t="s">
        <v>200</v>
      </c>
      <c r="B6" s="8">
        <v>46093</v>
      </c>
      <c r="C6" s="8">
        <v>46098</v>
      </c>
      <c r="D6" s="7">
        <v>3302</v>
      </c>
      <c r="E6" s="7">
        <v>340</v>
      </c>
      <c r="F6" s="7">
        <v>6</v>
      </c>
      <c r="G6" s="7">
        <v>1</v>
      </c>
      <c r="H6" s="7">
        <v>721</v>
      </c>
      <c r="I6" s="7" t="s">
        <v>72</v>
      </c>
      <c r="J6" s="7">
        <v>79223462</v>
      </c>
      <c r="K6" s="7" t="s">
        <v>204</v>
      </c>
      <c r="L6" s="19" t="s">
        <v>207</v>
      </c>
      <c r="M6" s="20">
        <v>189900</v>
      </c>
      <c r="N6" s="16">
        <v>0.9</v>
      </c>
      <c r="O6" s="20">
        <f t="shared" si="0"/>
        <v>18990</v>
      </c>
      <c r="P6" s="7" t="s">
        <v>20</v>
      </c>
    </row>
    <row r="7" spans="1:16">
      <c r="A7" s="7" t="s">
        <v>200</v>
      </c>
      <c r="B7" s="8">
        <v>46093</v>
      </c>
      <c r="C7" s="8">
        <v>46098</v>
      </c>
      <c r="D7" s="7">
        <v>3302</v>
      </c>
      <c r="E7" s="7">
        <v>340</v>
      </c>
      <c r="F7" s="7">
        <v>6</v>
      </c>
      <c r="G7" s="7">
        <v>1</v>
      </c>
      <c r="H7" s="7">
        <v>721</v>
      </c>
      <c r="I7" s="7" t="s">
        <v>72</v>
      </c>
      <c r="J7" s="7">
        <v>79223471</v>
      </c>
      <c r="K7" s="7" t="s">
        <v>204</v>
      </c>
      <c r="L7" s="19" t="s">
        <v>208</v>
      </c>
      <c r="M7" s="20">
        <v>189900</v>
      </c>
      <c r="N7" s="16">
        <v>0.9</v>
      </c>
      <c r="O7" s="20">
        <f t="shared" si="0"/>
        <v>18990</v>
      </c>
      <c r="P7" s="7" t="s">
        <v>20</v>
      </c>
    </row>
    <row r="8" spans="1:16">
      <c r="A8" s="7" t="s">
        <v>200</v>
      </c>
      <c r="B8" s="8">
        <v>46093</v>
      </c>
      <c r="C8" s="8">
        <v>46098</v>
      </c>
      <c r="D8" s="7">
        <v>3302</v>
      </c>
      <c r="E8" s="7">
        <v>340</v>
      </c>
      <c r="F8" s="7">
        <v>6</v>
      </c>
      <c r="G8" s="7">
        <v>1</v>
      </c>
      <c r="H8" s="7">
        <v>721</v>
      </c>
      <c r="I8" s="7" t="s">
        <v>72</v>
      </c>
      <c r="J8" s="7">
        <v>79223962</v>
      </c>
      <c r="K8" s="7" t="s">
        <v>209</v>
      </c>
      <c r="L8" s="19" t="s">
        <v>210</v>
      </c>
      <c r="M8" s="20">
        <v>199900</v>
      </c>
      <c r="N8" s="16">
        <v>0.9</v>
      </c>
      <c r="O8" s="20">
        <f t="shared" si="0"/>
        <v>19990</v>
      </c>
      <c r="P8" s="7" t="s">
        <v>20</v>
      </c>
    </row>
    <row r="9" spans="1:16">
      <c r="A9" s="7" t="s">
        <v>200</v>
      </c>
      <c r="B9" s="8">
        <v>46093</v>
      </c>
      <c r="C9" s="8">
        <v>46098</v>
      </c>
      <c r="D9" s="7">
        <v>3302</v>
      </c>
      <c r="E9" s="7">
        <v>340</v>
      </c>
      <c r="F9" s="7">
        <v>6</v>
      </c>
      <c r="G9" s="7">
        <v>1</v>
      </c>
      <c r="H9" s="7">
        <v>721</v>
      </c>
      <c r="I9" s="7" t="s">
        <v>72</v>
      </c>
      <c r="J9" s="7">
        <v>79223971</v>
      </c>
      <c r="K9" s="7" t="s">
        <v>209</v>
      </c>
      <c r="L9" s="19" t="s">
        <v>211</v>
      </c>
      <c r="M9" s="20">
        <v>199900</v>
      </c>
      <c r="N9" s="16">
        <v>0.9</v>
      </c>
      <c r="O9" s="20">
        <f t="shared" si="0"/>
        <v>19990</v>
      </c>
      <c r="P9" s="7" t="s">
        <v>20</v>
      </c>
    </row>
    <row r="10" spans="1:16">
      <c r="A10" s="7" t="s">
        <v>200</v>
      </c>
      <c r="B10" s="8">
        <v>46093</v>
      </c>
      <c r="C10" s="8">
        <v>46098</v>
      </c>
      <c r="D10" s="7">
        <v>3302</v>
      </c>
      <c r="E10" s="7">
        <v>340</v>
      </c>
      <c r="F10" s="7">
        <v>6</v>
      </c>
      <c r="G10" s="7">
        <v>1</v>
      </c>
      <c r="H10" s="7">
        <v>721</v>
      </c>
      <c r="I10" s="7" t="s">
        <v>72</v>
      </c>
      <c r="J10" s="7">
        <v>79223980</v>
      </c>
      <c r="K10" s="7" t="s">
        <v>212</v>
      </c>
      <c r="L10" s="19" t="s">
        <v>213</v>
      </c>
      <c r="M10" s="20">
        <v>199900</v>
      </c>
      <c r="N10" s="16">
        <v>0.9</v>
      </c>
      <c r="O10" s="20">
        <f t="shared" si="0"/>
        <v>19990</v>
      </c>
      <c r="P10" s="7" t="s">
        <v>20</v>
      </c>
    </row>
    <row r="11" spans="1:16">
      <c r="A11" s="7" t="s">
        <v>200</v>
      </c>
      <c r="B11" s="8">
        <v>46093</v>
      </c>
      <c r="C11" s="8">
        <v>46098</v>
      </c>
      <c r="D11" s="7">
        <v>3302</v>
      </c>
      <c r="E11" s="7">
        <v>340</v>
      </c>
      <c r="F11" s="7">
        <v>6</v>
      </c>
      <c r="G11" s="7">
        <v>1</v>
      </c>
      <c r="H11" s="7">
        <v>721</v>
      </c>
      <c r="I11" s="7" t="s">
        <v>72</v>
      </c>
      <c r="J11" s="7">
        <v>79223999</v>
      </c>
      <c r="K11" s="7" t="s">
        <v>212</v>
      </c>
      <c r="L11" s="19" t="s">
        <v>214</v>
      </c>
      <c r="M11" s="20">
        <v>199900</v>
      </c>
      <c r="N11" s="16">
        <v>0.9</v>
      </c>
      <c r="O11" s="20">
        <f t="shared" si="0"/>
        <v>19990</v>
      </c>
      <c r="P11" s="7" t="s">
        <v>20</v>
      </c>
    </row>
    <row r="12" spans="1:16">
      <c r="A12" s="7" t="s">
        <v>200</v>
      </c>
      <c r="B12" s="8">
        <v>46093</v>
      </c>
      <c r="C12" s="8">
        <v>46098</v>
      </c>
      <c r="D12" s="7">
        <v>3302</v>
      </c>
      <c r="E12" s="7">
        <v>340</v>
      </c>
      <c r="F12" s="7">
        <v>6</v>
      </c>
      <c r="G12" s="7">
        <v>1</v>
      </c>
      <c r="H12" s="7">
        <v>721</v>
      </c>
      <c r="I12" s="7" t="s">
        <v>72</v>
      </c>
      <c r="J12" s="7">
        <v>81648900</v>
      </c>
      <c r="K12" s="7" t="s">
        <v>215</v>
      </c>
      <c r="L12" s="19" t="s">
        <v>216</v>
      </c>
      <c r="M12" s="20">
        <v>199900</v>
      </c>
      <c r="N12" s="16">
        <v>0.9</v>
      </c>
      <c r="O12" s="20">
        <f t="shared" si="0"/>
        <v>19990</v>
      </c>
      <c r="P12" s="7" t="s">
        <v>20</v>
      </c>
    </row>
    <row r="13" spans="1:16">
      <c r="A13" s="7" t="s">
        <v>200</v>
      </c>
      <c r="B13" s="8">
        <v>46093</v>
      </c>
      <c r="C13" s="8">
        <v>46098</v>
      </c>
      <c r="D13" s="7">
        <v>3302</v>
      </c>
      <c r="E13" s="7">
        <v>340</v>
      </c>
      <c r="F13" s="7">
        <v>6</v>
      </c>
      <c r="G13" s="7">
        <v>1</v>
      </c>
      <c r="H13" s="7">
        <v>721</v>
      </c>
      <c r="I13" s="7" t="s">
        <v>72</v>
      </c>
      <c r="J13" s="7">
        <v>81648919</v>
      </c>
      <c r="K13" s="7" t="s">
        <v>215</v>
      </c>
      <c r="L13" s="19" t="s">
        <v>217</v>
      </c>
      <c r="M13" s="20">
        <v>199900</v>
      </c>
      <c r="N13" s="16">
        <v>0.9</v>
      </c>
      <c r="O13" s="20">
        <f t="shared" si="0"/>
        <v>19990</v>
      </c>
      <c r="P13" s="7" t="s">
        <v>20</v>
      </c>
    </row>
    <row r="14" spans="1:16">
      <c r="A14" s="7" t="s">
        <v>200</v>
      </c>
      <c r="B14" s="8">
        <v>46093</v>
      </c>
      <c r="C14" s="8">
        <v>46098</v>
      </c>
      <c r="D14" s="7">
        <v>3302</v>
      </c>
      <c r="E14" s="7">
        <v>340</v>
      </c>
      <c r="F14" s="7">
        <v>6</v>
      </c>
      <c r="G14" s="7">
        <v>1</v>
      </c>
      <c r="H14" s="7">
        <v>721</v>
      </c>
      <c r="I14" s="7" t="s">
        <v>72</v>
      </c>
      <c r="J14" s="7">
        <v>81648928</v>
      </c>
      <c r="K14" s="7" t="s">
        <v>218</v>
      </c>
      <c r="L14" s="19" t="s">
        <v>219</v>
      </c>
      <c r="M14" s="20">
        <v>199900</v>
      </c>
      <c r="N14" s="16">
        <v>0.9</v>
      </c>
      <c r="O14" s="20">
        <f t="shared" si="0"/>
        <v>19990</v>
      </c>
      <c r="P14" s="7" t="s">
        <v>20</v>
      </c>
    </row>
    <row r="15" spans="1:16">
      <c r="A15" s="7" t="s">
        <v>200</v>
      </c>
      <c r="B15" s="8">
        <v>46093</v>
      </c>
      <c r="C15" s="8">
        <v>46098</v>
      </c>
      <c r="D15" s="7">
        <v>3302</v>
      </c>
      <c r="E15" s="7">
        <v>340</v>
      </c>
      <c r="F15" s="7">
        <v>6</v>
      </c>
      <c r="G15" s="7">
        <v>1</v>
      </c>
      <c r="H15" s="7">
        <v>721</v>
      </c>
      <c r="I15" s="7" t="s">
        <v>72</v>
      </c>
      <c r="J15" s="7">
        <v>81648937</v>
      </c>
      <c r="K15" s="7" t="s">
        <v>218</v>
      </c>
      <c r="L15" s="19" t="s">
        <v>220</v>
      </c>
      <c r="M15" s="20">
        <v>199900</v>
      </c>
      <c r="N15" s="16">
        <v>0.9</v>
      </c>
      <c r="O15" s="20">
        <f t="shared" si="0"/>
        <v>19990</v>
      </c>
      <c r="P15" s="7" t="s">
        <v>20</v>
      </c>
    </row>
    <row r="16" s="1" customFormat="1" spans="1:16">
      <c r="A16" s="7" t="s">
        <v>200</v>
      </c>
      <c r="B16" s="8">
        <v>46093</v>
      </c>
      <c r="C16" s="8">
        <v>46098</v>
      </c>
      <c r="D16" s="7">
        <v>3302</v>
      </c>
      <c r="E16" s="7">
        <v>340</v>
      </c>
      <c r="F16" s="7">
        <v>6</v>
      </c>
      <c r="G16" s="7">
        <v>1</v>
      </c>
      <c r="H16" s="7">
        <v>721</v>
      </c>
      <c r="I16" s="7" t="s">
        <v>72</v>
      </c>
      <c r="J16" s="7">
        <v>14355852</v>
      </c>
      <c r="K16" s="7" t="s">
        <v>221</v>
      </c>
      <c r="L16" s="19" t="s">
        <v>222</v>
      </c>
      <c r="M16" s="20">
        <v>159900</v>
      </c>
      <c r="N16" s="16">
        <v>0.9</v>
      </c>
      <c r="O16" s="20">
        <f t="shared" ref="O16:O33" si="1">M16*(1-N16)</f>
        <v>15990</v>
      </c>
      <c r="P16" s="16" t="s">
        <v>20</v>
      </c>
    </row>
    <row r="17" s="1" customFormat="1" spans="1:16">
      <c r="A17" s="7" t="s">
        <v>200</v>
      </c>
      <c r="B17" s="8">
        <v>46093</v>
      </c>
      <c r="C17" s="8">
        <v>46098</v>
      </c>
      <c r="D17" s="7">
        <v>3302</v>
      </c>
      <c r="E17" s="7">
        <v>340</v>
      </c>
      <c r="F17" s="7">
        <v>6</v>
      </c>
      <c r="G17" s="7">
        <v>1</v>
      </c>
      <c r="H17" s="7">
        <v>721</v>
      </c>
      <c r="I17" s="7" t="s">
        <v>72</v>
      </c>
      <c r="J17" s="7">
        <v>14355861</v>
      </c>
      <c r="K17" s="7" t="s">
        <v>221</v>
      </c>
      <c r="L17" s="19" t="s">
        <v>223</v>
      </c>
      <c r="M17" s="20">
        <v>159900</v>
      </c>
      <c r="N17" s="16">
        <v>0.9</v>
      </c>
      <c r="O17" s="20">
        <f t="shared" si="1"/>
        <v>15990</v>
      </c>
      <c r="P17" s="16" t="s">
        <v>20</v>
      </c>
    </row>
    <row r="18" s="1" customFormat="1" spans="1:16">
      <c r="A18" s="7" t="s">
        <v>200</v>
      </c>
      <c r="B18" s="8">
        <v>46093</v>
      </c>
      <c r="C18" s="8">
        <v>46098</v>
      </c>
      <c r="D18" s="7">
        <v>3302</v>
      </c>
      <c r="E18" s="7">
        <v>340</v>
      </c>
      <c r="F18" s="7">
        <v>6</v>
      </c>
      <c r="G18" s="7">
        <v>1</v>
      </c>
      <c r="H18" s="7">
        <v>721</v>
      </c>
      <c r="I18" s="7" t="s">
        <v>72</v>
      </c>
      <c r="J18" s="7">
        <v>14355870</v>
      </c>
      <c r="K18" s="7" t="s">
        <v>224</v>
      </c>
      <c r="L18" s="19" t="s">
        <v>225</v>
      </c>
      <c r="M18" s="20">
        <v>159900</v>
      </c>
      <c r="N18" s="16">
        <v>0.9</v>
      </c>
      <c r="O18" s="20">
        <f t="shared" si="1"/>
        <v>15990</v>
      </c>
      <c r="P18" s="16" t="s">
        <v>20</v>
      </c>
    </row>
    <row r="19" s="1" customFormat="1" spans="1:16">
      <c r="A19" s="7" t="s">
        <v>200</v>
      </c>
      <c r="B19" s="8">
        <v>46093</v>
      </c>
      <c r="C19" s="8">
        <v>46098</v>
      </c>
      <c r="D19" s="7">
        <v>3302</v>
      </c>
      <c r="E19" s="7">
        <v>340</v>
      </c>
      <c r="F19" s="7">
        <v>6</v>
      </c>
      <c r="G19" s="7">
        <v>1</v>
      </c>
      <c r="H19" s="7">
        <v>721</v>
      </c>
      <c r="I19" s="7" t="s">
        <v>72</v>
      </c>
      <c r="J19" s="7">
        <v>14355889</v>
      </c>
      <c r="K19" s="7" t="s">
        <v>224</v>
      </c>
      <c r="L19" s="19" t="s">
        <v>226</v>
      </c>
      <c r="M19" s="20">
        <v>159900</v>
      </c>
      <c r="N19" s="16">
        <v>0.9</v>
      </c>
      <c r="O19" s="20">
        <f t="shared" si="1"/>
        <v>15990</v>
      </c>
      <c r="P19" s="16" t="s">
        <v>20</v>
      </c>
    </row>
    <row r="20" s="1" customFormat="1" spans="1:16">
      <c r="A20" s="7" t="s">
        <v>200</v>
      </c>
      <c r="B20" s="8">
        <v>46093</v>
      </c>
      <c r="C20" s="8">
        <v>46098</v>
      </c>
      <c r="D20" s="7">
        <v>3302</v>
      </c>
      <c r="E20" s="7">
        <v>340</v>
      </c>
      <c r="F20" s="7">
        <v>6</v>
      </c>
      <c r="G20" s="7">
        <v>1</v>
      </c>
      <c r="H20" s="7">
        <v>721</v>
      </c>
      <c r="I20" s="7" t="s">
        <v>72</v>
      </c>
      <c r="J20" s="7">
        <v>15616774</v>
      </c>
      <c r="K20" s="7" t="s">
        <v>227</v>
      </c>
      <c r="L20" s="19" t="s">
        <v>228</v>
      </c>
      <c r="M20" s="20">
        <v>179900</v>
      </c>
      <c r="N20" s="16">
        <v>0.9</v>
      </c>
      <c r="O20" s="20">
        <f t="shared" si="1"/>
        <v>17990</v>
      </c>
      <c r="P20" s="16" t="s">
        <v>20</v>
      </c>
    </row>
    <row r="21" s="1" customFormat="1" spans="1:16">
      <c r="A21" s="7" t="s">
        <v>200</v>
      </c>
      <c r="B21" s="8">
        <v>46093</v>
      </c>
      <c r="C21" s="8">
        <v>46098</v>
      </c>
      <c r="D21" s="7">
        <v>3302</v>
      </c>
      <c r="E21" s="7">
        <v>340</v>
      </c>
      <c r="F21" s="7">
        <v>6</v>
      </c>
      <c r="G21" s="7">
        <v>1</v>
      </c>
      <c r="H21" s="7">
        <v>721</v>
      </c>
      <c r="I21" s="7" t="s">
        <v>72</v>
      </c>
      <c r="J21" s="7">
        <v>15616783</v>
      </c>
      <c r="K21" s="7" t="s">
        <v>229</v>
      </c>
      <c r="L21" s="19" t="s">
        <v>230</v>
      </c>
      <c r="M21" s="20">
        <v>179900</v>
      </c>
      <c r="N21" s="16">
        <v>0.9</v>
      </c>
      <c r="O21" s="20">
        <f t="shared" si="1"/>
        <v>17990</v>
      </c>
      <c r="P21" s="16" t="s">
        <v>20</v>
      </c>
    </row>
    <row r="22" s="1" customFormat="1" spans="1:16">
      <c r="A22" s="7" t="s">
        <v>200</v>
      </c>
      <c r="B22" s="8">
        <v>46093</v>
      </c>
      <c r="C22" s="8">
        <v>46098</v>
      </c>
      <c r="D22" s="7">
        <v>3302</v>
      </c>
      <c r="E22" s="7">
        <v>340</v>
      </c>
      <c r="F22" s="7">
        <v>6</v>
      </c>
      <c r="G22" s="7">
        <v>1</v>
      </c>
      <c r="H22" s="7">
        <v>721</v>
      </c>
      <c r="I22" s="7" t="s">
        <v>72</v>
      </c>
      <c r="J22" s="7">
        <v>23229605</v>
      </c>
      <c r="K22" s="7" t="s">
        <v>229</v>
      </c>
      <c r="L22" s="19" t="s">
        <v>231</v>
      </c>
      <c r="M22" s="20">
        <v>59900</v>
      </c>
      <c r="N22" s="16">
        <v>0.9</v>
      </c>
      <c r="O22" s="20">
        <f t="shared" si="1"/>
        <v>5990</v>
      </c>
      <c r="P22" s="16" t="s">
        <v>20</v>
      </c>
    </row>
    <row r="23" s="1" customFormat="1" spans="1:16">
      <c r="A23" s="7" t="s">
        <v>200</v>
      </c>
      <c r="B23" s="8">
        <v>46093</v>
      </c>
      <c r="C23" s="8">
        <v>46098</v>
      </c>
      <c r="D23" s="7">
        <v>3302</v>
      </c>
      <c r="E23" s="7">
        <v>340</v>
      </c>
      <c r="F23" s="7">
        <v>6</v>
      </c>
      <c r="G23" s="7">
        <v>1</v>
      </c>
      <c r="H23" s="7">
        <v>721</v>
      </c>
      <c r="I23" s="7" t="s">
        <v>72</v>
      </c>
      <c r="J23" s="7">
        <v>81648946</v>
      </c>
      <c r="K23" s="7" t="s">
        <v>232</v>
      </c>
      <c r="L23" s="19" t="s">
        <v>233</v>
      </c>
      <c r="M23" s="20">
        <v>229900</v>
      </c>
      <c r="N23" s="16">
        <v>0.9</v>
      </c>
      <c r="O23" s="20">
        <f t="shared" si="1"/>
        <v>22990</v>
      </c>
      <c r="P23" s="16" t="s">
        <v>20</v>
      </c>
    </row>
    <row r="24" s="1" customFormat="1" spans="1:16">
      <c r="A24" s="7" t="s">
        <v>200</v>
      </c>
      <c r="B24" s="8">
        <v>46093</v>
      </c>
      <c r="C24" s="8">
        <v>46098</v>
      </c>
      <c r="D24" s="7">
        <v>3302</v>
      </c>
      <c r="E24" s="7">
        <v>340</v>
      </c>
      <c r="F24" s="7">
        <v>6</v>
      </c>
      <c r="G24" s="7">
        <v>1</v>
      </c>
      <c r="H24" s="7">
        <v>721</v>
      </c>
      <c r="I24" s="7" t="s">
        <v>72</v>
      </c>
      <c r="J24" s="7">
        <v>81648955</v>
      </c>
      <c r="K24" s="7" t="s">
        <v>234</v>
      </c>
      <c r="L24" s="19" t="s">
        <v>235</v>
      </c>
      <c r="M24" s="20">
        <v>229900</v>
      </c>
      <c r="N24" s="16">
        <v>0.9</v>
      </c>
      <c r="O24" s="20">
        <f t="shared" si="1"/>
        <v>22990</v>
      </c>
      <c r="P24" s="16" t="s">
        <v>20</v>
      </c>
    </row>
    <row r="25" s="1" customFormat="1" spans="1:16">
      <c r="A25" s="7" t="s">
        <v>200</v>
      </c>
      <c r="B25" s="8">
        <v>46093</v>
      </c>
      <c r="C25" s="8">
        <v>46098</v>
      </c>
      <c r="D25" s="7">
        <v>3302</v>
      </c>
      <c r="E25" s="7">
        <v>340</v>
      </c>
      <c r="F25" s="7">
        <v>6</v>
      </c>
      <c r="G25" s="7">
        <v>1</v>
      </c>
      <c r="H25" s="7">
        <v>721</v>
      </c>
      <c r="I25" s="7" t="s">
        <v>72</v>
      </c>
      <c r="J25" s="7">
        <v>81648964</v>
      </c>
      <c r="K25" s="7" t="s">
        <v>236</v>
      </c>
      <c r="L25" s="19" t="s">
        <v>237</v>
      </c>
      <c r="M25" s="20">
        <v>229900</v>
      </c>
      <c r="N25" s="16">
        <v>0.9</v>
      </c>
      <c r="O25" s="20">
        <f t="shared" si="1"/>
        <v>22990</v>
      </c>
      <c r="P25" s="16" t="s">
        <v>20</v>
      </c>
    </row>
    <row r="26" s="1" customFormat="1" spans="1:16">
      <c r="A26" s="7" t="s">
        <v>200</v>
      </c>
      <c r="B26" s="8">
        <v>46093</v>
      </c>
      <c r="C26" s="8">
        <v>46098</v>
      </c>
      <c r="D26" s="7">
        <v>3302</v>
      </c>
      <c r="E26" s="7">
        <v>340</v>
      </c>
      <c r="F26" s="7">
        <v>6</v>
      </c>
      <c r="G26" s="7">
        <v>1</v>
      </c>
      <c r="H26" s="7">
        <v>721</v>
      </c>
      <c r="I26" s="7" t="s">
        <v>72</v>
      </c>
      <c r="J26" s="7">
        <v>81648973</v>
      </c>
      <c r="K26" s="7" t="s">
        <v>238</v>
      </c>
      <c r="L26" s="19" t="s">
        <v>239</v>
      </c>
      <c r="M26" s="20">
        <v>229900</v>
      </c>
      <c r="N26" s="16">
        <v>0.9</v>
      </c>
      <c r="O26" s="20">
        <f t="shared" si="1"/>
        <v>22990</v>
      </c>
      <c r="P26" s="16" t="s">
        <v>20</v>
      </c>
    </row>
    <row r="27" s="1" customFormat="1" spans="1:16">
      <c r="A27" s="7" t="s">
        <v>200</v>
      </c>
      <c r="B27" s="8">
        <v>46093</v>
      </c>
      <c r="C27" s="8">
        <v>46098</v>
      </c>
      <c r="D27" s="7">
        <v>3302</v>
      </c>
      <c r="E27" s="7">
        <v>340</v>
      </c>
      <c r="F27" s="7">
        <v>6</v>
      </c>
      <c r="G27" s="7">
        <v>1</v>
      </c>
      <c r="H27" s="7">
        <v>721</v>
      </c>
      <c r="I27" s="7" t="s">
        <v>72</v>
      </c>
      <c r="J27" s="7">
        <v>84074024</v>
      </c>
      <c r="K27" s="7" t="s">
        <v>240</v>
      </c>
      <c r="L27" s="19" t="s">
        <v>241</v>
      </c>
      <c r="M27" s="20">
        <v>199900</v>
      </c>
      <c r="N27" s="16">
        <v>0.9</v>
      </c>
      <c r="O27" s="20">
        <f t="shared" si="1"/>
        <v>19990</v>
      </c>
      <c r="P27" s="16" t="s">
        <v>20</v>
      </c>
    </row>
    <row r="28" s="1" customFormat="1" spans="1:16">
      <c r="A28" s="7" t="s">
        <v>200</v>
      </c>
      <c r="B28" s="8">
        <v>46093</v>
      </c>
      <c r="C28" s="8">
        <v>46098</v>
      </c>
      <c r="D28" s="7">
        <v>3302</v>
      </c>
      <c r="E28" s="7">
        <v>340</v>
      </c>
      <c r="F28" s="7">
        <v>6</v>
      </c>
      <c r="G28" s="7">
        <v>1</v>
      </c>
      <c r="H28" s="7">
        <v>721</v>
      </c>
      <c r="I28" s="7" t="s">
        <v>72</v>
      </c>
      <c r="J28" s="7">
        <v>84074033</v>
      </c>
      <c r="K28" s="7" t="s">
        <v>240</v>
      </c>
      <c r="L28" s="19" t="s">
        <v>242</v>
      </c>
      <c r="M28" s="20">
        <v>199900</v>
      </c>
      <c r="N28" s="16">
        <v>0.9</v>
      </c>
      <c r="O28" s="20">
        <f t="shared" si="1"/>
        <v>19990</v>
      </c>
      <c r="P28" s="16" t="s">
        <v>20</v>
      </c>
    </row>
    <row r="29" s="1" customFormat="1" spans="1:16">
      <c r="A29" s="7" t="s">
        <v>200</v>
      </c>
      <c r="B29" s="8">
        <v>46093</v>
      </c>
      <c r="C29" s="8">
        <v>46098</v>
      </c>
      <c r="D29" s="7">
        <v>3302</v>
      </c>
      <c r="E29" s="7">
        <v>340</v>
      </c>
      <c r="F29" s="7">
        <v>6</v>
      </c>
      <c r="G29" s="7">
        <v>1</v>
      </c>
      <c r="H29" s="7">
        <v>721</v>
      </c>
      <c r="I29" s="7" t="s">
        <v>72</v>
      </c>
      <c r="J29" s="7">
        <v>84074042</v>
      </c>
      <c r="K29" s="7" t="s">
        <v>240</v>
      </c>
      <c r="L29" s="19" t="s">
        <v>243</v>
      </c>
      <c r="M29" s="20">
        <v>199900</v>
      </c>
      <c r="N29" s="16">
        <v>0.9</v>
      </c>
      <c r="O29" s="20">
        <f t="shared" si="1"/>
        <v>19990</v>
      </c>
      <c r="P29" s="16" t="s">
        <v>20</v>
      </c>
    </row>
    <row r="30" s="1" customFormat="1" spans="1:16">
      <c r="A30" s="7" t="s">
        <v>200</v>
      </c>
      <c r="B30" s="8">
        <v>46093</v>
      </c>
      <c r="C30" s="8">
        <v>46098</v>
      </c>
      <c r="D30" s="7">
        <v>3302</v>
      </c>
      <c r="E30" s="7">
        <v>340</v>
      </c>
      <c r="F30" s="7">
        <v>6</v>
      </c>
      <c r="G30" s="7">
        <v>1</v>
      </c>
      <c r="H30" s="7">
        <v>721</v>
      </c>
      <c r="I30" s="7" t="s">
        <v>72</v>
      </c>
      <c r="J30" s="7">
        <v>84074051</v>
      </c>
      <c r="K30" s="7" t="s">
        <v>244</v>
      </c>
      <c r="L30" s="19" t="s">
        <v>245</v>
      </c>
      <c r="M30" s="20">
        <v>499900</v>
      </c>
      <c r="N30" s="16">
        <v>0.9</v>
      </c>
      <c r="O30" s="20">
        <f t="shared" si="1"/>
        <v>49990</v>
      </c>
      <c r="P30" s="16" t="s">
        <v>20</v>
      </c>
    </row>
    <row r="31" s="1" customFormat="1" spans="1:16">
      <c r="A31" s="7" t="s">
        <v>200</v>
      </c>
      <c r="B31" s="8">
        <v>46093</v>
      </c>
      <c r="C31" s="8">
        <v>46098</v>
      </c>
      <c r="D31" s="7">
        <v>3302</v>
      </c>
      <c r="E31" s="7">
        <v>340</v>
      </c>
      <c r="F31" s="7">
        <v>6</v>
      </c>
      <c r="G31" s="7">
        <v>1</v>
      </c>
      <c r="H31" s="7">
        <v>721</v>
      </c>
      <c r="I31" s="7" t="s">
        <v>72</v>
      </c>
      <c r="J31" s="7">
        <v>84074060</v>
      </c>
      <c r="K31" s="7" t="s">
        <v>244</v>
      </c>
      <c r="L31" s="19" t="s">
        <v>246</v>
      </c>
      <c r="M31" s="20">
        <v>499900</v>
      </c>
      <c r="N31" s="16">
        <v>0.9</v>
      </c>
      <c r="O31" s="20">
        <f t="shared" si="1"/>
        <v>49990</v>
      </c>
      <c r="P31" s="16" t="s">
        <v>20</v>
      </c>
    </row>
    <row r="32" s="1" customFormat="1" spans="1:16">
      <c r="A32" s="7" t="s">
        <v>200</v>
      </c>
      <c r="B32" s="8">
        <v>46093</v>
      </c>
      <c r="C32" s="8">
        <v>46098</v>
      </c>
      <c r="D32" s="7">
        <v>3302</v>
      </c>
      <c r="E32" s="7">
        <v>340</v>
      </c>
      <c r="F32" s="7">
        <v>6</v>
      </c>
      <c r="G32" s="7">
        <v>1</v>
      </c>
      <c r="H32" s="7">
        <v>81776</v>
      </c>
      <c r="I32" s="7" t="s">
        <v>72</v>
      </c>
      <c r="J32" s="7">
        <v>84073981</v>
      </c>
      <c r="K32" s="7" t="s">
        <v>247</v>
      </c>
      <c r="L32" s="19" t="s">
        <v>248</v>
      </c>
      <c r="M32" s="20">
        <v>159900</v>
      </c>
      <c r="N32" s="16">
        <v>0.9</v>
      </c>
      <c r="O32" s="20">
        <f t="shared" si="1"/>
        <v>15990</v>
      </c>
      <c r="P32" s="16" t="s">
        <v>20</v>
      </c>
    </row>
    <row r="33" s="1" customFormat="1" spans="1:16">
      <c r="A33" s="7" t="s">
        <v>200</v>
      </c>
      <c r="B33" s="8">
        <v>46093</v>
      </c>
      <c r="C33" s="8">
        <v>46098</v>
      </c>
      <c r="D33" s="7">
        <v>3302</v>
      </c>
      <c r="E33" s="7">
        <v>340</v>
      </c>
      <c r="F33" s="7">
        <v>6</v>
      </c>
      <c r="G33" s="7">
        <v>1</v>
      </c>
      <c r="H33" s="7">
        <v>81776</v>
      </c>
      <c r="I33" s="7" t="s">
        <v>72</v>
      </c>
      <c r="J33" s="7">
        <v>84074015</v>
      </c>
      <c r="K33" s="7" t="s">
        <v>247</v>
      </c>
      <c r="L33" s="19" t="s">
        <v>249</v>
      </c>
      <c r="M33" s="20">
        <v>159900</v>
      </c>
      <c r="N33" s="16">
        <v>0.9</v>
      </c>
      <c r="O33" s="20">
        <f t="shared" si="1"/>
        <v>15990</v>
      </c>
      <c r="P33" s="16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zoomScale="70" zoomScaleNormal="70" workbookViewId="0">
      <selection activeCell="C2" sqref="C2:C15"/>
    </sheetView>
  </sheetViews>
  <sheetFormatPr defaultColWidth="9" defaultRowHeight="14.5"/>
  <cols>
    <col min="1" max="1" width="32.1818181818182" customWidth="1"/>
    <col min="2" max="2" width="12.4545454545455" customWidth="1"/>
    <col min="3" max="3" width="11.9090909090909" customWidth="1"/>
    <col min="4" max="4" width="5.81818181818182" customWidth="1"/>
    <col min="5" max="5" width="8.27272727272727" customWidth="1"/>
    <col min="6" max="6" width="9.81818181818182" customWidth="1"/>
    <col min="7" max="7" width="6.54545454545455" customWidth="1"/>
    <col min="8" max="8" width="11.6363636363636" customWidth="1"/>
    <col min="9" max="9" width="12.2727272727273" customWidth="1"/>
    <col min="10" max="10" width="10.6363636363636" customWidth="1"/>
    <col min="11" max="11" width="11.6363636363636" customWidth="1"/>
    <col min="12" max="12" width="57.0181818181818" customWidth="1"/>
    <col min="13" max="13" width="17.2727272727273" customWidth="1"/>
    <col min="14" max="14" width="8.36363636363636" customWidth="1"/>
    <col min="15" max="15" width="16.1818181818182" customWidth="1"/>
    <col min="16" max="16" width="16.0909090909091" customWidth="1"/>
  </cols>
  <sheetData>
    <row r="1" spans="1:16">
      <c r="A1" s="35" t="s">
        <v>0</v>
      </c>
      <c r="B1" s="36" t="s">
        <v>1</v>
      </c>
      <c r="C1" s="36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40" t="s">
        <v>12</v>
      </c>
      <c r="N1" s="40" t="s">
        <v>13</v>
      </c>
      <c r="O1" s="40" t="s">
        <v>14</v>
      </c>
      <c r="P1" s="35" t="s">
        <v>15</v>
      </c>
    </row>
    <row r="2" spans="1:16">
      <c r="A2" s="37" t="s">
        <v>250</v>
      </c>
      <c r="B2" s="8">
        <v>46093</v>
      </c>
      <c r="C2" s="8">
        <v>46098</v>
      </c>
      <c r="D2" s="37">
        <v>3302</v>
      </c>
      <c r="E2" s="38">
        <v>340</v>
      </c>
      <c r="F2" s="39">
        <v>6</v>
      </c>
      <c r="G2" s="39">
        <v>3</v>
      </c>
      <c r="H2" s="39">
        <v>81816</v>
      </c>
      <c r="I2" s="37" t="s">
        <v>72</v>
      </c>
      <c r="J2" s="37">
        <v>17359709</v>
      </c>
      <c r="K2" s="37" t="s">
        <v>251</v>
      </c>
      <c r="L2" s="41" t="s">
        <v>252</v>
      </c>
      <c r="M2" s="42">
        <v>159900</v>
      </c>
      <c r="N2" s="43">
        <v>0.7</v>
      </c>
      <c r="O2" s="44">
        <f t="shared" ref="O2:O15" si="0">M2*(1-N2)</f>
        <v>47970</v>
      </c>
      <c r="P2" s="45" t="s">
        <v>20</v>
      </c>
    </row>
    <row r="3" spans="1:16">
      <c r="A3" s="37" t="s">
        <v>250</v>
      </c>
      <c r="B3" s="8">
        <v>46093</v>
      </c>
      <c r="C3" s="8">
        <v>46098</v>
      </c>
      <c r="D3" s="37">
        <v>3302</v>
      </c>
      <c r="E3" s="38">
        <v>340</v>
      </c>
      <c r="F3" s="39">
        <v>6</v>
      </c>
      <c r="G3" s="39">
        <v>3</v>
      </c>
      <c r="H3" s="39">
        <v>81816</v>
      </c>
      <c r="I3" s="37" t="s">
        <v>72</v>
      </c>
      <c r="J3" s="37">
        <v>17359718</v>
      </c>
      <c r="K3" s="37" t="s">
        <v>253</v>
      </c>
      <c r="L3" s="41" t="s">
        <v>254</v>
      </c>
      <c r="M3" s="42">
        <v>199900</v>
      </c>
      <c r="N3" s="43">
        <v>0.7</v>
      </c>
      <c r="O3" s="44">
        <f t="shared" si="0"/>
        <v>59970</v>
      </c>
      <c r="P3" s="45" t="s">
        <v>20</v>
      </c>
    </row>
    <row r="4" spans="1:16">
      <c r="A4" s="37" t="s">
        <v>250</v>
      </c>
      <c r="B4" s="8">
        <v>46093</v>
      </c>
      <c r="C4" s="8">
        <v>46098</v>
      </c>
      <c r="D4" s="37">
        <v>3302</v>
      </c>
      <c r="E4" s="38">
        <v>340</v>
      </c>
      <c r="F4" s="39">
        <v>6</v>
      </c>
      <c r="G4" s="39">
        <v>3</v>
      </c>
      <c r="H4" s="39">
        <v>81816</v>
      </c>
      <c r="I4" s="37" t="s">
        <v>72</v>
      </c>
      <c r="J4" s="37">
        <v>17359727</v>
      </c>
      <c r="K4" s="37" t="s">
        <v>255</v>
      </c>
      <c r="L4" s="41" t="s">
        <v>256</v>
      </c>
      <c r="M4" s="42">
        <v>419900</v>
      </c>
      <c r="N4" s="43">
        <v>0.7</v>
      </c>
      <c r="O4" s="44">
        <f t="shared" si="0"/>
        <v>125970</v>
      </c>
      <c r="P4" s="45" t="s">
        <v>20</v>
      </c>
    </row>
    <row r="5" spans="1:16">
      <c r="A5" s="37" t="s">
        <v>250</v>
      </c>
      <c r="B5" s="8">
        <v>46093</v>
      </c>
      <c r="C5" s="8">
        <v>46098</v>
      </c>
      <c r="D5" s="37">
        <v>3302</v>
      </c>
      <c r="E5" s="38">
        <v>340</v>
      </c>
      <c r="F5" s="39">
        <v>6</v>
      </c>
      <c r="G5" s="39">
        <v>3</v>
      </c>
      <c r="H5" s="39">
        <v>81816</v>
      </c>
      <c r="I5" s="37" t="s">
        <v>72</v>
      </c>
      <c r="J5" s="37">
        <v>17359736</v>
      </c>
      <c r="K5" s="37" t="s">
        <v>257</v>
      </c>
      <c r="L5" s="41" t="s">
        <v>258</v>
      </c>
      <c r="M5" s="42">
        <v>159900</v>
      </c>
      <c r="N5" s="43">
        <v>0.7</v>
      </c>
      <c r="O5" s="44">
        <f t="shared" si="0"/>
        <v>47970</v>
      </c>
      <c r="P5" s="45" t="s">
        <v>20</v>
      </c>
    </row>
    <row r="6" spans="1:16">
      <c r="A6" s="37" t="s">
        <v>250</v>
      </c>
      <c r="B6" s="8">
        <v>46093</v>
      </c>
      <c r="C6" s="8">
        <v>46098</v>
      </c>
      <c r="D6" s="37">
        <v>3302</v>
      </c>
      <c r="E6" s="38">
        <v>340</v>
      </c>
      <c r="F6" s="39">
        <v>6</v>
      </c>
      <c r="G6" s="39">
        <v>3</v>
      </c>
      <c r="H6" s="39">
        <v>81816</v>
      </c>
      <c r="I6" s="37" t="s">
        <v>72</v>
      </c>
      <c r="J6" s="37">
        <v>17359745</v>
      </c>
      <c r="K6" s="37" t="s">
        <v>259</v>
      </c>
      <c r="L6" s="41" t="s">
        <v>260</v>
      </c>
      <c r="M6" s="42">
        <v>199900</v>
      </c>
      <c r="N6" s="43">
        <v>0.7</v>
      </c>
      <c r="O6" s="44">
        <f t="shared" si="0"/>
        <v>59970</v>
      </c>
      <c r="P6" s="45" t="s">
        <v>20</v>
      </c>
    </row>
    <row r="7" spans="1:16">
      <c r="A7" s="37" t="s">
        <v>250</v>
      </c>
      <c r="B7" s="8">
        <v>46093</v>
      </c>
      <c r="C7" s="8">
        <v>46098</v>
      </c>
      <c r="D7" s="37">
        <v>3302</v>
      </c>
      <c r="E7" s="38">
        <v>340</v>
      </c>
      <c r="F7" s="39">
        <v>6</v>
      </c>
      <c r="G7" s="39">
        <v>3</v>
      </c>
      <c r="H7" s="39">
        <v>81816</v>
      </c>
      <c r="I7" s="37" t="s">
        <v>72</v>
      </c>
      <c r="J7" s="37">
        <v>17359763</v>
      </c>
      <c r="K7" s="37" t="s">
        <v>261</v>
      </c>
      <c r="L7" s="41" t="s">
        <v>262</v>
      </c>
      <c r="M7" s="42">
        <v>159900</v>
      </c>
      <c r="N7" s="43">
        <v>0.7</v>
      </c>
      <c r="O7" s="44">
        <f t="shared" si="0"/>
        <v>47970</v>
      </c>
      <c r="P7" s="45" t="s">
        <v>20</v>
      </c>
    </row>
    <row r="8" spans="1:16">
      <c r="A8" s="37" t="s">
        <v>250</v>
      </c>
      <c r="B8" s="8">
        <v>46093</v>
      </c>
      <c r="C8" s="8">
        <v>46098</v>
      </c>
      <c r="D8" s="37">
        <v>3302</v>
      </c>
      <c r="E8" s="38">
        <v>340</v>
      </c>
      <c r="F8" s="39">
        <v>6</v>
      </c>
      <c r="G8" s="39">
        <v>3</v>
      </c>
      <c r="H8" s="39">
        <v>81816</v>
      </c>
      <c r="I8" s="37" t="s">
        <v>72</v>
      </c>
      <c r="J8" s="37">
        <v>17359772</v>
      </c>
      <c r="K8" s="37" t="s">
        <v>263</v>
      </c>
      <c r="L8" s="41" t="s">
        <v>264</v>
      </c>
      <c r="M8" s="42">
        <v>199900</v>
      </c>
      <c r="N8" s="43">
        <v>0.7</v>
      </c>
      <c r="O8" s="44">
        <f t="shared" si="0"/>
        <v>59970</v>
      </c>
      <c r="P8" s="45" t="s">
        <v>20</v>
      </c>
    </row>
    <row r="9" spans="1:16">
      <c r="A9" s="37" t="s">
        <v>250</v>
      </c>
      <c r="B9" s="8">
        <v>46093</v>
      </c>
      <c r="C9" s="8">
        <v>46098</v>
      </c>
      <c r="D9" s="37">
        <v>3302</v>
      </c>
      <c r="E9" s="38">
        <v>340</v>
      </c>
      <c r="F9" s="39">
        <v>6</v>
      </c>
      <c r="G9" s="39">
        <v>3</v>
      </c>
      <c r="H9" s="39">
        <v>81816</v>
      </c>
      <c r="I9" s="37" t="s">
        <v>72</v>
      </c>
      <c r="J9" s="37">
        <v>17359781</v>
      </c>
      <c r="K9" s="37" t="s">
        <v>265</v>
      </c>
      <c r="L9" s="41" t="s">
        <v>266</v>
      </c>
      <c r="M9" s="42">
        <v>419900</v>
      </c>
      <c r="N9" s="43">
        <v>0.7</v>
      </c>
      <c r="O9" s="44">
        <f t="shared" si="0"/>
        <v>125970</v>
      </c>
      <c r="P9" s="45" t="s">
        <v>20</v>
      </c>
    </row>
    <row r="10" spans="1:16">
      <c r="A10" s="37" t="s">
        <v>250</v>
      </c>
      <c r="B10" s="8">
        <v>46093</v>
      </c>
      <c r="C10" s="8">
        <v>46098</v>
      </c>
      <c r="D10" s="37">
        <v>3302</v>
      </c>
      <c r="E10" s="38">
        <v>340</v>
      </c>
      <c r="F10" s="39">
        <v>6</v>
      </c>
      <c r="G10" s="39">
        <v>3</v>
      </c>
      <c r="H10" s="39">
        <v>81816</v>
      </c>
      <c r="I10" s="37" t="s">
        <v>72</v>
      </c>
      <c r="J10" s="37">
        <v>17359790</v>
      </c>
      <c r="K10" s="37" t="s">
        <v>267</v>
      </c>
      <c r="L10" s="41" t="s">
        <v>268</v>
      </c>
      <c r="M10" s="42">
        <v>159900</v>
      </c>
      <c r="N10" s="43">
        <v>0.7</v>
      </c>
      <c r="O10" s="44">
        <f t="shared" si="0"/>
        <v>47970</v>
      </c>
      <c r="P10" s="45" t="s">
        <v>20</v>
      </c>
    </row>
    <row r="11" spans="1:16">
      <c r="A11" s="37" t="s">
        <v>250</v>
      </c>
      <c r="B11" s="8">
        <v>46093</v>
      </c>
      <c r="C11" s="8">
        <v>46098</v>
      </c>
      <c r="D11" s="37">
        <v>3302</v>
      </c>
      <c r="E11" s="38">
        <v>340</v>
      </c>
      <c r="F11" s="39">
        <v>6</v>
      </c>
      <c r="G11" s="39">
        <v>3</v>
      </c>
      <c r="H11" s="39">
        <v>81816</v>
      </c>
      <c r="I11" s="37" t="s">
        <v>72</v>
      </c>
      <c r="J11" s="37">
        <v>17359807</v>
      </c>
      <c r="K11" s="37" t="s">
        <v>269</v>
      </c>
      <c r="L11" s="41" t="s">
        <v>270</v>
      </c>
      <c r="M11" s="42">
        <v>199900</v>
      </c>
      <c r="N11" s="43">
        <v>0.7</v>
      </c>
      <c r="O11" s="44">
        <f t="shared" si="0"/>
        <v>59970</v>
      </c>
      <c r="P11" s="45" t="s">
        <v>20</v>
      </c>
    </row>
    <row r="12" spans="1:16">
      <c r="A12" s="37" t="s">
        <v>250</v>
      </c>
      <c r="B12" s="8">
        <v>46093</v>
      </c>
      <c r="C12" s="8">
        <v>46098</v>
      </c>
      <c r="D12" s="37">
        <v>3302</v>
      </c>
      <c r="E12" s="38">
        <v>340</v>
      </c>
      <c r="F12" s="39">
        <v>6</v>
      </c>
      <c r="G12" s="39">
        <v>3</v>
      </c>
      <c r="H12" s="39">
        <v>81816</v>
      </c>
      <c r="I12" s="37" t="s">
        <v>72</v>
      </c>
      <c r="J12" s="37">
        <v>17359816</v>
      </c>
      <c r="K12" s="37" t="s">
        <v>271</v>
      </c>
      <c r="L12" s="41" t="s">
        <v>272</v>
      </c>
      <c r="M12" s="42">
        <v>419900</v>
      </c>
      <c r="N12" s="43">
        <v>0.7</v>
      </c>
      <c r="O12" s="44">
        <f t="shared" si="0"/>
        <v>125970</v>
      </c>
      <c r="P12" s="45" t="s">
        <v>20</v>
      </c>
    </row>
    <row r="13" spans="1:16">
      <c r="A13" s="37" t="s">
        <v>250</v>
      </c>
      <c r="B13" s="8">
        <v>46093</v>
      </c>
      <c r="C13" s="8">
        <v>46098</v>
      </c>
      <c r="D13" s="37">
        <v>3302</v>
      </c>
      <c r="E13" s="38">
        <v>340</v>
      </c>
      <c r="F13" s="39">
        <v>6</v>
      </c>
      <c r="G13" s="39">
        <v>3</v>
      </c>
      <c r="H13" s="39">
        <v>81816</v>
      </c>
      <c r="I13" s="37" t="s">
        <v>72</v>
      </c>
      <c r="J13" s="37">
        <v>17359825</v>
      </c>
      <c r="K13" s="37" t="s">
        <v>273</v>
      </c>
      <c r="L13" s="41" t="s">
        <v>274</v>
      </c>
      <c r="M13" s="42">
        <v>159900</v>
      </c>
      <c r="N13" s="43">
        <v>0.7</v>
      </c>
      <c r="O13" s="44">
        <f t="shared" si="0"/>
        <v>47970</v>
      </c>
      <c r="P13" s="45" t="s">
        <v>20</v>
      </c>
    </row>
    <row r="14" spans="1:16">
      <c r="A14" s="37" t="s">
        <v>250</v>
      </c>
      <c r="B14" s="8">
        <v>46093</v>
      </c>
      <c r="C14" s="8">
        <v>46098</v>
      </c>
      <c r="D14" s="37">
        <v>3302</v>
      </c>
      <c r="E14" s="38">
        <v>340</v>
      </c>
      <c r="F14" s="39">
        <v>6</v>
      </c>
      <c r="G14" s="39">
        <v>3</v>
      </c>
      <c r="H14" s="39">
        <v>81816</v>
      </c>
      <c r="I14" s="37" t="s">
        <v>72</v>
      </c>
      <c r="J14" s="37">
        <v>17359834</v>
      </c>
      <c r="K14" s="37" t="s">
        <v>275</v>
      </c>
      <c r="L14" s="41" t="s">
        <v>276</v>
      </c>
      <c r="M14" s="42">
        <v>199900</v>
      </c>
      <c r="N14" s="43">
        <v>0.7</v>
      </c>
      <c r="O14" s="44">
        <f t="shared" si="0"/>
        <v>59970</v>
      </c>
      <c r="P14" s="45" t="s">
        <v>20</v>
      </c>
    </row>
    <row r="15" spans="1:16">
      <c r="A15" s="37" t="s">
        <v>250</v>
      </c>
      <c r="B15" s="8">
        <v>46093</v>
      </c>
      <c r="C15" s="8">
        <v>46098</v>
      </c>
      <c r="D15" s="37">
        <v>3302</v>
      </c>
      <c r="E15" s="38">
        <v>340</v>
      </c>
      <c r="F15" s="39">
        <v>6</v>
      </c>
      <c r="G15" s="39">
        <v>3</v>
      </c>
      <c r="H15" s="39">
        <v>81816</v>
      </c>
      <c r="I15" s="37" t="s">
        <v>72</v>
      </c>
      <c r="J15" s="37">
        <v>17359843</v>
      </c>
      <c r="K15" s="37" t="s">
        <v>277</v>
      </c>
      <c r="L15" s="41" t="s">
        <v>278</v>
      </c>
      <c r="M15" s="42">
        <v>419900</v>
      </c>
      <c r="N15" s="43">
        <v>0.7</v>
      </c>
      <c r="O15" s="44">
        <f t="shared" si="0"/>
        <v>125970</v>
      </c>
      <c r="P15" s="45" t="s">
        <v>20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zoomScale="55" zoomScaleNormal="55" workbookViewId="0">
      <selection activeCell="C2" sqref="C2:C7"/>
    </sheetView>
  </sheetViews>
  <sheetFormatPr defaultColWidth="8.72727272727273" defaultRowHeight="14.5" outlineLevelRow="6"/>
  <cols>
    <col min="1" max="1" width="23.5454545454545" style="1" customWidth="1"/>
    <col min="2" max="2" width="11.4545454545455" style="2" customWidth="1"/>
    <col min="3" max="3" width="10.4545454545455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2" style="1" customWidth="1"/>
    <col min="10" max="10" width="9.18181818181818" style="1" customWidth="1"/>
    <col min="11" max="11" width="12.5454545454545" style="1" customWidth="1"/>
    <col min="12" max="12" width="82.1818181818182" style="1" customWidth="1"/>
    <col min="13" max="13" width="20.5454545454545" style="3" customWidth="1"/>
    <col min="14" max="14" width="12.4545454545455" style="4" customWidth="1"/>
    <col min="15" max="15" width="19.5454545454545" style="3" customWidth="1"/>
    <col min="16" max="16" width="19.7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9" t="s">
        <v>12</v>
      </c>
      <c r="N1" s="10" t="s">
        <v>13</v>
      </c>
      <c r="O1" s="9" t="s">
        <v>14</v>
      </c>
      <c r="P1" s="5" t="s">
        <v>15</v>
      </c>
    </row>
    <row r="2" spans="1:16">
      <c r="A2" s="7" t="s">
        <v>279</v>
      </c>
      <c r="B2" s="8">
        <v>46093</v>
      </c>
      <c r="C2" s="8">
        <v>46098</v>
      </c>
      <c r="D2" s="7">
        <v>3302</v>
      </c>
      <c r="E2" s="7">
        <v>340</v>
      </c>
      <c r="F2" s="7">
        <v>6</v>
      </c>
      <c r="G2" s="7">
        <v>1</v>
      </c>
      <c r="H2" s="7">
        <v>721</v>
      </c>
      <c r="I2" s="7" t="s">
        <v>72</v>
      </c>
      <c r="J2" s="7">
        <v>15616792</v>
      </c>
      <c r="K2" s="7" t="s">
        <v>280</v>
      </c>
      <c r="L2" s="19" t="s">
        <v>281</v>
      </c>
      <c r="M2" s="20">
        <v>179900</v>
      </c>
      <c r="N2" s="14">
        <v>0.7</v>
      </c>
      <c r="O2" s="20">
        <f t="shared" ref="O2:O7" si="0">M2*(1-N2)</f>
        <v>53970</v>
      </c>
      <c r="P2" s="16" t="s">
        <v>20</v>
      </c>
    </row>
    <row r="3" spans="1:16">
      <c r="A3" s="7" t="s">
        <v>279</v>
      </c>
      <c r="B3" s="8">
        <v>46093</v>
      </c>
      <c r="C3" s="8">
        <v>46098</v>
      </c>
      <c r="D3" s="7">
        <v>3302</v>
      </c>
      <c r="E3" s="7">
        <v>340</v>
      </c>
      <c r="F3" s="7">
        <v>6</v>
      </c>
      <c r="G3" s="7">
        <v>1</v>
      </c>
      <c r="H3" s="7">
        <v>721</v>
      </c>
      <c r="I3" s="7" t="s">
        <v>72</v>
      </c>
      <c r="J3" s="7">
        <v>15616809</v>
      </c>
      <c r="K3" s="7" t="s">
        <v>282</v>
      </c>
      <c r="L3" s="19" t="s">
        <v>283</v>
      </c>
      <c r="M3" s="20">
        <v>179900</v>
      </c>
      <c r="N3" s="14">
        <v>0.7</v>
      </c>
      <c r="O3" s="20">
        <f t="shared" si="0"/>
        <v>53970</v>
      </c>
      <c r="P3" s="16" t="s">
        <v>20</v>
      </c>
    </row>
    <row r="4" spans="1:16">
      <c r="A4" s="7" t="s">
        <v>279</v>
      </c>
      <c r="B4" s="8">
        <v>46093</v>
      </c>
      <c r="C4" s="8">
        <v>46098</v>
      </c>
      <c r="D4" s="7">
        <v>3302</v>
      </c>
      <c r="E4" s="7">
        <v>340</v>
      </c>
      <c r="F4" s="7">
        <v>6</v>
      </c>
      <c r="G4" s="7">
        <v>1</v>
      </c>
      <c r="H4" s="7">
        <v>721</v>
      </c>
      <c r="I4" s="7" t="s">
        <v>72</v>
      </c>
      <c r="J4" s="7">
        <v>17466361</v>
      </c>
      <c r="K4" s="7" t="s">
        <v>284</v>
      </c>
      <c r="L4" s="19" t="s">
        <v>285</v>
      </c>
      <c r="M4" s="20">
        <v>179900</v>
      </c>
      <c r="N4" s="14">
        <v>0.7</v>
      </c>
      <c r="O4" s="20">
        <f t="shared" si="0"/>
        <v>53970</v>
      </c>
      <c r="P4" s="16" t="s">
        <v>20</v>
      </c>
    </row>
    <row r="5" spans="1:16">
      <c r="A5" s="7" t="s">
        <v>279</v>
      </c>
      <c r="B5" s="8">
        <v>46093</v>
      </c>
      <c r="C5" s="8">
        <v>46098</v>
      </c>
      <c r="D5" s="7">
        <v>3302</v>
      </c>
      <c r="E5" s="7">
        <v>340</v>
      </c>
      <c r="F5" s="7">
        <v>6</v>
      </c>
      <c r="G5" s="7">
        <v>1</v>
      </c>
      <c r="H5" s="7">
        <v>721</v>
      </c>
      <c r="I5" s="7" t="s">
        <v>72</v>
      </c>
      <c r="J5" s="7">
        <v>17466370</v>
      </c>
      <c r="K5" s="7" t="s">
        <v>286</v>
      </c>
      <c r="L5" s="19" t="s">
        <v>287</v>
      </c>
      <c r="M5" s="20">
        <v>179900</v>
      </c>
      <c r="N5" s="14">
        <v>0.7</v>
      </c>
      <c r="O5" s="20">
        <f t="shared" si="0"/>
        <v>53970</v>
      </c>
      <c r="P5" s="16" t="s">
        <v>20</v>
      </c>
    </row>
    <row r="6" spans="1:16">
      <c r="A6" s="7" t="s">
        <v>279</v>
      </c>
      <c r="B6" s="8">
        <v>46093</v>
      </c>
      <c r="C6" s="8">
        <v>46098</v>
      </c>
      <c r="D6" s="7">
        <v>3302</v>
      </c>
      <c r="E6" s="7">
        <v>340</v>
      </c>
      <c r="F6" s="7">
        <v>6</v>
      </c>
      <c r="G6" s="7">
        <v>1</v>
      </c>
      <c r="H6" s="7">
        <v>721</v>
      </c>
      <c r="I6" s="7" t="s">
        <v>72</v>
      </c>
      <c r="J6" s="7">
        <v>17909614</v>
      </c>
      <c r="K6" s="7" t="s">
        <v>288</v>
      </c>
      <c r="L6" s="19" t="s">
        <v>289</v>
      </c>
      <c r="M6" s="20">
        <v>179900</v>
      </c>
      <c r="N6" s="14">
        <v>0.7</v>
      </c>
      <c r="O6" s="20">
        <f t="shared" si="0"/>
        <v>53970</v>
      </c>
      <c r="P6" s="16" t="s">
        <v>20</v>
      </c>
    </row>
    <row r="7" spans="1:16">
      <c r="A7" s="7" t="s">
        <v>279</v>
      </c>
      <c r="B7" s="8">
        <v>46093</v>
      </c>
      <c r="C7" s="8">
        <v>46098</v>
      </c>
      <c r="D7" s="7">
        <v>3302</v>
      </c>
      <c r="E7" s="7">
        <v>340</v>
      </c>
      <c r="F7" s="7">
        <v>6</v>
      </c>
      <c r="G7" s="7">
        <v>1</v>
      </c>
      <c r="H7" s="7">
        <v>721</v>
      </c>
      <c r="I7" s="7" t="s">
        <v>72</v>
      </c>
      <c r="J7" s="7">
        <v>17909623</v>
      </c>
      <c r="K7" s="7" t="s">
        <v>290</v>
      </c>
      <c r="L7" s="19" t="s">
        <v>291</v>
      </c>
      <c r="M7" s="20">
        <v>179900</v>
      </c>
      <c r="N7" s="14">
        <v>0.7</v>
      </c>
      <c r="O7" s="20">
        <f t="shared" si="0"/>
        <v>53970</v>
      </c>
      <c r="P7" s="16" t="s">
        <v>20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zoomScale="55" zoomScaleNormal="55" workbookViewId="0">
      <selection activeCell="C2" sqref="C2:C16"/>
    </sheetView>
  </sheetViews>
  <sheetFormatPr defaultColWidth="8.72727272727273" defaultRowHeight="14.5"/>
  <cols>
    <col min="1" max="1" width="28.1818181818182" style="1" customWidth="1"/>
    <col min="2" max="2" width="11.4545454545455" style="2" customWidth="1"/>
    <col min="3" max="3" width="10.4545454545455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2" style="1" customWidth="1"/>
    <col min="10" max="10" width="9.18181818181818" style="1" customWidth="1"/>
    <col min="11" max="11" width="12.5454545454545" style="1" customWidth="1"/>
    <col min="12" max="12" width="56.7454545454545" style="1" customWidth="1"/>
    <col min="13" max="13" width="15.4545454545455" style="3" customWidth="1"/>
    <col min="14" max="14" width="12.4545454545455" style="4" customWidth="1"/>
    <col min="15" max="15" width="12.4636363636364" style="3" customWidth="1"/>
    <col min="16" max="16" width="19.7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9" t="s">
        <v>12</v>
      </c>
      <c r="N1" s="10" t="s">
        <v>13</v>
      </c>
      <c r="O1" s="9" t="s">
        <v>14</v>
      </c>
      <c r="P1" s="5" t="s">
        <v>15</v>
      </c>
    </row>
    <row r="2" spans="1:16">
      <c r="A2" s="7" t="s">
        <v>292</v>
      </c>
      <c r="B2" s="8">
        <v>46093</v>
      </c>
      <c r="C2" s="8">
        <v>46098</v>
      </c>
      <c r="D2" s="7">
        <v>3302</v>
      </c>
      <c r="E2" s="7">
        <v>340</v>
      </c>
      <c r="F2" s="7">
        <v>6</v>
      </c>
      <c r="G2" s="7">
        <v>1</v>
      </c>
      <c r="H2" s="1">
        <v>81825</v>
      </c>
      <c r="I2" s="11" t="s">
        <v>293</v>
      </c>
      <c r="J2" s="26">
        <v>51535052</v>
      </c>
      <c r="K2" s="26" t="s">
        <v>294</v>
      </c>
      <c r="L2" s="27" t="s">
        <v>295</v>
      </c>
      <c r="M2" s="28">
        <v>59900</v>
      </c>
      <c r="N2" s="14">
        <v>0.7</v>
      </c>
      <c r="O2" s="15">
        <f>M2*(1-N2)</f>
        <v>17970</v>
      </c>
      <c r="P2" s="16" t="s">
        <v>20</v>
      </c>
    </row>
    <row r="3" spans="1:16">
      <c r="A3" s="7" t="s">
        <v>292</v>
      </c>
      <c r="B3" s="8">
        <v>46093</v>
      </c>
      <c r="C3" s="8">
        <v>46098</v>
      </c>
      <c r="D3" s="7">
        <v>3302</v>
      </c>
      <c r="E3" s="7">
        <v>340</v>
      </c>
      <c r="F3" s="7">
        <v>6</v>
      </c>
      <c r="G3" s="7">
        <v>1</v>
      </c>
      <c r="H3" s="7">
        <v>81825</v>
      </c>
      <c r="I3" s="29" t="s">
        <v>293</v>
      </c>
      <c r="J3" s="30">
        <v>51535061</v>
      </c>
      <c r="K3" s="30" t="s">
        <v>296</v>
      </c>
      <c r="L3" s="31" t="s">
        <v>297</v>
      </c>
      <c r="M3" s="32">
        <v>59900</v>
      </c>
      <c r="N3" s="14">
        <v>0.7</v>
      </c>
      <c r="O3" s="15">
        <f t="shared" ref="O3:O27" si="0">M3*(1-N3)</f>
        <v>17970</v>
      </c>
      <c r="P3" s="16" t="s">
        <v>20</v>
      </c>
    </row>
    <row r="4" spans="1:16">
      <c r="A4" s="7" t="s">
        <v>292</v>
      </c>
      <c r="B4" s="8">
        <v>46093</v>
      </c>
      <c r="C4" s="8">
        <v>46098</v>
      </c>
      <c r="D4" s="7">
        <v>3302</v>
      </c>
      <c r="E4" s="7">
        <v>340</v>
      </c>
      <c r="F4" s="7">
        <v>6</v>
      </c>
      <c r="G4" s="7">
        <v>1</v>
      </c>
      <c r="H4" s="7">
        <v>81825</v>
      </c>
      <c r="I4" s="29" t="s">
        <v>293</v>
      </c>
      <c r="J4" s="30">
        <v>51535070</v>
      </c>
      <c r="K4" s="30" t="s">
        <v>298</v>
      </c>
      <c r="L4" s="31" t="s">
        <v>299</v>
      </c>
      <c r="M4" s="32">
        <v>59900</v>
      </c>
      <c r="N4" s="14">
        <v>0.7</v>
      </c>
      <c r="O4" s="15">
        <f t="shared" si="0"/>
        <v>17970</v>
      </c>
      <c r="P4" s="16" t="s">
        <v>20</v>
      </c>
    </row>
    <row r="5" spans="1:16">
      <c r="A5" s="7" t="s">
        <v>292</v>
      </c>
      <c r="B5" s="8">
        <v>46093</v>
      </c>
      <c r="C5" s="8">
        <v>46098</v>
      </c>
      <c r="D5" s="7">
        <v>3302</v>
      </c>
      <c r="E5" s="7">
        <v>340</v>
      </c>
      <c r="F5" s="7">
        <v>6</v>
      </c>
      <c r="G5" s="7">
        <v>1</v>
      </c>
      <c r="H5" s="7">
        <v>81825</v>
      </c>
      <c r="I5" s="29" t="s">
        <v>293</v>
      </c>
      <c r="J5" s="30">
        <v>51535089</v>
      </c>
      <c r="K5" s="30" t="s">
        <v>300</v>
      </c>
      <c r="L5" s="31" t="s">
        <v>301</v>
      </c>
      <c r="M5" s="32">
        <v>59900</v>
      </c>
      <c r="N5" s="14">
        <v>0.7</v>
      </c>
      <c r="O5" s="15">
        <f t="shared" si="0"/>
        <v>17970</v>
      </c>
      <c r="P5" s="16" t="s">
        <v>20</v>
      </c>
    </row>
    <row r="6" spans="1:16">
      <c r="A6" s="7" t="s">
        <v>292</v>
      </c>
      <c r="B6" s="8">
        <v>46093</v>
      </c>
      <c r="C6" s="8">
        <v>46098</v>
      </c>
      <c r="D6" s="7">
        <v>3302</v>
      </c>
      <c r="E6" s="7">
        <v>340</v>
      </c>
      <c r="F6" s="7">
        <v>6</v>
      </c>
      <c r="G6" s="7">
        <v>1</v>
      </c>
      <c r="H6" s="7">
        <v>81825</v>
      </c>
      <c r="I6" s="29" t="s">
        <v>293</v>
      </c>
      <c r="J6" s="30">
        <v>51535098</v>
      </c>
      <c r="K6" s="30" t="s">
        <v>302</v>
      </c>
      <c r="L6" s="31" t="s">
        <v>303</v>
      </c>
      <c r="M6" s="32">
        <v>49900</v>
      </c>
      <c r="N6" s="14">
        <v>0.7</v>
      </c>
      <c r="O6" s="15">
        <f t="shared" si="0"/>
        <v>14970</v>
      </c>
      <c r="P6" s="16" t="s">
        <v>20</v>
      </c>
    </row>
    <row r="7" spans="1:16">
      <c r="A7" s="7" t="s">
        <v>292</v>
      </c>
      <c r="B7" s="8">
        <v>46093</v>
      </c>
      <c r="C7" s="8">
        <v>46098</v>
      </c>
      <c r="D7" s="7">
        <v>3302</v>
      </c>
      <c r="E7" s="7">
        <v>340</v>
      </c>
      <c r="F7" s="7">
        <v>6</v>
      </c>
      <c r="G7" s="7">
        <v>1</v>
      </c>
      <c r="H7" s="7">
        <v>81825</v>
      </c>
      <c r="I7" s="29" t="s">
        <v>293</v>
      </c>
      <c r="J7" s="30">
        <v>51535105</v>
      </c>
      <c r="K7" s="30" t="s">
        <v>302</v>
      </c>
      <c r="L7" s="31" t="s">
        <v>304</v>
      </c>
      <c r="M7" s="32">
        <v>49900</v>
      </c>
      <c r="N7" s="14">
        <v>0.7</v>
      </c>
      <c r="O7" s="15">
        <f t="shared" si="0"/>
        <v>14970</v>
      </c>
      <c r="P7" s="16" t="s">
        <v>20</v>
      </c>
    </row>
    <row r="8" spans="1:16">
      <c r="A8" s="7" t="s">
        <v>292</v>
      </c>
      <c r="B8" s="8">
        <v>46093</v>
      </c>
      <c r="C8" s="8">
        <v>46098</v>
      </c>
      <c r="D8" s="7">
        <v>3302</v>
      </c>
      <c r="E8" s="7">
        <v>340</v>
      </c>
      <c r="F8" s="7">
        <v>6</v>
      </c>
      <c r="G8" s="7">
        <v>1</v>
      </c>
      <c r="H8" s="7">
        <v>81825</v>
      </c>
      <c r="I8" s="29" t="s">
        <v>293</v>
      </c>
      <c r="J8" s="30">
        <v>51535114</v>
      </c>
      <c r="K8" s="30" t="s">
        <v>302</v>
      </c>
      <c r="L8" s="31" t="s">
        <v>305</v>
      </c>
      <c r="M8" s="32">
        <v>49900</v>
      </c>
      <c r="N8" s="14">
        <v>0.7</v>
      </c>
      <c r="O8" s="15">
        <f t="shared" si="0"/>
        <v>14970</v>
      </c>
      <c r="P8" s="16" t="s">
        <v>20</v>
      </c>
    </row>
    <row r="9" spans="1:16">
      <c r="A9" s="7" t="s">
        <v>292</v>
      </c>
      <c r="B9" s="8">
        <v>46093</v>
      </c>
      <c r="C9" s="8">
        <v>46098</v>
      </c>
      <c r="D9" s="7">
        <v>3302</v>
      </c>
      <c r="E9" s="7">
        <v>340</v>
      </c>
      <c r="F9" s="7">
        <v>6</v>
      </c>
      <c r="G9" s="7">
        <v>1</v>
      </c>
      <c r="H9" s="7">
        <v>81825</v>
      </c>
      <c r="I9" s="29" t="s">
        <v>293</v>
      </c>
      <c r="J9" s="30">
        <v>51535123</v>
      </c>
      <c r="K9" s="30" t="s">
        <v>306</v>
      </c>
      <c r="L9" s="31" t="s">
        <v>307</v>
      </c>
      <c r="M9" s="32">
        <v>69900</v>
      </c>
      <c r="N9" s="14">
        <v>0.7</v>
      </c>
      <c r="O9" s="15">
        <f t="shared" si="0"/>
        <v>20970</v>
      </c>
      <c r="P9" s="16" t="s">
        <v>20</v>
      </c>
    </row>
    <row r="10" spans="1:16">
      <c r="A10" s="7" t="s">
        <v>292</v>
      </c>
      <c r="B10" s="8">
        <v>46093</v>
      </c>
      <c r="C10" s="8">
        <v>46098</v>
      </c>
      <c r="D10" s="7">
        <v>3302</v>
      </c>
      <c r="E10" s="7">
        <v>340</v>
      </c>
      <c r="F10" s="7">
        <v>6</v>
      </c>
      <c r="G10" s="7">
        <v>1</v>
      </c>
      <c r="H10" s="7">
        <v>81825</v>
      </c>
      <c r="I10" s="29" t="s">
        <v>293</v>
      </c>
      <c r="J10" s="30">
        <v>51535132</v>
      </c>
      <c r="K10" s="30" t="s">
        <v>306</v>
      </c>
      <c r="L10" s="31" t="s">
        <v>308</v>
      </c>
      <c r="M10" s="32">
        <v>69900</v>
      </c>
      <c r="N10" s="14">
        <v>0.7</v>
      </c>
      <c r="O10" s="15">
        <f t="shared" si="0"/>
        <v>20970</v>
      </c>
      <c r="P10" s="16" t="s">
        <v>20</v>
      </c>
    </row>
    <row r="11" spans="1:16">
      <c r="A11" s="7" t="s">
        <v>292</v>
      </c>
      <c r="B11" s="8">
        <v>46093</v>
      </c>
      <c r="C11" s="8">
        <v>46098</v>
      </c>
      <c r="D11" s="7">
        <v>3302</v>
      </c>
      <c r="E11" s="7">
        <v>340</v>
      </c>
      <c r="F11" s="7">
        <v>6</v>
      </c>
      <c r="G11" s="7">
        <v>1</v>
      </c>
      <c r="H11" s="7">
        <v>81825</v>
      </c>
      <c r="I11" s="29" t="s">
        <v>293</v>
      </c>
      <c r="J11" s="30">
        <v>51535141</v>
      </c>
      <c r="K11" s="30" t="s">
        <v>306</v>
      </c>
      <c r="L11" s="31" t="s">
        <v>309</v>
      </c>
      <c r="M11" s="32">
        <v>69900</v>
      </c>
      <c r="N11" s="14">
        <v>0.7</v>
      </c>
      <c r="O11" s="15">
        <f t="shared" si="0"/>
        <v>20970</v>
      </c>
      <c r="P11" s="16" t="s">
        <v>20</v>
      </c>
    </row>
    <row r="12" spans="1:16">
      <c r="A12" s="7" t="s">
        <v>292</v>
      </c>
      <c r="B12" s="8">
        <v>46093</v>
      </c>
      <c r="C12" s="8">
        <v>46098</v>
      </c>
      <c r="D12" s="7">
        <v>3302</v>
      </c>
      <c r="E12" s="7">
        <v>340</v>
      </c>
      <c r="F12" s="7">
        <v>6</v>
      </c>
      <c r="G12" s="7">
        <v>1</v>
      </c>
      <c r="H12" s="7">
        <v>81825</v>
      </c>
      <c r="I12" s="29" t="s">
        <v>293</v>
      </c>
      <c r="J12" s="33">
        <v>51535150</v>
      </c>
      <c r="K12" s="33" t="s">
        <v>306</v>
      </c>
      <c r="L12" s="34" t="s">
        <v>310</v>
      </c>
      <c r="M12" s="17">
        <v>69900</v>
      </c>
      <c r="N12" s="14">
        <v>0.7</v>
      </c>
      <c r="O12" s="15">
        <f t="shared" si="0"/>
        <v>20970</v>
      </c>
      <c r="P12" s="16" t="s">
        <v>20</v>
      </c>
    </row>
    <row r="13" spans="1:16">
      <c r="A13" s="7" t="s">
        <v>292</v>
      </c>
      <c r="B13" s="8">
        <v>46093</v>
      </c>
      <c r="C13" s="8">
        <v>46098</v>
      </c>
      <c r="D13" s="7">
        <v>3302</v>
      </c>
      <c r="E13" s="7">
        <v>340</v>
      </c>
      <c r="F13" s="7">
        <v>6</v>
      </c>
      <c r="G13" s="7">
        <v>1</v>
      </c>
      <c r="H13" s="7">
        <v>81825</v>
      </c>
      <c r="I13" s="29" t="s">
        <v>293</v>
      </c>
      <c r="J13" s="7">
        <v>54508700</v>
      </c>
      <c r="K13" s="7" t="s">
        <v>311</v>
      </c>
      <c r="L13" s="12" t="s">
        <v>312</v>
      </c>
      <c r="M13" s="17">
        <v>59900</v>
      </c>
      <c r="N13" s="14">
        <v>0.7</v>
      </c>
      <c r="O13" s="15">
        <f t="shared" si="0"/>
        <v>17970</v>
      </c>
      <c r="P13" s="16" t="s">
        <v>20</v>
      </c>
    </row>
    <row r="14" spans="1:16">
      <c r="A14" s="7" t="s">
        <v>292</v>
      </c>
      <c r="B14" s="8">
        <v>46093</v>
      </c>
      <c r="C14" s="8">
        <v>46098</v>
      </c>
      <c r="D14" s="7">
        <v>3302</v>
      </c>
      <c r="E14" s="7">
        <v>340</v>
      </c>
      <c r="F14" s="7">
        <v>6</v>
      </c>
      <c r="G14" s="7">
        <v>1</v>
      </c>
      <c r="H14" s="7">
        <v>81825</v>
      </c>
      <c r="I14" s="29" t="s">
        <v>293</v>
      </c>
      <c r="J14" s="7">
        <v>54508719</v>
      </c>
      <c r="K14" s="7" t="s">
        <v>311</v>
      </c>
      <c r="L14" s="12" t="s">
        <v>313</v>
      </c>
      <c r="M14" s="17">
        <v>59900</v>
      </c>
      <c r="N14" s="14">
        <v>0.7</v>
      </c>
      <c r="O14" s="15">
        <f t="shared" si="0"/>
        <v>17970</v>
      </c>
      <c r="P14" s="16" t="s">
        <v>20</v>
      </c>
    </row>
    <row r="15" spans="1:16">
      <c r="A15" s="7" t="s">
        <v>292</v>
      </c>
      <c r="B15" s="8">
        <v>46093</v>
      </c>
      <c r="C15" s="8">
        <v>46098</v>
      </c>
      <c r="D15" s="7">
        <v>3302</v>
      </c>
      <c r="E15" s="7">
        <v>340</v>
      </c>
      <c r="F15" s="7">
        <v>6</v>
      </c>
      <c r="G15" s="7">
        <v>1</v>
      </c>
      <c r="H15" s="7">
        <v>81825</v>
      </c>
      <c r="I15" s="29" t="s">
        <v>293</v>
      </c>
      <c r="J15" s="7">
        <v>54508853</v>
      </c>
      <c r="K15" s="7" t="s">
        <v>314</v>
      </c>
      <c r="L15" s="12" t="s">
        <v>315</v>
      </c>
      <c r="M15" s="17">
        <v>59900</v>
      </c>
      <c r="N15" s="14">
        <v>0.7</v>
      </c>
      <c r="O15" s="15">
        <f t="shared" si="0"/>
        <v>17970</v>
      </c>
      <c r="P15" s="16" t="s">
        <v>20</v>
      </c>
    </row>
    <row r="16" spans="1:16">
      <c r="A16" s="7" t="s">
        <v>292</v>
      </c>
      <c r="B16" s="8">
        <v>46093</v>
      </c>
      <c r="C16" s="8">
        <v>46098</v>
      </c>
      <c r="D16" s="7">
        <v>3302</v>
      </c>
      <c r="E16" s="7">
        <v>340</v>
      </c>
      <c r="F16" s="7">
        <v>6</v>
      </c>
      <c r="G16" s="7">
        <v>1</v>
      </c>
      <c r="H16" s="7">
        <v>81825</v>
      </c>
      <c r="I16" s="29" t="s">
        <v>293</v>
      </c>
      <c r="J16" s="7">
        <v>54508862</v>
      </c>
      <c r="K16" s="7" t="s">
        <v>314</v>
      </c>
      <c r="L16" s="12" t="s">
        <v>316</v>
      </c>
      <c r="M16" s="17">
        <v>59900</v>
      </c>
      <c r="N16" s="14">
        <v>0.7</v>
      </c>
      <c r="O16" s="15">
        <f t="shared" si="0"/>
        <v>17970</v>
      </c>
      <c r="P16" s="16" t="s">
        <v>20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zoomScale="55" zoomScaleNormal="55" workbookViewId="0">
      <selection activeCell="C2" sqref="C2:C12"/>
    </sheetView>
  </sheetViews>
  <sheetFormatPr defaultColWidth="8.72727272727273" defaultRowHeight="14.5"/>
  <cols>
    <col min="1" max="1" width="25.4545454545455" style="1" customWidth="1"/>
    <col min="2" max="2" width="11.4545454545455" style="2" customWidth="1"/>
    <col min="3" max="3" width="10.4545454545455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2" style="1" customWidth="1"/>
    <col min="10" max="10" width="9.18181818181818" style="1" customWidth="1"/>
    <col min="11" max="11" width="12.5454545454545" style="1" customWidth="1"/>
    <col min="12" max="12" width="56.7454545454545" style="1" customWidth="1"/>
    <col min="13" max="13" width="15.4545454545455" style="3" customWidth="1"/>
    <col min="14" max="14" width="12.4545454545455" style="4" customWidth="1"/>
    <col min="15" max="15" width="12.4636363636364" style="3" customWidth="1"/>
    <col min="16" max="16" width="19.7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9" t="s">
        <v>12</v>
      </c>
      <c r="N1" s="10" t="s">
        <v>13</v>
      </c>
      <c r="O1" s="9" t="s">
        <v>14</v>
      </c>
      <c r="P1" s="5" t="s">
        <v>15</v>
      </c>
    </row>
    <row r="2" s="1" customFormat="1" spans="1:16">
      <c r="A2" s="19" t="s">
        <v>317</v>
      </c>
      <c r="B2" s="8">
        <v>46093</v>
      </c>
      <c r="C2" s="8">
        <v>46098</v>
      </c>
      <c r="D2" s="7">
        <v>3302</v>
      </c>
      <c r="E2" s="7">
        <v>340</v>
      </c>
      <c r="F2" s="7">
        <v>6</v>
      </c>
      <c r="G2" s="7">
        <v>1</v>
      </c>
      <c r="H2" s="7">
        <v>721</v>
      </c>
      <c r="I2" s="7" t="s">
        <v>72</v>
      </c>
      <c r="J2" s="7">
        <v>42569202</v>
      </c>
      <c r="K2" s="7" t="s">
        <v>92</v>
      </c>
      <c r="L2" s="19" t="s">
        <v>318</v>
      </c>
      <c r="M2" s="20">
        <v>39900</v>
      </c>
      <c r="N2" s="14">
        <v>0.5</v>
      </c>
      <c r="O2" s="15">
        <f t="shared" ref="O2:O12" si="0">M2*(1-N2)</f>
        <v>19950</v>
      </c>
      <c r="P2" s="16" t="s">
        <v>20</v>
      </c>
    </row>
    <row r="3" s="1" customFormat="1" spans="1:16">
      <c r="A3" s="19" t="s">
        <v>317</v>
      </c>
      <c r="B3" s="8">
        <v>46093</v>
      </c>
      <c r="C3" s="8">
        <v>46098</v>
      </c>
      <c r="D3" s="7">
        <v>3302</v>
      </c>
      <c r="E3" s="7">
        <v>340</v>
      </c>
      <c r="F3" s="7">
        <v>6</v>
      </c>
      <c r="G3" s="7">
        <v>1</v>
      </c>
      <c r="H3" s="7">
        <v>721</v>
      </c>
      <c r="I3" s="7" t="s">
        <v>72</v>
      </c>
      <c r="J3" s="7">
        <v>76394542</v>
      </c>
      <c r="K3" s="7" t="s">
        <v>92</v>
      </c>
      <c r="L3" s="19" t="s">
        <v>319</v>
      </c>
      <c r="M3" s="20">
        <v>39900</v>
      </c>
      <c r="N3" s="14">
        <v>0.5</v>
      </c>
      <c r="O3" s="15">
        <f t="shared" si="0"/>
        <v>19950</v>
      </c>
      <c r="P3" s="16" t="s">
        <v>20</v>
      </c>
    </row>
    <row r="4" s="1" customFormat="1" spans="1:16">
      <c r="A4" s="19" t="s">
        <v>317</v>
      </c>
      <c r="B4" s="8">
        <v>46093</v>
      </c>
      <c r="C4" s="8">
        <v>46098</v>
      </c>
      <c r="D4" s="7">
        <v>3302</v>
      </c>
      <c r="E4" s="7">
        <v>340</v>
      </c>
      <c r="F4" s="7">
        <v>6</v>
      </c>
      <c r="G4" s="7">
        <v>1</v>
      </c>
      <c r="H4" s="7">
        <v>721</v>
      </c>
      <c r="I4" s="7" t="s">
        <v>72</v>
      </c>
      <c r="J4" s="7">
        <v>33342231</v>
      </c>
      <c r="K4" s="7" t="s">
        <v>86</v>
      </c>
      <c r="L4" s="19" t="s">
        <v>320</v>
      </c>
      <c r="M4" s="20">
        <v>139900</v>
      </c>
      <c r="N4" s="14">
        <v>0.5</v>
      </c>
      <c r="O4" s="15">
        <f t="shared" si="0"/>
        <v>69950</v>
      </c>
      <c r="P4" s="16" t="s">
        <v>20</v>
      </c>
    </row>
    <row r="5" s="1" customFormat="1" spans="1:16">
      <c r="A5" s="19" t="s">
        <v>317</v>
      </c>
      <c r="B5" s="8">
        <v>46093</v>
      </c>
      <c r="C5" s="8">
        <v>46098</v>
      </c>
      <c r="D5" s="7">
        <v>3302</v>
      </c>
      <c r="E5" s="7">
        <v>340</v>
      </c>
      <c r="F5" s="7">
        <v>6</v>
      </c>
      <c r="G5" s="7">
        <v>1</v>
      </c>
      <c r="H5" s="7">
        <v>721</v>
      </c>
      <c r="I5" s="7" t="s">
        <v>72</v>
      </c>
      <c r="J5" s="7">
        <v>33342259</v>
      </c>
      <c r="K5" s="7" t="s">
        <v>86</v>
      </c>
      <c r="L5" s="19" t="s">
        <v>321</v>
      </c>
      <c r="M5" s="20">
        <v>139900</v>
      </c>
      <c r="N5" s="14">
        <v>0.5</v>
      </c>
      <c r="O5" s="15">
        <f t="shared" si="0"/>
        <v>69950</v>
      </c>
      <c r="P5" s="16" t="s">
        <v>20</v>
      </c>
    </row>
    <row r="6" s="1" customFormat="1" spans="1:16">
      <c r="A6" s="19" t="s">
        <v>317</v>
      </c>
      <c r="B6" s="8">
        <v>46093</v>
      </c>
      <c r="C6" s="8">
        <v>46098</v>
      </c>
      <c r="D6" s="7">
        <v>3302</v>
      </c>
      <c r="E6" s="7">
        <v>340</v>
      </c>
      <c r="F6" s="7">
        <v>6</v>
      </c>
      <c r="G6" s="7">
        <v>1</v>
      </c>
      <c r="H6" s="7">
        <v>721</v>
      </c>
      <c r="I6" s="7" t="s">
        <v>72</v>
      </c>
      <c r="J6" s="7">
        <v>76394560</v>
      </c>
      <c r="K6" s="7" t="s">
        <v>86</v>
      </c>
      <c r="L6" s="19" t="s">
        <v>322</v>
      </c>
      <c r="M6" s="20">
        <v>139900</v>
      </c>
      <c r="N6" s="14">
        <v>0.5</v>
      </c>
      <c r="O6" s="15">
        <f t="shared" si="0"/>
        <v>69950</v>
      </c>
      <c r="P6" s="16" t="s">
        <v>20</v>
      </c>
    </row>
    <row r="7" s="1" customFormat="1" spans="1:16">
      <c r="A7" s="19" t="s">
        <v>317</v>
      </c>
      <c r="B7" s="8">
        <v>46093</v>
      </c>
      <c r="C7" s="8">
        <v>46098</v>
      </c>
      <c r="D7" s="7">
        <v>3302</v>
      </c>
      <c r="E7" s="7">
        <v>340</v>
      </c>
      <c r="F7" s="7">
        <v>6</v>
      </c>
      <c r="G7" s="7">
        <v>1</v>
      </c>
      <c r="H7" s="7">
        <v>721</v>
      </c>
      <c r="I7" s="7" t="s">
        <v>72</v>
      </c>
      <c r="J7" s="7">
        <v>81885190</v>
      </c>
      <c r="K7" s="7" t="s">
        <v>323</v>
      </c>
      <c r="L7" s="19" t="s">
        <v>324</v>
      </c>
      <c r="M7" s="20">
        <v>139900</v>
      </c>
      <c r="N7" s="14">
        <v>0.5</v>
      </c>
      <c r="O7" s="15">
        <f t="shared" si="0"/>
        <v>69950</v>
      </c>
      <c r="P7" s="16" t="s">
        <v>20</v>
      </c>
    </row>
    <row r="8" s="1" customFormat="1" spans="1:16">
      <c r="A8" s="19" t="s">
        <v>317</v>
      </c>
      <c r="B8" s="8">
        <v>46093</v>
      </c>
      <c r="C8" s="8">
        <v>46098</v>
      </c>
      <c r="D8" s="7">
        <v>3302</v>
      </c>
      <c r="E8" s="7">
        <v>340</v>
      </c>
      <c r="F8" s="7">
        <v>6</v>
      </c>
      <c r="G8" s="7">
        <v>1</v>
      </c>
      <c r="H8" s="7">
        <v>721</v>
      </c>
      <c r="I8" s="7" t="s">
        <v>72</v>
      </c>
      <c r="J8" s="7">
        <v>81885216</v>
      </c>
      <c r="K8" s="7" t="s">
        <v>323</v>
      </c>
      <c r="L8" s="19" t="s">
        <v>325</v>
      </c>
      <c r="M8" s="20">
        <v>139900</v>
      </c>
      <c r="N8" s="14">
        <v>0.5</v>
      </c>
      <c r="O8" s="15">
        <f t="shared" si="0"/>
        <v>69950</v>
      </c>
      <c r="P8" s="16" t="s">
        <v>20</v>
      </c>
    </row>
    <row r="9" s="1" customFormat="1" spans="1:16">
      <c r="A9" s="19" t="s">
        <v>317</v>
      </c>
      <c r="B9" s="8">
        <v>46093</v>
      </c>
      <c r="C9" s="8">
        <v>46098</v>
      </c>
      <c r="D9" s="7">
        <v>3302</v>
      </c>
      <c r="E9" s="7">
        <v>340</v>
      </c>
      <c r="F9" s="7">
        <v>6</v>
      </c>
      <c r="G9" s="7">
        <v>1</v>
      </c>
      <c r="H9" s="7">
        <v>81776</v>
      </c>
      <c r="I9" s="7" t="s">
        <v>72</v>
      </c>
      <c r="J9" s="7">
        <v>84073990</v>
      </c>
      <c r="K9" s="7" t="s">
        <v>247</v>
      </c>
      <c r="L9" s="19" t="s">
        <v>326</v>
      </c>
      <c r="M9" s="20">
        <v>159900</v>
      </c>
      <c r="N9" s="14">
        <v>0.5</v>
      </c>
      <c r="O9" s="15">
        <f t="shared" si="0"/>
        <v>79950</v>
      </c>
      <c r="P9" s="16" t="s">
        <v>20</v>
      </c>
    </row>
    <row r="10" s="1" customFormat="1" spans="1:16">
      <c r="A10" s="19" t="s">
        <v>317</v>
      </c>
      <c r="B10" s="8">
        <v>46093</v>
      </c>
      <c r="C10" s="8">
        <v>46098</v>
      </c>
      <c r="D10" s="7">
        <v>3302</v>
      </c>
      <c r="E10" s="7">
        <v>340</v>
      </c>
      <c r="F10" s="7">
        <v>6</v>
      </c>
      <c r="G10" s="7">
        <v>1</v>
      </c>
      <c r="H10" s="7">
        <v>81776</v>
      </c>
      <c r="I10" s="7" t="s">
        <v>72</v>
      </c>
      <c r="J10" s="7">
        <v>84074006</v>
      </c>
      <c r="K10" s="7" t="s">
        <v>247</v>
      </c>
      <c r="L10" s="19" t="s">
        <v>327</v>
      </c>
      <c r="M10" s="20">
        <v>159900</v>
      </c>
      <c r="N10" s="14">
        <v>0.5</v>
      </c>
      <c r="O10" s="15">
        <f t="shared" si="0"/>
        <v>79950</v>
      </c>
      <c r="P10" s="16" t="s">
        <v>20</v>
      </c>
    </row>
    <row r="11" s="1" customFormat="1" spans="1:16">
      <c r="A11" s="19" t="s">
        <v>317</v>
      </c>
      <c r="B11" s="8">
        <v>46093</v>
      </c>
      <c r="C11" s="8">
        <v>46098</v>
      </c>
      <c r="D11" s="7">
        <v>3302</v>
      </c>
      <c r="E11" s="7">
        <v>340</v>
      </c>
      <c r="F11" s="7">
        <v>6</v>
      </c>
      <c r="G11" s="7">
        <v>1</v>
      </c>
      <c r="H11" s="7">
        <v>721</v>
      </c>
      <c r="I11" s="7" t="s">
        <v>72</v>
      </c>
      <c r="J11" s="7">
        <v>33342222</v>
      </c>
      <c r="K11" s="7" t="s">
        <v>84</v>
      </c>
      <c r="L11" s="19" t="s">
        <v>328</v>
      </c>
      <c r="M11" s="20">
        <v>199900</v>
      </c>
      <c r="N11" s="14">
        <v>0.5</v>
      </c>
      <c r="O11" s="15">
        <f t="shared" si="0"/>
        <v>99950</v>
      </c>
      <c r="P11" s="16" t="s">
        <v>20</v>
      </c>
    </row>
    <row r="12" s="1" customFormat="1" spans="1:16">
      <c r="A12" s="19" t="s">
        <v>317</v>
      </c>
      <c r="B12" s="8">
        <v>46093</v>
      </c>
      <c r="C12" s="8">
        <v>46098</v>
      </c>
      <c r="D12" s="7">
        <v>3302</v>
      </c>
      <c r="E12" s="7">
        <v>340</v>
      </c>
      <c r="F12" s="7">
        <v>6</v>
      </c>
      <c r="G12" s="7">
        <v>1</v>
      </c>
      <c r="H12" s="7">
        <v>721</v>
      </c>
      <c r="I12" s="7" t="s">
        <v>72</v>
      </c>
      <c r="J12" s="7">
        <v>76394588</v>
      </c>
      <c r="K12" s="7" t="s">
        <v>84</v>
      </c>
      <c r="L12" s="19" t="s">
        <v>329</v>
      </c>
      <c r="M12" s="20">
        <v>199900</v>
      </c>
      <c r="N12" s="14">
        <v>0.5</v>
      </c>
      <c r="O12" s="15">
        <f t="shared" si="0"/>
        <v>99950</v>
      </c>
      <c r="P12" s="16" t="s">
        <v>20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zoomScale="70" zoomScaleNormal="70" workbookViewId="0">
      <selection activeCell="C2" sqref="C2:C4"/>
    </sheetView>
  </sheetViews>
  <sheetFormatPr defaultColWidth="8.72727272727273" defaultRowHeight="14.5" outlineLevelRow="3"/>
  <cols>
    <col min="1" max="1" width="30.1818181818182" style="1" customWidth="1"/>
    <col min="2" max="2" width="11.4545454545455" style="2" customWidth="1"/>
    <col min="3" max="3" width="10.8181818181818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6.5454545454545" style="1" customWidth="1"/>
    <col min="10" max="10" width="9.18181818181818" style="1" customWidth="1"/>
    <col min="11" max="11" width="12.5454545454545" style="1" customWidth="1"/>
    <col min="12" max="12" width="51.4181818181818" style="1" customWidth="1"/>
    <col min="13" max="13" width="20.5454545454545" style="3" customWidth="1"/>
    <col min="14" max="14" width="12.4545454545455" style="4" customWidth="1"/>
    <col min="15" max="15" width="19.5454545454545" style="3" customWidth="1"/>
    <col min="16" max="16" width="19.7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9" t="s">
        <v>12</v>
      </c>
      <c r="N1" s="10" t="s">
        <v>13</v>
      </c>
      <c r="O1" s="9" t="s">
        <v>14</v>
      </c>
      <c r="P1" s="5" t="s">
        <v>15</v>
      </c>
    </row>
    <row r="2" spans="1:16">
      <c r="A2" s="7" t="s">
        <v>330</v>
      </c>
      <c r="B2" s="8">
        <v>46093</v>
      </c>
      <c r="C2" s="8">
        <v>46098</v>
      </c>
      <c r="D2" s="7">
        <v>3302</v>
      </c>
      <c r="E2" s="7">
        <v>340</v>
      </c>
      <c r="F2" s="7">
        <v>6</v>
      </c>
      <c r="G2" s="7">
        <v>1</v>
      </c>
      <c r="H2" s="7">
        <v>721</v>
      </c>
      <c r="I2" s="7" t="s">
        <v>331</v>
      </c>
      <c r="J2" s="7">
        <v>33022765</v>
      </c>
      <c r="K2" s="21" t="s">
        <v>332</v>
      </c>
      <c r="L2" s="19" t="s">
        <v>333</v>
      </c>
      <c r="M2" s="20">
        <v>39900</v>
      </c>
      <c r="N2" s="14" t="s">
        <v>334</v>
      </c>
      <c r="O2" s="18" t="s">
        <v>335</v>
      </c>
      <c r="P2" s="16" t="s">
        <v>334</v>
      </c>
    </row>
    <row r="3" spans="1:16">
      <c r="A3" s="7" t="s">
        <v>330</v>
      </c>
      <c r="B3" s="8">
        <v>46093</v>
      </c>
      <c r="C3" s="8">
        <v>46098</v>
      </c>
      <c r="D3" s="7">
        <v>3302</v>
      </c>
      <c r="E3" s="7">
        <v>340</v>
      </c>
      <c r="F3" s="7">
        <v>6</v>
      </c>
      <c r="G3" s="7">
        <v>1</v>
      </c>
      <c r="H3" s="7">
        <v>721</v>
      </c>
      <c r="I3" s="7" t="s">
        <v>331</v>
      </c>
      <c r="J3" s="7">
        <v>33022774</v>
      </c>
      <c r="K3" s="21" t="s">
        <v>332</v>
      </c>
      <c r="L3" s="19" t="s">
        <v>336</v>
      </c>
      <c r="M3" s="20">
        <v>39900</v>
      </c>
      <c r="N3" s="14" t="s">
        <v>334</v>
      </c>
      <c r="O3" s="18" t="s">
        <v>335</v>
      </c>
      <c r="P3" s="16" t="s">
        <v>334</v>
      </c>
    </row>
    <row r="4" spans="1:16">
      <c r="A4" s="7" t="s">
        <v>330</v>
      </c>
      <c r="B4" s="8">
        <v>46093</v>
      </c>
      <c r="C4" s="8">
        <v>46098</v>
      </c>
      <c r="D4" s="7">
        <v>3302</v>
      </c>
      <c r="E4" s="7">
        <v>340</v>
      </c>
      <c r="F4" s="7">
        <v>6</v>
      </c>
      <c r="G4" s="7">
        <v>1</v>
      </c>
      <c r="H4" s="7">
        <v>721</v>
      </c>
      <c r="I4" s="7" t="s">
        <v>331</v>
      </c>
      <c r="J4" s="7">
        <v>33022783</v>
      </c>
      <c r="K4" s="21" t="s">
        <v>332</v>
      </c>
      <c r="L4" s="19" t="s">
        <v>337</v>
      </c>
      <c r="M4" s="20">
        <v>39900</v>
      </c>
      <c r="N4" s="14" t="s">
        <v>334</v>
      </c>
      <c r="O4" s="18" t="s">
        <v>335</v>
      </c>
      <c r="P4" s="16" t="s">
        <v>334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zoomScale="55" zoomScaleNormal="55" workbookViewId="0">
      <selection activeCell="C2" sqref="C2:C19"/>
    </sheetView>
  </sheetViews>
  <sheetFormatPr defaultColWidth="8.72727272727273" defaultRowHeight="14.5"/>
  <cols>
    <col min="1" max="1" width="33.2727272727273" style="1" customWidth="1"/>
    <col min="2" max="2" width="11.4545454545455" style="2" customWidth="1"/>
    <col min="3" max="3" width="10.4545454545455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2" style="1" customWidth="1"/>
    <col min="10" max="10" width="9.18181818181818" style="1" customWidth="1"/>
    <col min="11" max="11" width="12.5454545454545" style="1" customWidth="1"/>
    <col min="12" max="12" width="72.3636363636364" style="1" customWidth="1"/>
    <col min="13" max="13" width="20.5454545454545" style="3" customWidth="1"/>
    <col min="14" max="14" width="12.4545454545455" style="4" customWidth="1"/>
    <col min="15" max="15" width="19.5454545454545" style="3" customWidth="1"/>
    <col min="16" max="16" width="19.7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9" t="s">
        <v>12</v>
      </c>
      <c r="N1" s="10" t="s">
        <v>13</v>
      </c>
      <c r="O1" s="9" t="s">
        <v>14</v>
      </c>
      <c r="P1" s="5" t="s">
        <v>15</v>
      </c>
    </row>
    <row r="2" spans="1:16">
      <c r="A2" s="19" t="s">
        <v>338</v>
      </c>
      <c r="B2" s="8">
        <v>46093</v>
      </c>
      <c r="C2" s="8">
        <v>46098</v>
      </c>
      <c r="D2" s="7">
        <v>3302</v>
      </c>
      <c r="E2" s="7">
        <v>340</v>
      </c>
      <c r="F2" s="7">
        <v>6</v>
      </c>
      <c r="G2" s="7">
        <v>1</v>
      </c>
      <c r="H2" s="7">
        <v>721</v>
      </c>
      <c r="I2" s="7" t="s">
        <v>72</v>
      </c>
      <c r="J2" s="7">
        <v>23229623</v>
      </c>
      <c r="K2" s="7" t="s">
        <v>339</v>
      </c>
      <c r="L2" s="19" t="s">
        <v>340</v>
      </c>
      <c r="M2" s="20">
        <v>59900</v>
      </c>
      <c r="N2" s="14" t="s">
        <v>334</v>
      </c>
      <c r="O2" s="18" t="s">
        <v>335</v>
      </c>
      <c r="P2" s="16" t="s">
        <v>334</v>
      </c>
    </row>
    <row r="3" spans="1:16">
      <c r="A3" s="19" t="s">
        <v>338</v>
      </c>
      <c r="B3" s="8">
        <v>46093</v>
      </c>
      <c r="C3" s="8">
        <v>46098</v>
      </c>
      <c r="D3" s="7">
        <v>3302</v>
      </c>
      <c r="E3" s="7">
        <v>340</v>
      </c>
      <c r="F3" s="7">
        <v>6</v>
      </c>
      <c r="G3" s="7">
        <v>1</v>
      </c>
      <c r="H3" s="7">
        <v>721</v>
      </c>
      <c r="I3" s="7" t="s">
        <v>72</v>
      </c>
      <c r="J3" s="7">
        <v>33625935</v>
      </c>
      <c r="K3" s="7" t="s">
        <v>341</v>
      </c>
      <c r="L3" s="19" t="s">
        <v>342</v>
      </c>
      <c r="M3" s="20">
        <v>59900</v>
      </c>
      <c r="N3" s="14" t="s">
        <v>334</v>
      </c>
      <c r="O3" s="18" t="s">
        <v>335</v>
      </c>
      <c r="P3" s="16" t="s">
        <v>334</v>
      </c>
    </row>
    <row r="4" spans="1:16">
      <c r="A4" s="19" t="s">
        <v>338</v>
      </c>
      <c r="B4" s="8">
        <v>46093</v>
      </c>
      <c r="C4" s="8">
        <v>46098</v>
      </c>
      <c r="D4" s="7">
        <v>3302</v>
      </c>
      <c r="E4" s="7">
        <v>340</v>
      </c>
      <c r="F4" s="7">
        <v>6</v>
      </c>
      <c r="G4" s="7">
        <v>1</v>
      </c>
      <c r="H4" s="7">
        <v>721</v>
      </c>
      <c r="I4" s="7" t="s">
        <v>72</v>
      </c>
      <c r="J4" s="7">
        <v>62042680</v>
      </c>
      <c r="K4" s="7" t="s">
        <v>343</v>
      </c>
      <c r="L4" s="19" t="s">
        <v>344</v>
      </c>
      <c r="M4" s="20">
        <v>59900</v>
      </c>
      <c r="N4" s="14" t="s">
        <v>334</v>
      </c>
      <c r="O4" s="18" t="s">
        <v>335</v>
      </c>
      <c r="P4" s="16" t="s">
        <v>334</v>
      </c>
    </row>
    <row r="5" spans="1:16">
      <c r="A5" s="19" t="s">
        <v>338</v>
      </c>
      <c r="B5" s="8">
        <v>46093</v>
      </c>
      <c r="C5" s="8">
        <v>46098</v>
      </c>
      <c r="D5" s="7">
        <v>3302</v>
      </c>
      <c r="E5" s="7">
        <v>340</v>
      </c>
      <c r="F5" s="7">
        <v>6</v>
      </c>
      <c r="G5" s="7">
        <v>1</v>
      </c>
      <c r="H5" s="7">
        <v>721</v>
      </c>
      <c r="I5" s="7" t="s">
        <v>72</v>
      </c>
      <c r="J5" s="7">
        <v>62042699</v>
      </c>
      <c r="K5" s="7" t="s">
        <v>341</v>
      </c>
      <c r="L5" s="19" t="s">
        <v>345</v>
      </c>
      <c r="M5" s="20">
        <v>59900</v>
      </c>
      <c r="N5" s="14" t="s">
        <v>334</v>
      </c>
      <c r="O5" s="18" t="s">
        <v>335</v>
      </c>
      <c r="P5" s="16" t="s">
        <v>334</v>
      </c>
    </row>
    <row r="6" spans="1:16">
      <c r="A6" s="19" t="s">
        <v>338</v>
      </c>
      <c r="B6" s="8">
        <v>46093</v>
      </c>
      <c r="C6" s="8">
        <v>46098</v>
      </c>
      <c r="D6" s="7">
        <v>3302</v>
      </c>
      <c r="E6" s="7">
        <v>340</v>
      </c>
      <c r="F6" s="7">
        <v>6</v>
      </c>
      <c r="G6" s="7">
        <v>1</v>
      </c>
      <c r="H6" s="7">
        <v>721</v>
      </c>
      <c r="I6" s="7" t="s">
        <v>72</v>
      </c>
      <c r="J6" s="7">
        <v>18141030</v>
      </c>
      <c r="K6" s="21" t="s">
        <v>346</v>
      </c>
      <c r="L6" s="19" t="s">
        <v>347</v>
      </c>
      <c r="M6" s="20">
        <v>89900</v>
      </c>
      <c r="N6" s="14" t="s">
        <v>334</v>
      </c>
      <c r="O6" s="18" t="s">
        <v>335</v>
      </c>
      <c r="P6" s="16" t="s">
        <v>334</v>
      </c>
    </row>
    <row r="7" spans="1:16">
      <c r="A7" s="19" t="s">
        <v>338</v>
      </c>
      <c r="B7" s="8">
        <v>46093</v>
      </c>
      <c r="C7" s="8">
        <v>46098</v>
      </c>
      <c r="D7" s="7">
        <v>3302</v>
      </c>
      <c r="E7" s="7">
        <v>340</v>
      </c>
      <c r="F7" s="7">
        <v>6</v>
      </c>
      <c r="G7" s="7">
        <v>1</v>
      </c>
      <c r="H7" s="7">
        <v>721</v>
      </c>
      <c r="I7" s="7" t="s">
        <v>72</v>
      </c>
      <c r="J7" s="7">
        <v>18141049</v>
      </c>
      <c r="K7" s="21" t="s">
        <v>348</v>
      </c>
      <c r="L7" s="19" t="s">
        <v>349</v>
      </c>
      <c r="M7" s="20">
        <v>89900</v>
      </c>
      <c r="N7" s="14" t="s">
        <v>334</v>
      </c>
      <c r="O7" s="18" t="s">
        <v>335</v>
      </c>
      <c r="P7" s="16" t="s">
        <v>334</v>
      </c>
    </row>
    <row r="8" spans="1:16">
      <c r="A8" s="19" t="s">
        <v>338</v>
      </c>
      <c r="B8" s="8">
        <v>46093</v>
      </c>
      <c r="C8" s="8">
        <v>46098</v>
      </c>
      <c r="D8" s="7">
        <v>3302</v>
      </c>
      <c r="E8" s="7">
        <v>340</v>
      </c>
      <c r="F8" s="7">
        <v>6</v>
      </c>
      <c r="G8" s="7">
        <v>1</v>
      </c>
      <c r="H8" s="7">
        <v>721</v>
      </c>
      <c r="I8" s="7" t="s">
        <v>72</v>
      </c>
      <c r="J8" s="7">
        <v>18141058</v>
      </c>
      <c r="K8" s="21" t="s">
        <v>350</v>
      </c>
      <c r="L8" s="19" t="s">
        <v>351</v>
      </c>
      <c r="M8" s="20">
        <v>89900</v>
      </c>
      <c r="N8" s="14" t="s">
        <v>334</v>
      </c>
      <c r="O8" s="18" t="s">
        <v>335</v>
      </c>
      <c r="P8" s="16" t="s">
        <v>334</v>
      </c>
    </row>
    <row r="9" spans="1:16">
      <c r="A9" s="19" t="s">
        <v>338</v>
      </c>
      <c r="B9" s="8">
        <v>46093</v>
      </c>
      <c r="C9" s="8">
        <v>46098</v>
      </c>
      <c r="D9" s="7">
        <v>3302</v>
      </c>
      <c r="E9" s="7">
        <v>340</v>
      </c>
      <c r="F9" s="7">
        <v>6</v>
      </c>
      <c r="G9" s="7">
        <v>1</v>
      </c>
      <c r="H9" s="7">
        <v>721</v>
      </c>
      <c r="I9" s="7" t="s">
        <v>72</v>
      </c>
      <c r="J9" s="7">
        <v>18141067</v>
      </c>
      <c r="K9" s="21" t="s">
        <v>352</v>
      </c>
      <c r="L9" s="19" t="s">
        <v>353</v>
      </c>
      <c r="M9" s="20">
        <v>89900</v>
      </c>
      <c r="N9" s="14" t="s">
        <v>334</v>
      </c>
      <c r="O9" s="18" t="s">
        <v>335</v>
      </c>
      <c r="P9" s="16" t="s">
        <v>334</v>
      </c>
    </row>
    <row r="10" spans="1:16">
      <c r="A10" s="19" t="s">
        <v>338</v>
      </c>
      <c r="B10" s="8">
        <v>46093</v>
      </c>
      <c r="C10" s="8">
        <v>46098</v>
      </c>
      <c r="D10" s="7">
        <v>3302</v>
      </c>
      <c r="E10" s="7">
        <v>340</v>
      </c>
      <c r="F10" s="7">
        <v>6</v>
      </c>
      <c r="G10" s="7">
        <v>1</v>
      </c>
      <c r="H10" s="7">
        <v>721</v>
      </c>
      <c r="I10" s="7" t="s">
        <v>72</v>
      </c>
      <c r="J10" s="7">
        <v>18141076</v>
      </c>
      <c r="K10" s="21" t="s">
        <v>354</v>
      </c>
      <c r="L10" s="19" t="s">
        <v>355</v>
      </c>
      <c r="M10" s="20">
        <v>89900</v>
      </c>
      <c r="N10" s="14" t="s">
        <v>334</v>
      </c>
      <c r="O10" s="18" t="s">
        <v>335</v>
      </c>
      <c r="P10" s="16" t="s">
        <v>334</v>
      </c>
    </row>
    <row r="11" spans="1:16">
      <c r="A11" s="19" t="s">
        <v>338</v>
      </c>
      <c r="B11" s="8">
        <v>46093</v>
      </c>
      <c r="C11" s="8">
        <v>46098</v>
      </c>
      <c r="D11" s="7">
        <v>3302</v>
      </c>
      <c r="E11" s="7">
        <v>340</v>
      </c>
      <c r="F11" s="7">
        <v>6</v>
      </c>
      <c r="G11" s="7">
        <v>1</v>
      </c>
      <c r="H11" s="7">
        <v>721</v>
      </c>
      <c r="I11" s="7" t="s">
        <v>72</v>
      </c>
      <c r="J11" s="7">
        <v>18141085</v>
      </c>
      <c r="K11" s="21" t="s">
        <v>356</v>
      </c>
      <c r="L11" s="19" t="s">
        <v>357</v>
      </c>
      <c r="M11" s="20">
        <v>89900</v>
      </c>
      <c r="N11" s="14" t="s">
        <v>334</v>
      </c>
      <c r="O11" s="18" t="s">
        <v>335</v>
      </c>
      <c r="P11" s="16" t="s">
        <v>334</v>
      </c>
    </row>
    <row r="12" spans="1:16">
      <c r="A12" s="19" t="s">
        <v>338</v>
      </c>
      <c r="B12" s="8">
        <v>46093</v>
      </c>
      <c r="C12" s="8">
        <v>46098</v>
      </c>
      <c r="D12" s="7">
        <v>3302</v>
      </c>
      <c r="E12" s="7">
        <v>340</v>
      </c>
      <c r="F12" s="7">
        <v>6</v>
      </c>
      <c r="G12" s="7">
        <v>1</v>
      </c>
      <c r="H12" s="7">
        <v>721</v>
      </c>
      <c r="I12" s="7" t="s">
        <v>72</v>
      </c>
      <c r="J12" s="7">
        <v>18141094</v>
      </c>
      <c r="K12" s="21" t="s">
        <v>358</v>
      </c>
      <c r="L12" s="19" t="s">
        <v>359</v>
      </c>
      <c r="M12" s="20">
        <v>89900</v>
      </c>
      <c r="N12" s="14" t="s">
        <v>334</v>
      </c>
      <c r="O12" s="18" t="s">
        <v>335</v>
      </c>
      <c r="P12" s="16" t="s">
        <v>334</v>
      </c>
    </row>
    <row r="13" spans="1:16">
      <c r="A13" s="19" t="s">
        <v>338</v>
      </c>
      <c r="B13" s="8">
        <v>46093</v>
      </c>
      <c r="C13" s="8">
        <v>46098</v>
      </c>
      <c r="D13" s="7">
        <v>3302</v>
      </c>
      <c r="E13" s="7">
        <v>340</v>
      </c>
      <c r="F13" s="7">
        <v>6</v>
      </c>
      <c r="G13" s="7">
        <v>1</v>
      </c>
      <c r="H13" s="7">
        <v>721</v>
      </c>
      <c r="I13" s="7" t="s">
        <v>72</v>
      </c>
      <c r="J13" s="7">
        <v>23539280</v>
      </c>
      <c r="K13" s="21" t="s">
        <v>360</v>
      </c>
      <c r="L13" s="19" t="s">
        <v>361</v>
      </c>
      <c r="M13" s="20">
        <v>89900</v>
      </c>
      <c r="N13" s="14" t="s">
        <v>334</v>
      </c>
      <c r="O13" s="18" t="s">
        <v>335</v>
      </c>
      <c r="P13" s="16" t="s">
        <v>334</v>
      </c>
    </row>
    <row r="14" spans="1:16">
      <c r="A14" s="19" t="s">
        <v>338</v>
      </c>
      <c r="B14" s="8">
        <v>46093</v>
      </c>
      <c r="C14" s="8">
        <v>46098</v>
      </c>
      <c r="D14" s="7">
        <v>3302</v>
      </c>
      <c r="E14" s="7">
        <v>340</v>
      </c>
      <c r="F14" s="7">
        <v>6</v>
      </c>
      <c r="G14" s="7">
        <v>1</v>
      </c>
      <c r="H14" s="7">
        <v>721</v>
      </c>
      <c r="I14" s="7" t="s">
        <v>72</v>
      </c>
      <c r="J14" s="22">
        <v>33611520</v>
      </c>
      <c r="K14" s="23" t="s">
        <v>88</v>
      </c>
      <c r="L14" s="24" t="s">
        <v>362</v>
      </c>
      <c r="M14" s="25">
        <v>89900</v>
      </c>
      <c r="N14" s="14" t="s">
        <v>334</v>
      </c>
      <c r="O14" s="18" t="s">
        <v>335</v>
      </c>
      <c r="P14" s="16" t="s">
        <v>334</v>
      </c>
    </row>
    <row r="15" spans="1:16">
      <c r="A15" s="19" t="s">
        <v>338</v>
      </c>
      <c r="B15" s="8">
        <v>46093</v>
      </c>
      <c r="C15" s="8">
        <v>46098</v>
      </c>
      <c r="D15" s="7">
        <v>3302</v>
      </c>
      <c r="E15" s="7">
        <v>340</v>
      </c>
      <c r="F15" s="7">
        <v>6</v>
      </c>
      <c r="G15" s="7">
        <v>1</v>
      </c>
      <c r="H15" s="7">
        <v>721</v>
      </c>
      <c r="I15" s="7" t="s">
        <v>72</v>
      </c>
      <c r="J15" s="7">
        <v>33621313</v>
      </c>
      <c r="K15" s="21" t="s">
        <v>90</v>
      </c>
      <c r="L15" s="19" t="s">
        <v>363</v>
      </c>
      <c r="M15" s="20">
        <v>89900</v>
      </c>
      <c r="N15" s="14" t="s">
        <v>334</v>
      </c>
      <c r="O15" s="18" t="s">
        <v>335</v>
      </c>
      <c r="P15" s="16" t="s">
        <v>334</v>
      </c>
    </row>
    <row r="16" spans="1:16">
      <c r="A16" s="19" t="s">
        <v>338</v>
      </c>
      <c r="B16" s="8">
        <v>46093</v>
      </c>
      <c r="C16" s="8">
        <v>46098</v>
      </c>
      <c r="D16" s="7">
        <v>3302</v>
      </c>
      <c r="E16" s="7">
        <v>340</v>
      </c>
      <c r="F16" s="7">
        <v>6</v>
      </c>
      <c r="G16" s="7">
        <v>1</v>
      </c>
      <c r="H16" s="7">
        <v>721</v>
      </c>
      <c r="I16" s="7" t="s">
        <v>72</v>
      </c>
      <c r="J16" s="7">
        <v>23539271</v>
      </c>
      <c r="K16" s="7" t="s">
        <v>364</v>
      </c>
      <c r="L16" s="19" t="s">
        <v>365</v>
      </c>
      <c r="M16" s="20">
        <v>89900</v>
      </c>
      <c r="N16" s="14" t="s">
        <v>334</v>
      </c>
      <c r="O16" s="18" t="s">
        <v>335</v>
      </c>
      <c r="P16" s="16" t="s">
        <v>334</v>
      </c>
    </row>
    <row r="17" spans="1:16">
      <c r="A17" s="19" t="s">
        <v>338</v>
      </c>
      <c r="B17" s="8">
        <v>46093</v>
      </c>
      <c r="C17" s="8">
        <v>46098</v>
      </c>
      <c r="D17" s="7">
        <v>3302</v>
      </c>
      <c r="E17" s="7">
        <v>340</v>
      </c>
      <c r="F17" s="7">
        <v>6</v>
      </c>
      <c r="G17" s="7">
        <v>1</v>
      </c>
      <c r="H17" s="7">
        <v>721</v>
      </c>
      <c r="I17" s="7" t="s">
        <v>72</v>
      </c>
      <c r="J17" s="7">
        <v>23539299</v>
      </c>
      <c r="K17" s="7" t="s">
        <v>366</v>
      </c>
      <c r="L17" s="19" t="s">
        <v>367</v>
      </c>
      <c r="M17" s="20">
        <v>89900</v>
      </c>
      <c r="N17" s="14" t="s">
        <v>334</v>
      </c>
      <c r="O17" s="18" t="s">
        <v>335</v>
      </c>
      <c r="P17" s="16" t="s">
        <v>334</v>
      </c>
    </row>
    <row r="18" spans="1:16">
      <c r="A18" s="19" t="s">
        <v>338</v>
      </c>
      <c r="B18" s="8">
        <v>46093</v>
      </c>
      <c r="C18" s="8">
        <v>46098</v>
      </c>
      <c r="D18" s="7">
        <v>3302</v>
      </c>
      <c r="E18" s="7">
        <v>340</v>
      </c>
      <c r="F18" s="7">
        <v>6</v>
      </c>
      <c r="G18" s="7">
        <v>1</v>
      </c>
      <c r="H18" s="7">
        <v>721</v>
      </c>
      <c r="I18" s="7" t="s">
        <v>72</v>
      </c>
      <c r="J18" s="7">
        <v>23539306</v>
      </c>
      <c r="K18" s="7" t="s">
        <v>368</v>
      </c>
      <c r="L18" s="19" t="s">
        <v>369</v>
      </c>
      <c r="M18" s="20">
        <v>89900</v>
      </c>
      <c r="N18" s="14" t="s">
        <v>334</v>
      </c>
      <c r="O18" s="18" t="s">
        <v>335</v>
      </c>
      <c r="P18" s="16" t="s">
        <v>334</v>
      </c>
    </row>
    <row r="19" spans="1:16">
      <c r="A19" s="19" t="s">
        <v>338</v>
      </c>
      <c r="B19" s="8">
        <v>46093</v>
      </c>
      <c r="C19" s="8">
        <v>46098</v>
      </c>
      <c r="D19" s="7">
        <v>3302</v>
      </c>
      <c r="E19" s="7">
        <v>340</v>
      </c>
      <c r="F19" s="7">
        <v>6</v>
      </c>
      <c r="G19" s="7">
        <v>1</v>
      </c>
      <c r="H19" s="7">
        <v>721</v>
      </c>
      <c r="I19" s="7" t="s">
        <v>72</v>
      </c>
      <c r="J19" s="7">
        <v>33611511</v>
      </c>
      <c r="K19" s="21" t="s">
        <v>88</v>
      </c>
      <c r="L19" s="19" t="s">
        <v>370</v>
      </c>
      <c r="M19" s="20">
        <v>89900</v>
      </c>
      <c r="N19" s="14" t="s">
        <v>334</v>
      </c>
      <c r="O19" s="18" t="s">
        <v>335</v>
      </c>
      <c r="P19" s="16" t="s">
        <v>334</v>
      </c>
    </row>
  </sheetData>
  <autoFilter xmlns:etc="http://www.wps.cn/officeDocument/2017/etCustomData" ref="A1:P19" etc:filterBottomFollowUsedRange="0">
    <sortState ref="A1:P19">
      <sortCondition ref="M1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zoomScale="70" zoomScaleNormal="70" workbookViewId="0">
      <selection activeCell="C2" sqref="C2:C9"/>
    </sheetView>
  </sheetViews>
  <sheetFormatPr defaultColWidth="8.72727272727273" defaultRowHeight="14.5"/>
  <cols>
    <col min="1" max="1" width="28.1818181818182" style="1" customWidth="1"/>
    <col min="2" max="2" width="11.4545454545455" style="2" customWidth="1"/>
    <col min="3" max="3" width="10.4545454545455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2" style="1" customWidth="1"/>
    <col min="10" max="10" width="9.18181818181818" style="1" customWidth="1"/>
    <col min="11" max="11" width="10" style="1" customWidth="1"/>
    <col min="12" max="12" width="70.1181818181818" style="1" customWidth="1"/>
    <col min="13" max="13" width="20.5454545454545" style="3" customWidth="1"/>
    <col min="14" max="14" width="12.4545454545455" style="4" customWidth="1"/>
    <col min="15" max="15" width="19.5454545454545" style="3" customWidth="1"/>
    <col min="16" max="16" width="19.7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9" t="s">
        <v>12</v>
      </c>
      <c r="N1" s="10" t="s">
        <v>13</v>
      </c>
      <c r="O1" s="9" t="s">
        <v>14</v>
      </c>
      <c r="P1" s="5" t="s">
        <v>15</v>
      </c>
    </row>
    <row r="2" spans="1:16">
      <c r="A2" s="7" t="s">
        <v>371</v>
      </c>
      <c r="B2" s="8">
        <v>46093</v>
      </c>
      <c r="C2" s="8">
        <v>46098</v>
      </c>
      <c r="D2" s="7">
        <v>3302</v>
      </c>
      <c r="E2" s="7">
        <v>340</v>
      </c>
      <c r="F2" s="7">
        <v>6</v>
      </c>
      <c r="G2" s="7">
        <v>1</v>
      </c>
      <c r="H2" s="7">
        <v>721</v>
      </c>
      <c r="I2" s="11" t="s">
        <v>72</v>
      </c>
      <c r="J2" s="12">
        <v>55044763</v>
      </c>
      <c r="K2" s="12" t="s">
        <v>372</v>
      </c>
      <c r="L2" s="12" t="s">
        <v>373</v>
      </c>
      <c r="M2" s="17">
        <v>89900</v>
      </c>
      <c r="N2" s="14" t="s">
        <v>334</v>
      </c>
      <c r="O2" s="18" t="s">
        <v>335</v>
      </c>
      <c r="P2" s="16" t="s">
        <v>334</v>
      </c>
    </row>
    <row r="3" spans="1:16">
      <c r="A3" s="7" t="s">
        <v>371</v>
      </c>
      <c r="B3" s="8">
        <v>46093</v>
      </c>
      <c r="C3" s="8">
        <v>46098</v>
      </c>
      <c r="D3" s="7">
        <v>3302</v>
      </c>
      <c r="E3" s="7">
        <v>340</v>
      </c>
      <c r="F3" s="7">
        <v>6</v>
      </c>
      <c r="G3" s="7">
        <v>1</v>
      </c>
      <c r="H3" s="7">
        <v>721</v>
      </c>
      <c r="I3" s="11" t="s">
        <v>72</v>
      </c>
      <c r="J3" s="12">
        <v>55044781</v>
      </c>
      <c r="K3" s="12" t="s">
        <v>372</v>
      </c>
      <c r="L3" s="12" t="s">
        <v>374</v>
      </c>
      <c r="M3" s="17">
        <v>89900</v>
      </c>
      <c r="N3" s="14" t="s">
        <v>334</v>
      </c>
      <c r="O3" s="18" t="s">
        <v>335</v>
      </c>
      <c r="P3" s="16" t="s">
        <v>334</v>
      </c>
    </row>
    <row r="4" spans="1:16">
      <c r="A4" s="7" t="s">
        <v>371</v>
      </c>
      <c r="B4" s="8">
        <v>46093</v>
      </c>
      <c r="C4" s="8">
        <v>46098</v>
      </c>
      <c r="D4" s="7">
        <v>3302</v>
      </c>
      <c r="E4" s="7">
        <v>340</v>
      </c>
      <c r="F4" s="7">
        <v>6</v>
      </c>
      <c r="G4" s="7">
        <v>1</v>
      </c>
      <c r="H4" s="7">
        <v>721</v>
      </c>
      <c r="I4" s="11" t="s">
        <v>72</v>
      </c>
      <c r="J4" s="12">
        <v>55044807</v>
      </c>
      <c r="K4" s="12" t="s">
        <v>372</v>
      </c>
      <c r="L4" s="12" t="s">
        <v>375</v>
      </c>
      <c r="M4" s="17">
        <v>89900</v>
      </c>
      <c r="N4" s="14" t="s">
        <v>334</v>
      </c>
      <c r="O4" s="18" t="s">
        <v>335</v>
      </c>
      <c r="P4" s="16" t="s">
        <v>334</v>
      </c>
    </row>
    <row r="5" spans="1:16">
      <c r="A5" s="7" t="s">
        <v>371</v>
      </c>
      <c r="B5" s="8">
        <v>46093</v>
      </c>
      <c r="C5" s="8">
        <v>46098</v>
      </c>
      <c r="D5" s="7">
        <v>3302</v>
      </c>
      <c r="E5" s="7">
        <v>340</v>
      </c>
      <c r="F5" s="7">
        <v>6</v>
      </c>
      <c r="G5" s="7">
        <v>1</v>
      </c>
      <c r="H5" s="7">
        <v>721</v>
      </c>
      <c r="I5" s="11" t="s">
        <v>72</v>
      </c>
      <c r="J5" s="12">
        <v>55044825</v>
      </c>
      <c r="K5" s="12" t="s">
        <v>372</v>
      </c>
      <c r="L5" s="12" t="s">
        <v>376</v>
      </c>
      <c r="M5" s="17">
        <v>89900</v>
      </c>
      <c r="N5" s="14" t="s">
        <v>334</v>
      </c>
      <c r="O5" s="18" t="s">
        <v>335</v>
      </c>
      <c r="P5" s="16" t="s">
        <v>334</v>
      </c>
    </row>
    <row r="6" spans="1:16">
      <c r="A6" s="7" t="s">
        <v>371</v>
      </c>
      <c r="B6" s="8">
        <v>46093</v>
      </c>
      <c r="C6" s="8">
        <v>46098</v>
      </c>
      <c r="D6" s="7">
        <v>3302</v>
      </c>
      <c r="E6" s="7">
        <v>340</v>
      </c>
      <c r="F6" s="7">
        <v>6</v>
      </c>
      <c r="G6" s="7">
        <v>1</v>
      </c>
      <c r="H6" s="7">
        <v>721</v>
      </c>
      <c r="I6" s="11" t="s">
        <v>72</v>
      </c>
      <c r="J6" s="12">
        <v>55044772</v>
      </c>
      <c r="K6" s="12" t="s">
        <v>377</v>
      </c>
      <c r="L6" s="12" t="s">
        <v>378</v>
      </c>
      <c r="M6" s="17">
        <v>59900</v>
      </c>
      <c r="N6" s="14" t="s">
        <v>334</v>
      </c>
      <c r="O6" s="18" t="s">
        <v>335</v>
      </c>
      <c r="P6" s="16" t="s">
        <v>334</v>
      </c>
    </row>
    <row r="7" spans="1:16">
      <c r="A7" s="7" t="s">
        <v>371</v>
      </c>
      <c r="B7" s="8">
        <v>46093</v>
      </c>
      <c r="C7" s="8">
        <v>46098</v>
      </c>
      <c r="D7" s="7">
        <v>3302</v>
      </c>
      <c r="E7" s="7">
        <v>340</v>
      </c>
      <c r="F7" s="7">
        <v>6</v>
      </c>
      <c r="G7" s="7">
        <v>1</v>
      </c>
      <c r="H7" s="7">
        <v>721</v>
      </c>
      <c r="I7" s="11" t="s">
        <v>72</v>
      </c>
      <c r="J7" s="12">
        <v>55044790</v>
      </c>
      <c r="K7" s="12" t="s">
        <v>377</v>
      </c>
      <c r="L7" s="12" t="s">
        <v>379</v>
      </c>
      <c r="M7" s="17">
        <v>59900</v>
      </c>
      <c r="N7" s="14" t="s">
        <v>334</v>
      </c>
      <c r="O7" s="18" t="s">
        <v>335</v>
      </c>
      <c r="P7" s="16" t="s">
        <v>334</v>
      </c>
    </row>
    <row r="8" spans="1:16">
      <c r="A8" s="7" t="s">
        <v>371</v>
      </c>
      <c r="B8" s="8">
        <v>46093</v>
      </c>
      <c r="C8" s="8">
        <v>46098</v>
      </c>
      <c r="D8" s="7">
        <v>3302</v>
      </c>
      <c r="E8" s="7">
        <v>340</v>
      </c>
      <c r="F8" s="7">
        <v>6</v>
      </c>
      <c r="G8" s="7">
        <v>1</v>
      </c>
      <c r="H8" s="7">
        <v>721</v>
      </c>
      <c r="I8" s="11" t="s">
        <v>72</v>
      </c>
      <c r="J8" s="12">
        <v>55044816</v>
      </c>
      <c r="K8" s="12" t="s">
        <v>377</v>
      </c>
      <c r="L8" s="12" t="s">
        <v>380</v>
      </c>
      <c r="M8" s="17">
        <v>59900</v>
      </c>
      <c r="N8" s="14" t="s">
        <v>334</v>
      </c>
      <c r="O8" s="18" t="s">
        <v>335</v>
      </c>
      <c r="P8" s="16" t="s">
        <v>334</v>
      </c>
    </row>
    <row r="9" spans="1:16">
      <c r="A9" s="7" t="s">
        <v>371</v>
      </c>
      <c r="B9" s="8">
        <v>46093</v>
      </c>
      <c r="C9" s="8">
        <v>46098</v>
      </c>
      <c r="D9" s="7">
        <v>3302</v>
      </c>
      <c r="E9" s="7">
        <v>340</v>
      </c>
      <c r="F9" s="7">
        <v>6</v>
      </c>
      <c r="G9" s="7">
        <v>1</v>
      </c>
      <c r="H9" s="7">
        <v>721</v>
      </c>
      <c r="I9" s="11" t="s">
        <v>72</v>
      </c>
      <c r="J9" s="12">
        <v>55044834</v>
      </c>
      <c r="K9" s="12" t="s">
        <v>377</v>
      </c>
      <c r="L9" s="12" t="s">
        <v>381</v>
      </c>
      <c r="M9" s="17">
        <v>59900</v>
      </c>
      <c r="N9" s="14" t="s">
        <v>334</v>
      </c>
      <c r="O9" s="18" t="s">
        <v>335</v>
      </c>
      <c r="P9" s="16" t="s">
        <v>334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zoomScale="55" zoomScaleNormal="55" workbookViewId="0">
      <selection activeCell="C2" sqref="C2"/>
    </sheetView>
  </sheetViews>
  <sheetFormatPr defaultColWidth="8.72727272727273" defaultRowHeight="14.5" outlineLevelRow="1"/>
  <cols>
    <col min="1" max="1" width="28.1818181818182" style="1" customWidth="1"/>
    <col min="2" max="2" width="11.4545454545455" style="2" customWidth="1"/>
    <col min="3" max="3" width="10.4545454545455" style="2" customWidth="1"/>
    <col min="4" max="4" width="10" style="1" customWidth="1"/>
    <col min="5" max="8" width="9.21818181818182" style="1" customWidth="1"/>
    <col min="9" max="9" width="12" style="1" customWidth="1"/>
    <col min="10" max="10" width="9.18181818181818" style="1" customWidth="1"/>
    <col min="11" max="11" width="13.6363636363636" style="1" customWidth="1"/>
    <col min="12" max="12" width="70.1181818181818" style="1" customWidth="1"/>
    <col min="13" max="13" width="15.0545454545455" style="3" customWidth="1"/>
    <col min="14" max="14" width="12.4545454545455" style="4" customWidth="1"/>
    <col min="15" max="15" width="16.6272727272727" style="3" customWidth="1"/>
    <col min="16" max="16" width="13.6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9" t="s">
        <v>12</v>
      </c>
      <c r="N1" s="10" t="s">
        <v>13</v>
      </c>
      <c r="O1" s="9" t="s">
        <v>14</v>
      </c>
      <c r="P1" s="5" t="s">
        <v>15</v>
      </c>
    </row>
    <row r="2" spans="1:16">
      <c r="A2" s="7" t="s">
        <v>382</v>
      </c>
      <c r="B2" s="8">
        <v>46093</v>
      </c>
      <c r="C2" s="8">
        <v>46098</v>
      </c>
      <c r="D2" s="7">
        <v>3302</v>
      </c>
      <c r="E2" s="7">
        <v>340</v>
      </c>
      <c r="F2" s="7">
        <v>6</v>
      </c>
      <c r="G2" s="7">
        <v>5</v>
      </c>
      <c r="H2" s="7">
        <v>81830</v>
      </c>
      <c r="I2" s="11" t="s">
        <v>72</v>
      </c>
      <c r="J2" s="12">
        <v>54412572</v>
      </c>
      <c r="K2" s="12" t="s">
        <v>383</v>
      </c>
      <c r="L2" s="12" t="s">
        <v>384</v>
      </c>
      <c r="M2" s="13">
        <v>129900</v>
      </c>
      <c r="N2" s="14" t="s">
        <v>385</v>
      </c>
      <c r="O2" s="15">
        <v>79000</v>
      </c>
      <c r="P2" s="16" t="s">
        <v>386</v>
      </c>
    </row>
  </sheetData>
  <autoFilter xmlns:etc="http://www.wps.cn/officeDocument/2017/etCustomData" ref="A1:P2" etc:filterBottomFollowUsedRange="0">
    <sortState ref="A1:P2">
      <sortCondition ref="A1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zoomScale="55" zoomScaleNormal="55" workbookViewId="0">
      <selection activeCell="C2" sqref="C2"/>
    </sheetView>
  </sheetViews>
  <sheetFormatPr defaultColWidth="8.72727272727273" defaultRowHeight="14.5" outlineLevelRow="1"/>
  <cols>
    <col min="1" max="1" width="28.1818181818182" style="1" customWidth="1"/>
    <col min="2" max="2" width="11.4545454545455" style="2" customWidth="1"/>
    <col min="3" max="3" width="10.4545454545455" style="2" customWidth="1"/>
    <col min="4" max="4" width="10" style="1" customWidth="1"/>
    <col min="5" max="8" width="9.21818181818182" style="1" customWidth="1"/>
    <col min="9" max="9" width="12" style="1" customWidth="1"/>
    <col min="10" max="10" width="9.18181818181818" style="1" customWidth="1"/>
    <col min="11" max="11" width="13.6363636363636" style="1" customWidth="1"/>
    <col min="12" max="12" width="70.1181818181818" style="1" customWidth="1"/>
    <col min="13" max="13" width="15.0545454545455" style="3" customWidth="1"/>
    <col min="14" max="14" width="12.4545454545455" style="4" customWidth="1"/>
    <col min="15" max="15" width="16.6272727272727" style="3" customWidth="1"/>
    <col min="16" max="16" width="13.6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9" t="s">
        <v>12</v>
      </c>
      <c r="N1" s="10" t="s">
        <v>13</v>
      </c>
      <c r="O1" s="9" t="s">
        <v>14</v>
      </c>
      <c r="P1" s="5" t="s">
        <v>15</v>
      </c>
    </row>
    <row r="2" spans="1:16">
      <c r="A2" s="7" t="s">
        <v>387</v>
      </c>
      <c r="B2" s="8">
        <v>46093</v>
      </c>
      <c r="C2" s="8">
        <v>46098</v>
      </c>
      <c r="D2" s="7">
        <v>3302</v>
      </c>
      <c r="E2" s="7">
        <v>340</v>
      </c>
      <c r="F2" s="7">
        <v>6</v>
      </c>
      <c r="G2" s="7">
        <v>5</v>
      </c>
      <c r="H2" s="7">
        <v>81830</v>
      </c>
      <c r="I2" s="11" t="s">
        <v>72</v>
      </c>
      <c r="J2" s="12">
        <v>54412581</v>
      </c>
      <c r="K2" s="12" t="s">
        <v>388</v>
      </c>
      <c r="L2" s="12" t="s">
        <v>389</v>
      </c>
      <c r="M2" s="13">
        <v>149000</v>
      </c>
      <c r="N2" s="14" t="s">
        <v>385</v>
      </c>
      <c r="O2" s="15">
        <v>99000</v>
      </c>
      <c r="P2" s="16" t="s">
        <v>386</v>
      </c>
    </row>
  </sheetData>
  <autoFilter xmlns:etc="http://www.wps.cn/officeDocument/2017/etCustomData" ref="A1:P2" etc:filterBottomFollowUsedRange="0">
    <sortState ref="A1:P2">
      <sortCondition ref="A1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zoomScale="55" zoomScaleNormal="55" workbookViewId="0">
      <selection activeCell="C2" sqref="C2:C9"/>
    </sheetView>
  </sheetViews>
  <sheetFormatPr defaultColWidth="8.72727272727273" defaultRowHeight="14.5"/>
  <cols>
    <col min="1" max="1" width="28.1818181818182" style="1" customWidth="1"/>
    <col min="2" max="2" width="11.4545454545455" style="2" customWidth="1"/>
    <col min="3" max="3" width="10.4545454545455" style="2" customWidth="1"/>
    <col min="4" max="4" width="10" style="1" customWidth="1"/>
    <col min="5" max="8" width="9.21818181818182" style="1" customWidth="1"/>
    <col min="9" max="9" width="12" style="1" customWidth="1"/>
    <col min="10" max="10" width="9.18181818181818" style="1" customWidth="1"/>
    <col min="11" max="11" width="13.6363636363636" style="1" customWidth="1"/>
    <col min="12" max="12" width="70.1181818181818" style="1" customWidth="1"/>
    <col min="13" max="13" width="15.0545454545455" style="3" customWidth="1"/>
    <col min="14" max="14" width="12.4545454545455" style="4" customWidth="1"/>
    <col min="15" max="15" width="16.6272727272727" style="3" customWidth="1"/>
    <col min="16" max="16" width="13.6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9" t="s">
        <v>12</v>
      </c>
      <c r="N1" s="10" t="s">
        <v>13</v>
      </c>
      <c r="O1" s="9" t="s">
        <v>14</v>
      </c>
      <c r="P1" s="5" t="s">
        <v>15</v>
      </c>
    </row>
    <row r="2" spans="1:16">
      <c r="A2" s="7" t="s">
        <v>390</v>
      </c>
      <c r="B2" s="8">
        <v>46093</v>
      </c>
      <c r="C2" s="8">
        <v>46098</v>
      </c>
      <c r="D2" s="7">
        <v>3302</v>
      </c>
      <c r="E2" s="7">
        <v>340</v>
      </c>
      <c r="F2" s="7">
        <v>6</v>
      </c>
      <c r="G2" s="7">
        <v>5</v>
      </c>
      <c r="H2" s="7">
        <v>81830</v>
      </c>
      <c r="I2" s="11" t="s">
        <v>72</v>
      </c>
      <c r="J2" s="12">
        <v>54568100</v>
      </c>
      <c r="K2" s="12" t="s">
        <v>391</v>
      </c>
      <c r="L2" s="12" t="s">
        <v>392</v>
      </c>
      <c r="M2" s="13">
        <v>89900</v>
      </c>
      <c r="N2" s="14" t="s">
        <v>385</v>
      </c>
      <c r="O2" s="15">
        <v>59000</v>
      </c>
      <c r="P2" s="16" t="s">
        <v>386</v>
      </c>
    </row>
    <row r="3" spans="1:16">
      <c r="A3" s="7" t="s">
        <v>390</v>
      </c>
      <c r="B3" s="8">
        <v>46093</v>
      </c>
      <c r="C3" s="8">
        <v>46098</v>
      </c>
      <c r="D3" s="7">
        <v>3302</v>
      </c>
      <c r="E3" s="7">
        <v>340</v>
      </c>
      <c r="F3" s="7">
        <v>6</v>
      </c>
      <c r="G3" s="7">
        <v>5</v>
      </c>
      <c r="H3" s="7">
        <v>81830</v>
      </c>
      <c r="I3" s="11" t="s">
        <v>72</v>
      </c>
      <c r="J3" s="12">
        <v>54568119</v>
      </c>
      <c r="K3" s="12" t="s">
        <v>391</v>
      </c>
      <c r="L3" s="12" t="s">
        <v>393</v>
      </c>
      <c r="M3" s="13">
        <v>89900</v>
      </c>
      <c r="N3" s="14" t="s">
        <v>385</v>
      </c>
      <c r="O3" s="15">
        <v>59000</v>
      </c>
      <c r="P3" s="16" t="s">
        <v>386</v>
      </c>
    </row>
    <row r="4" spans="1:16">
      <c r="A4" s="7" t="s">
        <v>390</v>
      </c>
      <c r="B4" s="8">
        <v>46093</v>
      </c>
      <c r="C4" s="8">
        <v>46098</v>
      </c>
      <c r="D4" s="7">
        <v>3302</v>
      </c>
      <c r="E4" s="7">
        <v>340</v>
      </c>
      <c r="F4" s="7">
        <v>6</v>
      </c>
      <c r="G4" s="7">
        <v>5</v>
      </c>
      <c r="H4" s="7">
        <v>81830</v>
      </c>
      <c r="I4" s="11" t="s">
        <v>72</v>
      </c>
      <c r="J4" s="12">
        <v>54568128</v>
      </c>
      <c r="K4" s="12" t="s">
        <v>391</v>
      </c>
      <c r="L4" s="12" t="s">
        <v>394</v>
      </c>
      <c r="M4" s="13">
        <v>89900</v>
      </c>
      <c r="N4" s="14" t="s">
        <v>385</v>
      </c>
      <c r="O4" s="15">
        <v>59000</v>
      </c>
      <c r="P4" s="16" t="s">
        <v>386</v>
      </c>
    </row>
    <row r="5" spans="1:16">
      <c r="A5" s="7" t="s">
        <v>390</v>
      </c>
      <c r="B5" s="8">
        <v>46093</v>
      </c>
      <c r="C5" s="8">
        <v>46098</v>
      </c>
      <c r="D5" s="7">
        <v>3302</v>
      </c>
      <c r="E5" s="7">
        <v>340</v>
      </c>
      <c r="F5" s="7">
        <v>6</v>
      </c>
      <c r="G5" s="7">
        <v>5</v>
      </c>
      <c r="H5" s="7">
        <v>81830</v>
      </c>
      <c r="I5" s="11" t="s">
        <v>72</v>
      </c>
      <c r="J5" s="12">
        <v>54568137</v>
      </c>
      <c r="K5" s="12" t="s">
        <v>395</v>
      </c>
      <c r="L5" s="12" t="s">
        <v>396</v>
      </c>
      <c r="M5" s="13">
        <v>99900</v>
      </c>
      <c r="N5" s="14" t="s">
        <v>385</v>
      </c>
      <c r="O5" s="15">
        <v>59000</v>
      </c>
      <c r="P5" s="16" t="s">
        <v>386</v>
      </c>
    </row>
    <row r="6" spans="1:16">
      <c r="A6" s="7" t="s">
        <v>390</v>
      </c>
      <c r="B6" s="8">
        <v>46093</v>
      </c>
      <c r="C6" s="8">
        <v>46098</v>
      </c>
      <c r="D6" s="7">
        <v>3302</v>
      </c>
      <c r="E6" s="7">
        <v>340</v>
      </c>
      <c r="F6" s="7">
        <v>6</v>
      </c>
      <c r="G6" s="7">
        <v>5</v>
      </c>
      <c r="H6" s="7">
        <v>81830</v>
      </c>
      <c r="I6" s="11" t="s">
        <v>72</v>
      </c>
      <c r="J6" s="12">
        <v>54568146</v>
      </c>
      <c r="K6" s="12" t="s">
        <v>395</v>
      </c>
      <c r="L6" s="12" t="s">
        <v>397</v>
      </c>
      <c r="M6" s="13">
        <v>99900</v>
      </c>
      <c r="N6" s="14" t="s">
        <v>385</v>
      </c>
      <c r="O6" s="15">
        <v>59000</v>
      </c>
      <c r="P6" s="16" t="s">
        <v>386</v>
      </c>
    </row>
    <row r="7" spans="1:16">
      <c r="A7" s="7" t="s">
        <v>390</v>
      </c>
      <c r="B7" s="8">
        <v>46093</v>
      </c>
      <c r="C7" s="8">
        <v>46098</v>
      </c>
      <c r="D7" s="7">
        <v>3302</v>
      </c>
      <c r="E7" s="7">
        <v>340</v>
      </c>
      <c r="F7" s="7">
        <v>6</v>
      </c>
      <c r="G7" s="7">
        <v>5</v>
      </c>
      <c r="H7" s="7">
        <v>81830</v>
      </c>
      <c r="I7" s="11" t="s">
        <v>72</v>
      </c>
      <c r="J7" s="12">
        <v>54568155</v>
      </c>
      <c r="K7" s="12" t="s">
        <v>395</v>
      </c>
      <c r="L7" s="12" t="s">
        <v>398</v>
      </c>
      <c r="M7" s="13">
        <v>99900</v>
      </c>
      <c r="N7" s="14" t="s">
        <v>385</v>
      </c>
      <c r="O7" s="15">
        <v>59000</v>
      </c>
      <c r="P7" s="16" t="s">
        <v>386</v>
      </c>
    </row>
    <row r="8" spans="1:16">
      <c r="A8" s="7" t="s">
        <v>390</v>
      </c>
      <c r="B8" s="8">
        <v>46093</v>
      </c>
      <c r="C8" s="8">
        <v>46098</v>
      </c>
      <c r="D8" s="7">
        <v>3302</v>
      </c>
      <c r="E8" s="7">
        <v>340</v>
      </c>
      <c r="F8" s="7">
        <v>6</v>
      </c>
      <c r="G8" s="7">
        <v>5</v>
      </c>
      <c r="H8" s="7">
        <v>81830</v>
      </c>
      <c r="I8" s="11" t="s">
        <v>72</v>
      </c>
      <c r="J8" s="12">
        <v>55242941</v>
      </c>
      <c r="K8" s="12" t="s">
        <v>391</v>
      </c>
      <c r="L8" s="12" t="s">
        <v>399</v>
      </c>
      <c r="M8" s="13">
        <v>89900</v>
      </c>
      <c r="N8" s="14" t="s">
        <v>385</v>
      </c>
      <c r="O8" s="15">
        <v>59000</v>
      </c>
      <c r="P8" s="16" t="s">
        <v>386</v>
      </c>
    </row>
    <row r="9" spans="1:16">
      <c r="A9" s="7" t="s">
        <v>390</v>
      </c>
      <c r="B9" s="8">
        <v>46093</v>
      </c>
      <c r="C9" s="8">
        <v>46098</v>
      </c>
      <c r="D9" s="7">
        <v>3302</v>
      </c>
      <c r="E9" s="7">
        <v>340</v>
      </c>
      <c r="F9" s="7">
        <v>6</v>
      </c>
      <c r="G9" s="7">
        <v>5</v>
      </c>
      <c r="H9" s="7">
        <v>81830</v>
      </c>
      <c r="I9" s="11" t="s">
        <v>72</v>
      </c>
      <c r="J9" s="12">
        <v>55242950</v>
      </c>
      <c r="K9" s="12" t="s">
        <v>395</v>
      </c>
      <c r="L9" s="12" t="s">
        <v>400</v>
      </c>
      <c r="M9" s="13">
        <v>99900</v>
      </c>
      <c r="N9" s="14" t="s">
        <v>385</v>
      </c>
      <c r="O9" s="15">
        <v>59000</v>
      </c>
      <c r="P9" s="16" t="s">
        <v>386</v>
      </c>
    </row>
  </sheetData>
  <autoFilter xmlns:etc="http://www.wps.cn/officeDocument/2017/etCustomData" ref="A1:P9" etc:filterBottomFollowUsedRange="0">
    <sortState ref="A1:P9">
      <sortCondition ref="A1:A23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zoomScale="55" zoomScaleNormal="55" workbookViewId="0">
      <selection activeCell="C2" sqref="C2:C5"/>
    </sheetView>
  </sheetViews>
  <sheetFormatPr defaultColWidth="8.72727272727273" defaultRowHeight="14.5" outlineLevelRow="4"/>
  <cols>
    <col min="1" max="1" width="28.1818181818182" style="1" customWidth="1"/>
    <col min="2" max="2" width="11.4545454545455" style="2" customWidth="1"/>
    <col min="3" max="3" width="10.4545454545455" style="2" customWidth="1"/>
    <col min="4" max="4" width="10" style="1" customWidth="1"/>
    <col min="5" max="8" width="9.21818181818182" style="1" customWidth="1"/>
    <col min="9" max="9" width="12" style="1" customWidth="1"/>
    <col min="10" max="10" width="9.18181818181818" style="1" customWidth="1"/>
    <col min="11" max="11" width="13.6363636363636" style="1" customWidth="1"/>
    <col min="12" max="12" width="70.1181818181818" style="1" customWidth="1"/>
    <col min="13" max="13" width="15.0545454545455" style="3" customWidth="1"/>
    <col min="14" max="14" width="12.4545454545455" style="4" customWidth="1"/>
    <col min="15" max="15" width="16.6272727272727" style="3" customWidth="1"/>
    <col min="16" max="16" width="13.6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9" t="s">
        <v>12</v>
      </c>
      <c r="N1" s="10" t="s">
        <v>13</v>
      </c>
      <c r="O1" s="9" t="s">
        <v>14</v>
      </c>
      <c r="P1" s="5" t="s">
        <v>15</v>
      </c>
    </row>
    <row r="2" spans="1:16">
      <c r="A2" s="7" t="s">
        <v>401</v>
      </c>
      <c r="B2" s="8">
        <v>46093</v>
      </c>
      <c r="C2" s="8">
        <v>46098</v>
      </c>
      <c r="D2" s="7">
        <v>3302</v>
      </c>
      <c r="E2" s="7">
        <v>340</v>
      </c>
      <c r="F2" s="7">
        <v>6</v>
      </c>
      <c r="G2" s="7">
        <v>5</v>
      </c>
      <c r="H2" s="7">
        <v>81830</v>
      </c>
      <c r="I2" s="11" t="s">
        <v>72</v>
      </c>
      <c r="J2" s="12">
        <v>54412545</v>
      </c>
      <c r="K2" s="12" t="s">
        <v>402</v>
      </c>
      <c r="L2" s="12" t="s">
        <v>403</v>
      </c>
      <c r="M2" s="13">
        <v>249000</v>
      </c>
      <c r="N2" s="14" t="s">
        <v>385</v>
      </c>
      <c r="O2" s="15">
        <v>159000</v>
      </c>
      <c r="P2" s="16" t="s">
        <v>386</v>
      </c>
    </row>
    <row r="3" spans="1:16">
      <c r="A3" s="7" t="s">
        <v>401</v>
      </c>
      <c r="B3" s="8">
        <v>46093</v>
      </c>
      <c r="C3" s="8">
        <v>46098</v>
      </c>
      <c r="D3" s="7">
        <v>3302</v>
      </c>
      <c r="E3" s="7">
        <v>340</v>
      </c>
      <c r="F3" s="7">
        <v>6</v>
      </c>
      <c r="G3" s="7">
        <v>5</v>
      </c>
      <c r="H3" s="7">
        <v>81830</v>
      </c>
      <c r="I3" s="11" t="s">
        <v>72</v>
      </c>
      <c r="J3" s="12">
        <v>54412554</v>
      </c>
      <c r="K3" s="12" t="s">
        <v>402</v>
      </c>
      <c r="L3" s="12" t="s">
        <v>403</v>
      </c>
      <c r="M3" s="13">
        <v>249000</v>
      </c>
      <c r="N3" s="14" t="s">
        <v>385</v>
      </c>
      <c r="O3" s="15">
        <v>159000</v>
      </c>
      <c r="P3" s="16" t="s">
        <v>386</v>
      </c>
    </row>
    <row r="4" spans="1:16">
      <c r="A4" s="7" t="s">
        <v>401</v>
      </c>
      <c r="B4" s="8">
        <v>46093</v>
      </c>
      <c r="C4" s="8">
        <v>46098</v>
      </c>
      <c r="D4" s="7">
        <v>3302</v>
      </c>
      <c r="E4" s="7">
        <v>340</v>
      </c>
      <c r="F4" s="7">
        <v>6</v>
      </c>
      <c r="G4" s="7">
        <v>5</v>
      </c>
      <c r="H4" s="7">
        <v>81830</v>
      </c>
      <c r="I4" s="11" t="s">
        <v>72</v>
      </c>
      <c r="J4" s="12">
        <v>54412563</v>
      </c>
      <c r="K4" s="12" t="s">
        <v>402</v>
      </c>
      <c r="L4" s="12" t="s">
        <v>404</v>
      </c>
      <c r="M4" s="13">
        <v>249000</v>
      </c>
      <c r="N4" s="14" t="s">
        <v>385</v>
      </c>
      <c r="O4" s="15">
        <v>159000</v>
      </c>
      <c r="P4" s="16" t="s">
        <v>386</v>
      </c>
    </row>
    <row r="5" spans="1:16">
      <c r="A5" s="7" t="s">
        <v>401</v>
      </c>
      <c r="B5" s="8">
        <v>46093</v>
      </c>
      <c r="C5" s="8">
        <v>46098</v>
      </c>
      <c r="D5" s="7">
        <v>3302</v>
      </c>
      <c r="E5" s="7">
        <v>340</v>
      </c>
      <c r="F5" s="7">
        <v>6</v>
      </c>
      <c r="G5" s="7">
        <v>5</v>
      </c>
      <c r="H5" s="7">
        <v>81830</v>
      </c>
      <c r="I5" s="11" t="s">
        <v>72</v>
      </c>
      <c r="J5" s="12">
        <v>55242932</v>
      </c>
      <c r="K5" s="12" t="s">
        <v>402</v>
      </c>
      <c r="L5" s="12" t="s">
        <v>405</v>
      </c>
      <c r="M5" s="13">
        <v>249000</v>
      </c>
      <c r="N5" s="14" t="s">
        <v>385</v>
      </c>
      <c r="O5" s="15">
        <v>159000</v>
      </c>
      <c r="P5" s="16" t="s">
        <v>386</v>
      </c>
    </row>
  </sheetData>
  <autoFilter xmlns:etc="http://www.wps.cn/officeDocument/2017/etCustomData" ref="A1:P5" etc:filterBottomFollowUsedRange="0">
    <sortState ref="A1:P5">
      <sortCondition ref="A1:A23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tabSelected="1" zoomScale="55" zoomScaleNormal="55" workbookViewId="0">
      <selection activeCell="C2" sqref="C2:C9"/>
    </sheetView>
  </sheetViews>
  <sheetFormatPr defaultColWidth="8.72727272727273" defaultRowHeight="14.5"/>
  <cols>
    <col min="1" max="1" width="28.1818181818182" style="1" customWidth="1"/>
    <col min="2" max="2" width="11.4545454545455" style="2" customWidth="1"/>
    <col min="3" max="3" width="10.4545454545455" style="2" customWidth="1"/>
    <col min="4" max="4" width="10" style="1" customWidth="1"/>
    <col min="5" max="8" width="9.21818181818182" style="1" customWidth="1"/>
    <col min="9" max="9" width="12" style="1" customWidth="1"/>
    <col min="10" max="10" width="9.18181818181818" style="1" customWidth="1"/>
    <col min="11" max="11" width="13.6363636363636" style="1" customWidth="1"/>
    <col min="12" max="12" width="70.1181818181818" style="1" customWidth="1"/>
    <col min="13" max="13" width="15.0545454545455" style="3" customWidth="1"/>
    <col min="14" max="14" width="12.4545454545455" style="4" customWidth="1"/>
    <col min="15" max="15" width="16.6272727272727" style="3" customWidth="1"/>
    <col min="16" max="16" width="13.6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9" t="s">
        <v>12</v>
      </c>
      <c r="N1" s="10" t="s">
        <v>13</v>
      </c>
      <c r="O1" s="9" t="s">
        <v>14</v>
      </c>
      <c r="P1" s="5" t="s">
        <v>15</v>
      </c>
    </row>
    <row r="2" spans="1:16">
      <c r="A2" s="7" t="s">
        <v>406</v>
      </c>
      <c r="B2" s="8">
        <v>46093</v>
      </c>
      <c r="C2" s="8">
        <v>46098</v>
      </c>
      <c r="D2" s="7">
        <v>3302</v>
      </c>
      <c r="E2" s="7">
        <v>340</v>
      </c>
      <c r="F2" s="7">
        <v>6</v>
      </c>
      <c r="G2" s="7">
        <v>5</v>
      </c>
      <c r="H2" s="7">
        <v>81830</v>
      </c>
      <c r="I2" s="11" t="s">
        <v>72</v>
      </c>
      <c r="J2" s="12">
        <v>54412483</v>
      </c>
      <c r="K2" s="12" t="s">
        <v>407</v>
      </c>
      <c r="L2" s="12" t="s">
        <v>408</v>
      </c>
      <c r="M2" s="13">
        <v>329000</v>
      </c>
      <c r="N2" s="14" t="s">
        <v>385</v>
      </c>
      <c r="O2" s="15">
        <v>199000</v>
      </c>
      <c r="P2" s="16" t="s">
        <v>386</v>
      </c>
    </row>
    <row r="3" spans="1:16">
      <c r="A3" s="7" t="s">
        <v>406</v>
      </c>
      <c r="B3" s="8">
        <v>46093</v>
      </c>
      <c r="C3" s="8">
        <v>46098</v>
      </c>
      <c r="D3" s="7">
        <v>3302</v>
      </c>
      <c r="E3" s="7">
        <v>340</v>
      </c>
      <c r="F3" s="7">
        <v>6</v>
      </c>
      <c r="G3" s="7">
        <v>5</v>
      </c>
      <c r="H3" s="7">
        <v>81830</v>
      </c>
      <c r="I3" s="11" t="s">
        <v>72</v>
      </c>
      <c r="J3" s="12">
        <v>54412492</v>
      </c>
      <c r="K3" s="12" t="s">
        <v>407</v>
      </c>
      <c r="L3" s="12" t="s">
        <v>408</v>
      </c>
      <c r="M3" s="13">
        <v>329000</v>
      </c>
      <c r="N3" s="14" t="s">
        <v>385</v>
      </c>
      <c r="O3" s="15">
        <v>199000</v>
      </c>
      <c r="P3" s="16" t="s">
        <v>386</v>
      </c>
    </row>
    <row r="4" spans="1:16">
      <c r="A4" s="7" t="s">
        <v>406</v>
      </c>
      <c r="B4" s="8">
        <v>46093</v>
      </c>
      <c r="C4" s="8">
        <v>46098</v>
      </c>
      <c r="D4" s="7">
        <v>3302</v>
      </c>
      <c r="E4" s="7">
        <v>340</v>
      </c>
      <c r="F4" s="7">
        <v>6</v>
      </c>
      <c r="G4" s="7">
        <v>5</v>
      </c>
      <c r="H4" s="7">
        <v>81830</v>
      </c>
      <c r="I4" s="11" t="s">
        <v>72</v>
      </c>
      <c r="J4" s="12">
        <v>54412509</v>
      </c>
      <c r="K4" s="12" t="s">
        <v>407</v>
      </c>
      <c r="L4" s="12" t="s">
        <v>409</v>
      </c>
      <c r="M4" s="13">
        <v>329000</v>
      </c>
      <c r="N4" s="14" t="s">
        <v>385</v>
      </c>
      <c r="O4" s="15">
        <v>199000</v>
      </c>
      <c r="P4" s="16" t="s">
        <v>386</v>
      </c>
    </row>
    <row r="5" spans="1:16">
      <c r="A5" s="7" t="s">
        <v>406</v>
      </c>
      <c r="B5" s="8">
        <v>46093</v>
      </c>
      <c r="C5" s="8">
        <v>46098</v>
      </c>
      <c r="D5" s="7">
        <v>3302</v>
      </c>
      <c r="E5" s="7">
        <v>340</v>
      </c>
      <c r="F5" s="7">
        <v>6</v>
      </c>
      <c r="G5" s="7">
        <v>5</v>
      </c>
      <c r="H5" s="7">
        <v>81830</v>
      </c>
      <c r="I5" s="11" t="s">
        <v>72</v>
      </c>
      <c r="J5" s="12">
        <v>54412518</v>
      </c>
      <c r="K5" s="12" t="s">
        <v>410</v>
      </c>
      <c r="L5" s="12" t="s">
        <v>411</v>
      </c>
      <c r="M5" s="13">
        <v>299000</v>
      </c>
      <c r="N5" s="14" t="s">
        <v>385</v>
      </c>
      <c r="O5" s="15">
        <v>199000</v>
      </c>
      <c r="P5" s="16" t="s">
        <v>386</v>
      </c>
    </row>
    <row r="6" spans="1:16">
      <c r="A6" s="7" t="s">
        <v>406</v>
      </c>
      <c r="B6" s="8">
        <v>46093</v>
      </c>
      <c r="C6" s="8">
        <v>46098</v>
      </c>
      <c r="D6" s="7">
        <v>3302</v>
      </c>
      <c r="E6" s="7">
        <v>340</v>
      </c>
      <c r="F6" s="7">
        <v>6</v>
      </c>
      <c r="G6" s="7">
        <v>5</v>
      </c>
      <c r="H6" s="7">
        <v>81830</v>
      </c>
      <c r="I6" s="11" t="s">
        <v>72</v>
      </c>
      <c r="J6" s="12">
        <v>54412527</v>
      </c>
      <c r="K6" s="12" t="s">
        <v>410</v>
      </c>
      <c r="L6" s="12" t="s">
        <v>411</v>
      </c>
      <c r="M6" s="13">
        <v>299000</v>
      </c>
      <c r="N6" s="14" t="s">
        <v>385</v>
      </c>
      <c r="O6" s="15">
        <v>199000</v>
      </c>
      <c r="P6" s="16" t="s">
        <v>386</v>
      </c>
    </row>
    <row r="7" spans="1:16">
      <c r="A7" s="7" t="s">
        <v>406</v>
      </c>
      <c r="B7" s="8">
        <v>46093</v>
      </c>
      <c r="C7" s="8">
        <v>46098</v>
      </c>
      <c r="D7" s="7">
        <v>3302</v>
      </c>
      <c r="E7" s="7">
        <v>340</v>
      </c>
      <c r="F7" s="7">
        <v>6</v>
      </c>
      <c r="G7" s="7">
        <v>5</v>
      </c>
      <c r="H7" s="7">
        <v>81830</v>
      </c>
      <c r="I7" s="11" t="s">
        <v>72</v>
      </c>
      <c r="J7" s="12">
        <v>54412536</v>
      </c>
      <c r="K7" s="12" t="s">
        <v>410</v>
      </c>
      <c r="L7" s="12" t="s">
        <v>412</v>
      </c>
      <c r="M7" s="13">
        <v>299000</v>
      </c>
      <c r="N7" s="14" t="s">
        <v>385</v>
      </c>
      <c r="O7" s="15">
        <v>199000</v>
      </c>
      <c r="P7" s="16" t="s">
        <v>386</v>
      </c>
    </row>
    <row r="8" spans="1:16">
      <c r="A8" s="7" t="s">
        <v>406</v>
      </c>
      <c r="B8" s="8">
        <v>46093</v>
      </c>
      <c r="C8" s="8">
        <v>46098</v>
      </c>
      <c r="D8" s="7">
        <v>3302</v>
      </c>
      <c r="E8" s="7">
        <v>340</v>
      </c>
      <c r="F8" s="7">
        <v>6</v>
      </c>
      <c r="G8" s="7">
        <v>5</v>
      </c>
      <c r="H8" s="7">
        <v>81830</v>
      </c>
      <c r="I8" s="11" t="s">
        <v>72</v>
      </c>
      <c r="J8" s="12">
        <v>55242914</v>
      </c>
      <c r="K8" s="12" t="s">
        <v>407</v>
      </c>
      <c r="L8" s="12" t="s">
        <v>413</v>
      </c>
      <c r="M8" s="13">
        <v>299000</v>
      </c>
      <c r="N8" s="14" t="s">
        <v>385</v>
      </c>
      <c r="O8" s="15">
        <v>199000</v>
      </c>
      <c r="P8" s="16" t="s">
        <v>386</v>
      </c>
    </row>
    <row r="9" spans="1:16">
      <c r="A9" s="7" t="s">
        <v>406</v>
      </c>
      <c r="B9" s="8">
        <v>46093</v>
      </c>
      <c r="C9" s="8">
        <v>46098</v>
      </c>
      <c r="D9" s="7">
        <v>3302</v>
      </c>
      <c r="E9" s="7">
        <v>340</v>
      </c>
      <c r="F9" s="7">
        <v>6</v>
      </c>
      <c r="G9" s="7">
        <v>5</v>
      </c>
      <c r="H9" s="7">
        <v>81830</v>
      </c>
      <c r="I9" s="11" t="s">
        <v>72</v>
      </c>
      <c r="J9" s="12">
        <v>55242923</v>
      </c>
      <c r="K9" s="12" t="s">
        <v>410</v>
      </c>
      <c r="L9" s="12" t="s">
        <v>414</v>
      </c>
      <c r="M9" s="13">
        <v>299000</v>
      </c>
      <c r="N9" s="14" t="s">
        <v>385</v>
      </c>
      <c r="O9" s="15">
        <v>199000</v>
      </c>
      <c r="P9" s="16" t="s">
        <v>386</v>
      </c>
    </row>
  </sheetData>
  <autoFilter xmlns:etc="http://www.wps.cn/officeDocument/2017/etCustomData" ref="A1:P9" etc:filterBottomFollowUsedRange="0">
    <sortState ref="A1:P9">
      <sortCondition ref="A1:A23"/>
    </sortState>
    <extLst/>
  </autoFilter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2019 NEVADA D90</vt:lpstr>
      <vt:lpstr>2020 2021 ST YVES D90</vt:lpstr>
      <vt:lpstr>2020 2021 CONNEXION D90</vt:lpstr>
      <vt:lpstr>2022 ALL D90</vt:lpstr>
      <vt:lpstr>2023 CONNEXION ALL SHEET D90</vt:lpstr>
      <vt:lpstr>2023 H1 H2 ALL D90</vt:lpstr>
      <vt:lpstr>2024 CONNEXION ALL SHEET D70</vt:lpstr>
      <vt:lpstr>2024 DISNEY TOWEL ALL D70</vt:lpstr>
      <vt:lpstr>2024 H2 JAMAS D70</vt:lpstr>
      <vt:lpstr>2024 CNX DISCONTINUE D50</vt:lpstr>
      <vt:lpstr>2024 SPORTTWL REG B1D20 B2G1</vt:lpstr>
      <vt:lpstr>2024 CONNEXION REG B1D20 B2G1</vt:lpstr>
      <vt:lpstr>2025 H2 TOWEL B1D20 B2G1</vt:lpstr>
      <vt:lpstr>2025 BLANKET POLOS B1SP79K</vt:lpstr>
      <vt:lpstr>2025 BLANKET SALUR B1SP99</vt:lpstr>
      <vt:lpstr>2025 PILBOL COVER B1SP59K</vt:lpstr>
      <vt:lpstr>2025 SHEETS B1DP159K</vt:lpstr>
      <vt:lpstr>2025 SHEETS B1DP199K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Casandra Chen</cp:lastModifiedBy>
  <dcterms:created xsi:type="dcterms:W3CDTF">2023-12-06T09:25:00Z</dcterms:created>
  <dcterms:modified xsi:type="dcterms:W3CDTF">2026-03-10T04:11:48Z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A8F897F9363444BB8875F6372A7F45EB_13</vt:lpwstr>
  </property>
  <property fmtid="{D5CDD505-2E9C-101B-9397-08002B2CF9AE}" pid="3" name="KSOProductBuildVer">
    <vt:lpwstr>1033-12.2.0.23196</vt:lpwstr>
  </property>
  <property fmtid="{D5CDD505-2E9C-101B-9397-08002B2CF9AE}" pid="4" name="KSOReadingLayout">
    <vt:bool>true</vt:bool>
  </property>
</Properties>
</file>