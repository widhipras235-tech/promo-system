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903" firstSheet="1" activeTab="7"/>
  </bookViews>
  <sheets>
    <sheet name="2024 APR-JUN D75" sheetId="30" r:id="rId1"/>
    <sheet name="2024 JAN-MAR D75" sheetId="26" r:id="rId2"/>
    <sheet name="2023 H2 D90" sheetId="23" r:id="rId3"/>
    <sheet name="2023 H1 D90" sheetId="29" r:id="rId4"/>
    <sheet name="2022 D90" sheetId="8" r:id="rId5"/>
    <sheet name="2021 - 2019 D90 LITTLE M" sheetId="33" r:id="rId6"/>
    <sheet name="2021 - 2019 D90 NEVADA" sheetId="32" r:id="rId7"/>
    <sheet name="2021 - 2019 D90 TRACKER" sheetId="9" r:id="rId8"/>
  </sheets>
  <definedNames>
    <definedName name="_xlnm._FilterDatabase" localSheetId="5" hidden="1">'2021 - 2019 D90 LITTLE M'!$A$1:$P$4</definedName>
    <definedName name="_xlnm._FilterDatabase" localSheetId="6" hidden="1">'2021 - 2019 D90 NEVADA'!$A$1:$P$17</definedName>
    <definedName name="_xlnm._FilterDatabase" localSheetId="7" hidden="1">'2021 - 2019 D90 TRACKER'!$A$1:$P$1</definedName>
    <definedName name="_xlnm._FilterDatabase" localSheetId="4" hidden="1">'2022 D90'!$A$1:$P$1</definedName>
    <definedName name="_xlnm._FilterDatabase" localSheetId="3" hidden="1">'2023 H1 D90'!$A$1:$P$1</definedName>
    <definedName name="_xlnm._FilterDatabase" localSheetId="2" hidden="1">'2023 H2 D90'!$A$1:$P$1</definedName>
    <definedName name="_xlnm._FilterDatabase" localSheetId="0" hidden="1">'2024 APR-JUN D75'!$A$1:$P$1</definedName>
    <definedName name="_xlnm._FilterDatabase" localSheetId="1" hidden="1">'2024 JAN-MAR D75'!$A$1:$P$1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<sst xmlns="http://schemas.openxmlformats.org/spreadsheetml/2006/main" count="908" uniqueCount="308">
  <si>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</si>
  <si>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</si>
  <si>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</si>
  <si>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</si>
  <si>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</si>
  <si>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</si>
  <si>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</si>
  <si>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</si>
  <si>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</si>
  <si>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</si>
  <si>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</si>
  <si>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</si>
  <si>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</si>
  <si>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</si>
  <si>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</si>
  <si>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</si>
  <si>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2024 APR-JUN D75</t>
  </si>
  <si>
    <t>NEVADA</t>
  </si>
  <si>
    <t>2325NW</t>
  </si>
  <si>
    <t>BACKPACK 2325NW:FROST GREY:F:SOLID:BACKPACK</t>
  </si>
  <si>
    <t>PERCENTAGE</t>
  </si>
  <si>
    <t>2327NW</t>
  </si>
  <si>
    <t>BACKPACK 2327NW:BLACK:F:SOLID:BACKPACK</t>
  </si>
  <si>
    <t>OFF243</t>
  </si>
  <si>
    <t>BACKPACK OFF243:CHARCOAL:F:SOLID:BACKPACK</t>
  </si>
  <si>
    <t>2425</t>
  </si>
  <si>
    <t>BACKPACK 2425:BLACK:F:SOLID:BACKPACK</t>
  </si>
  <si>
    <t>BACKPACK 2425:CACTUS GREEN:F:SOLID:BACKPACK</t>
  </si>
  <si>
    <t>2421</t>
  </si>
  <si>
    <t>BACKPACK 2421:BLACK:F:SOLID:BACKPACK</t>
  </si>
  <si>
    <t>BACKPACK 2421:CACTUS GREEN:F:SOLID:BACKPACK</t>
  </si>
  <si>
    <t>2433</t>
  </si>
  <si>
    <t>BACKPACK 2433:BLACK:F:SOLID:BACKPACK</t>
  </si>
  <si>
    <t>BACKPACK 2433:CHARCOAL:F:SOLID:BACKPACK</t>
  </si>
  <si>
    <t>BACKPACK 2433:NAVY BLUE:F:SOLID:BACKPACK</t>
  </si>
  <si>
    <t>2402</t>
  </si>
  <si>
    <t>BACKPACK 2402:BLACK:F:SOLID:BACKPACK</t>
  </si>
  <si>
    <t>BACKPACK 2402:CHARCOAL:F:SOLID:BACKPACK</t>
  </si>
  <si>
    <t>2404</t>
  </si>
  <si>
    <t>BACKPACK 2404:BLACK:F:SOLID:BACKPACK</t>
  </si>
  <si>
    <t>BACKPACK 2404:NAVY BLUE:F:SOLID:BACKPACK</t>
  </si>
  <si>
    <t>2401</t>
  </si>
  <si>
    <t>BACKPACK 2401:BLACK:F:SOLID:BACKPACK</t>
  </si>
  <si>
    <t>BACKPACK 2401:CHARCOAL:F:SOLID:BACKPACK</t>
  </si>
  <si>
    <t>BACKPACK 2401:NAVY BLUE:F:SOLID:BACKPACK</t>
  </si>
  <si>
    <t>BACKPACK 2425:CHARCOAL:F:SOLID:BACKPACK</t>
  </si>
  <si>
    <t>BACKPACK 2425:NAVY BLUE:F:SOLID:BACKPACK</t>
  </si>
  <si>
    <t>BACKPACK 2421:CHARCOAL:F:SOLID:BACKPACK</t>
  </si>
  <si>
    <t>BACKPACK 2421:NAVY BLUE:F:SOLID:BACKPACK</t>
  </si>
  <si>
    <t>2024 JAN-MAR D75</t>
  </si>
  <si>
    <t>TSO2340</t>
  </si>
  <si>
    <t>BACKPACK NEVADA TSO2340:NAVY BLUE:F:SOLID:BACKPACK</t>
  </si>
  <si>
    <t>BACKPACK NEVADA TSO2340:FROST GREY:F:SOLID:BACKPACK</t>
  </si>
  <si>
    <t>FOLDBP</t>
  </si>
  <si>
    <t>BACKPACK FOLDED TRAVEL FOLDBP:FROST GREY:F:SOLID:BACKPACK</t>
  </si>
  <si>
    <t>BACKPACK FOLDED TRAVEL FOLDBP:BLACK:F:SOLID:BACKPACK</t>
  </si>
  <si>
    <t>TSO2325</t>
  </si>
  <si>
    <t>BACKPACK NEVADA TSO2325:BLACK:F:SOLID:BACKPACK</t>
  </si>
  <si>
    <t>TSO2341</t>
  </si>
  <si>
    <t>BACKPACK NEVADA TSO2341:BLACK:F:SOLID:BACKPACK</t>
  </si>
  <si>
    <t>OFF241</t>
  </si>
  <si>
    <t>BACKPACK OFF241:BLACK:F:SOLID:BACKPACK</t>
  </si>
  <si>
    <t>OFF242</t>
  </si>
  <si>
    <t>BACKPACK OFF242:BLACK:F:SOLID:BACKPACK</t>
  </si>
  <si>
    <t>TSO2321</t>
  </si>
  <si>
    <t>BACKPACK NEVADA TSO2321:MUSTARD:F:SOLID:BACKPACK</t>
  </si>
  <si>
    <t>TSO2322</t>
  </si>
  <si>
    <t>BACKPACK NEVADA TSO2322:JADE:F:SOLID:BACKPACK</t>
  </si>
  <si>
    <t>TSO2309</t>
  </si>
  <si>
    <t>BACKPACK NEVADA TSO2309:AQUA:F:SOLID:BACKPACK</t>
  </si>
  <si>
    <t>TSO2339</t>
  </si>
  <si>
    <t>BACKPACK NEVADA TSO2339:FROST GREY:F:SOLID:BACKPACK</t>
  </si>
  <si>
    <t>TSO2344</t>
  </si>
  <si>
    <t>BACKPACK NEVADA TSO2344:NAVY BLUE:F:SOLID:BACKPACK</t>
  </si>
  <si>
    <t>2023 H2 D90</t>
  </si>
  <si>
    <t>TSO2323</t>
  </si>
  <si>
    <t>BACKPACK NEVADA TSO2323:AQUA:F:SOLID:BACKPACK</t>
  </si>
  <si>
    <t>TSO2310</t>
  </si>
  <si>
    <t>BACKPACK NEVADA TSO2310:FROST GREY:F:SOLID:BACKPACK</t>
  </si>
  <si>
    <t>BACKPACK NEVADA TSO2310:NAVY BLUE:F:SOLID:BACKPACK</t>
  </si>
  <si>
    <t>TSO2312</t>
  </si>
  <si>
    <t>BACKPACK NEVADA TSO2312:BLACK:F:SOLID:BACKPACK</t>
  </si>
  <si>
    <t>2023 H1 D90</t>
  </si>
  <si>
    <t>TSO 3127</t>
  </si>
  <si>
    <t>BACKPACK NEVADA TSO 3127:BLACK:F:SOLID:BACKPACK</t>
  </si>
  <si>
    <t>TSO 3137</t>
  </si>
  <si>
    <t>BACKPACK NEVADA TSO 3137:MAROON:F:SOLID:BACKPACK</t>
  </si>
  <si>
    <t>TSO 3167</t>
  </si>
  <si>
    <t>BACKPACK NEVADA TSO 3167:FROST GREY:F:SOLID:BACKPACK</t>
  </si>
  <si>
    <t>TSO 3143</t>
  </si>
  <si>
    <t>BACKPACK NEVADA TSO 3143:BLACK:F:SOLID:BACKPACK</t>
  </si>
  <si>
    <t>TSO 3146</t>
  </si>
  <si>
    <t>BACKPACK NEVADA TSO 3146:BLACK:F:SOLID:BACKPACK</t>
  </si>
  <si>
    <t>TSO 3163</t>
  </si>
  <si>
    <t>BACKPACK NEVADA TSO 3163:NAVY BLUE:F:SOLID:BACKPACK</t>
  </si>
  <si>
    <t>TSO 3166</t>
  </si>
  <si>
    <t>BACKPACK NEVADA TSO 3166:NAVY BLUE:F:SOLID:BACKPACK</t>
  </si>
  <si>
    <t>TSO 3164</t>
  </si>
  <si>
    <t>BACKPACK NEVADA TSO 3164:BLACK:F:SOLID:BACKPACK</t>
  </si>
  <si>
    <t>TSO 3168</t>
  </si>
  <si>
    <t>BACKPACK NEVADA TSO 3168:KHAKI:F:SOLID:BACKPACK</t>
  </si>
  <si>
    <t>TSO 3162</t>
  </si>
  <si>
    <t>BACKPACK NEVADA TSO 3162:NAVY BLUE:F:SOLID:BACKPACK</t>
  </si>
  <si>
    <t>TSO2301</t>
  </si>
  <si>
    <t>BACKPACK NEVADA TSO2301:PASTEL GREEN:F:SOLID:BACKPACK</t>
  </si>
  <si>
    <t>TSO2307</t>
  </si>
  <si>
    <t>BACKPACK NEVADA TSO2307:ASSORTIVE COLOR:F:SOLID:BACKPACK</t>
  </si>
  <si>
    <t>TSO2302</t>
  </si>
  <si>
    <t>BACKPACK NEVADA TSO2302:RUSTIC BROWN:F:SOLID:BACKPACK</t>
  </si>
  <si>
    <t>TSO2303</t>
  </si>
  <si>
    <t>BACKPACK NEVADA TSO2303:GRASS GREEN:F:SOLID:BACKPACK</t>
  </si>
  <si>
    <t>TSO2304</t>
  </si>
  <si>
    <t>BACKPACK NEVADA TSO2304:NAVY BLUE:F:SOLID:BACKPACK</t>
  </si>
  <si>
    <t>TSO2308</t>
  </si>
  <si>
    <t>BACKPACK NEVADA TSO2308:ASSORTIVE COLOR:F:SOLID:BACKPACK</t>
  </si>
  <si>
    <t>TSO3180</t>
  </si>
  <si>
    <t>BACKPACK NEVADA TSO3180:BLACK:F:SOLID:BACKPACK</t>
  </si>
  <si>
    <t>TSO3181</t>
  </si>
  <si>
    <t>BACKPACK NEVADA TSO3181:KHAKI:F:SOLID:BACKPACK</t>
  </si>
  <si>
    <t>TSO3182</t>
  </si>
  <si>
    <t>BACKPACK NEVADA TSO3182:FROST GREY:F:SOLID:BACKPACK</t>
  </si>
  <si>
    <t>TSO3165</t>
  </si>
  <si>
    <t>BACKPACK NEVADA TSO3165:BLACK:F:SOLID:BACKPACK</t>
  </si>
  <si>
    <t>TSO2311</t>
  </si>
  <si>
    <t>BACKPACK NEVADA TSO2311:FROST GREY:F:SOLID:BACKPACK</t>
  </si>
  <si>
    <t>TSO2314</t>
  </si>
  <si>
    <t>BACKPACK NEVADA TSO2314:FROST GREY:F:SOLID:BACKPACK</t>
  </si>
  <si>
    <t>TSO2337-M</t>
  </si>
  <si>
    <t>BACKPACK NEVADA TSO2337-M:BLACK:F:SOLID:BACKPACK</t>
  </si>
  <si>
    <t>TSO2338-M</t>
  </si>
  <si>
    <t>BACKPACK NEVADA TSO2338-M:BLACK:F:SOLID:BACKPACK</t>
  </si>
  <si>
    <t>TSO2343</t>
  </si>
  <si>
    <t>BACKPACK NEVADA TSO2343:FROST GREY:F:SOLID:BACKPACK</t>
  </si>
  <si>
    <t>BACKPACK NEVADA TSO2343:KHAKI:F:SOLID:BACKPACK</t>
  </si>
  <si>
    <t>TSO2330</t>
  </si>
  <si>
    <t>BACKPACK NEVADA TSO2330:BLACK:F:SOLID:BACKPACK</t>
  </si>
  <si>
    <t>BACKPACK NEVADA TSO2330:RUSTIC ORANGE:F:SOLID:BACKPACK</t>
  </si>
  <si>
    <t>MESBAG1</t>
  </si>
  <si>
    <t>BACKPACK NEVADA MESBAG1:KHAKI:F:SOLID:BACKPACK</t>
  </si>
  <si>
    <t>MESBAG2</t>
  </si>
  <si>
    <t>BACKPACK NEVADA MESBAG2:PASTEL GREEN:F:SOLID:BACKPACK</t>
  </si>
  <si>
    <t>OFFBP1</t>
  </si>
  <si>
    <t>BACKPACK NEVADA OFFBP1:BLACK:F:SOLID:BACKPACK</t>
  </si>
  <si>
    <t>OFFBP2</t>
  </si>
  <si>
    <t>BACKPACK NEVADA OFFBP2:NAVY BLUE:F:SOLID:BACKPACK</t>
  </si>
  <si>
    <t>BACKPACK NEVADA TSO2321:RUSTIC ORANGE:F:SOLID:BACKPACK</t>
  </si>
  <si>
    <t>BACKPACK NEVADA TSO2321:JADE:F:SOLID:BACKPACK</t>
  </si>
  <si>
    <t>BACKPACK NEVADA TSO2325:CLASSIC BLUE:F:SOLID:BACKPACK</t>
  </si>
  <si>
    <t>BACKPACK NEVADA TSO2325:FROST GREY:F:SOLID:BACKPACK</t>
  </si>
  <si>
    <t>TSO2327</t>
  </si>
  <si>
    <t>BACKPACK NEVADA TSO2327:BLACK:F:SOLID:BACKPACK</t>
  </si>
  <si>
    <t>BACKPACK NEVADA TSO2327:NAVY BLUE:F:SOLID:BACKPACK</t>
  </si>
  <si>
    <t>BACKPACK NEVADA TSO2327:FROST GREY:F:SOLID:BACKPACK</t>
  </si>
  <si>
    <t>TSO2319</t>
  </si>
  <si>
    <t>BACKPACK NEVADA TSO2319:BLACK:F:SOLID:BACKPACK</t>
  </si>
  <si>
    <t>TSO2313</t>
  </si>
  <si>
    <t>BACKPACK NEVADA TSO2313:BLACK:F:SOLID:BACKPACK</t>
  </si>
  <si>
    <t>TSO2331</t>
  </si>
  <si>
    <t>BACKPACK NEVADA TSO2331:JADE:F:SOLID:BACKPACK</t>
  </si>
  <si>
    <t>BACKPACK NEVADA TSO2331:BLACK:F:SOLID:BACKPACK</t>
  </si>
  <si>
    <t>TSO2333</t>
  </si>
  <si>
    <t>BACKPACK NEVADA TSO2333:RUSTIC ORANGE:F:SOLID:BACKPACK</t>
  </si>
  <si>
    <t>BACKPACK NEVADA TSO2333:FROST GREY:F:SOLID:BACKPACK</t>
  </si>
  <si>
    <t>BACKPACK NEVADA TSO2339:JADE:F:SOLID:BACKPACK</t>
  </si>
  <si>
    <t>BACKPACK NEVADA OFFBP2:BLACK:F:SOLID:BACKPACK</t>
  </si>
  <si>
    <t>TSO2320</t>
  </si>
  <si>
    <t>BACKPACK NEVADA TSO2320:BLACK:F:SOLID:BACKPACK</t>
  </si>
  <si>
    <t>2022 D90</t>
  </si>
  <si>
    <t>BPBSC2</t>
  </si>
  <si>
    <t>BACKPACK NEVADA MEN  BPBSC2:NAVY BLUE:F:SOLID:BACKPACK</t>
  </si>
  <si>
    <t>BPBSC3</t>
  </si>
  <si>
    <t>BACKPACK NEVADA MEN  BPBSC3:FROST GREY:F:SOLID:BACKPACK</t>
  </si>
  <si>
    <t>BPBSC4</t>
  </si>
  <si>
    <t>BACKPACK NEVADA MEN  BPBSC4:BLACK:F:SOLID:BACKPACK</t>
  </si>
  <si>
    <t>BACKPACK NEVADA MEN  BPBSC4:FROST GREY:F:SOLID:BACKPACK</t>
  </si>
  <si>
    <t>TAZ01</t>
  </si>
  <si>
    <t>BACKPACK NEVADA TAZ01:BLACK:F:SOLID:BACKPACK</t>
  </si>
  <si>
    <t>BACKPACK NEVADA TAZ01:CLASSIC PURPLE:F:SOLID:BACKPACK</t>
  </si>
  <si>
    <t>TAZ02</t>
  </si>
  <si>
    <t>BACKPACK NEVADA TAZ02:CLASSIC BLUE:F:SOLID:BACKPACK</t>
  </si>
  <si>
    <t>ASO7255</t>
  </si>
  <si>
    <t>BACKPACK NEVADA ASO7255:NAVY BLUE:F:SOLID:BACKPACK</t>
  </si>
  <si>
    <t>TSO3153</t>
  </si>
  <si>
    <t>BACKPACK NEVADA TSO3153:BLACK:F:TEXT:BACKPACK</t>
  </si>
  <si>
    <t>BACKPACK NEVADA TSO3153:KHAKI:F:TEXT:BACKPACK</t>
  </si>
  <si>
    <t>TSO3116</t>
  </si>
  <si>
    <t>BACKPACK NEVADA TSO3116:FROST GREY:F:SOLID:BACKPACK</t>
  </si>
  <si>
    <t>BACKPACK NEVADA TSO3116:CLASSIC RED:F:SOLID:BACKPACK</t>
  </si>
  <si>
    <t>TSO3151</t>
  </si>
  <si>
    <t>BACKPACK NEVADA TSO3151:FROST GREY:F:SOLID:BACKPACK</t>
  </si>
  <si>
    <t>TSO3136</t>
  </si>
  <si>
    <t>BACKPACK NEVADA TSO3136:BLACK:F:SOLID:BACKPACK</t>
  </si>
  <si>
    <t>TSO3138</t>
  </si>
  <si>
    <t>BACKPACK NEVADA TSO3138:NAVY BLUE:F:SOLID:BACKPACK</t>
  </si>
  <si>
    <t>TSO3157</t>
  </si>
  <si>
    <t>BACKPACK NEVADA TSO3157:BLACK:F:SOLID:BACKPACK</t>
  </si>
  <si>
    <t>TSO3111</t>
  </si>
  <si>
    <t>BACKPACK NEVADA TSO3111:BLACK:F:SOLID:BACKPACK</t>
  </si>
  <si>
    <t>TSO3112</t>
  </si>
  <si>
    <t>BACKPACK NEVADA TSO3112:MAROON:F:SOLID:BACKPACK</t>
  </si>
  <si>
    <t>TSO3117</t>
  </si>
  <si>
    <t>BACKPACK NEVADA TSO3117:NAVY BLUE:F:SOLID:BACKPACK</t>
  </si>
  <si>
    <t>TSO3118</t>
  </si>
  <si>
    <t>BACKPACK NEVADA TSO3118:BLACK:F:SOLID:BACKPACK</t>
  </si>
  <si>
    <t>TSO3129</t>
  </si>
  <si>
    <t>BACKPACK NEVADA TSO3129:FROST GREY:F:SOLID:BACKPACK</t>
  </si>
  <si>
    <t>TSO3113</t>
  </si>
  <si>
    <t>BACKPACK NEVADA PRINTED TSO3113:CLASSIC BLUE:F:PRINT:BACKPACK</t>
  </si>
  <si>
    <t>TSO3140</t>
  </si>
  <si>
    <t>BACKPACK NEVADA TSO3140:KHAKI:F:SOLID:BACKPACK</t>
  </si>
  <si>
    <t>TSO3109</t>
  </si>
  <si>
    <t>BACKPACK NEVADA TSO3109:FROST GREY:F:SOLID:BACKPACK</t>
  </si>
  <si>
    <t>TSO3119</t>
  </si>
  <si>
    <t>BACKPACK NEVADA TSO3119:MAROON:F:SOLID:BACKPACK</t>
  </si>
  <si>
    <t>TSO3128</t>
  </si>
  <si>
    <t>BACKPACK NEVADA TSO3128:BLACK:F:SOLID:BACKPACK</t>
  </si>
  <si>
    <t>TSO3108</t>
  </si>
  <si>
    <t>BACKPACK NEVADA TSO3108:BLACK:F:SOLID:BACKPACK</t>
  </si>
  <si>
    <t>TSO3142</t>
  </si>
  <si>
    <t>BACKPACK NEVADA TSO3142:BLACK:F:SOLID:BACKPACK</t>
  </si>
  <si>
    <t>TSO3154</t>
  </si>
  <si>
    <t>BACKPACK NEVADA TSO3154:BLACK:F:SOLID:BACKPACK</t>
  </si>
  <si>
    <t>TSO 3121</t>
  </si>
  <si>
    <t>BACKPACK NEVADA TSO 3121:NAVY BLUE:F:SOLID:BACKPACK</t>
  </si>
  <si>
    <t>TSO 3148</t>
  </si>
  <si>
    <t>BACKPACK NEVADA TSO 3148:FROST GREY:F:SOLID:BACKPACK</t>
  </si>
  <si>
    <t>TSO 3161</t>
  </si>
  <si>
    <t>BACKPACK NEVADA TSO 3161:NAVY BLUE:F:SOLID:BACKPACK</t>
  </si>
  <si>
    <t>TSO 3126</t>
  </si>
  <si>
    <t>BACKPACK NEVADA TSO 3126:BLACK:F:SOLID:BACKPACK</t>
  </si>
  <si>
    <t>AVENGER</t>
  </si>
  <si>
    <t>BACKPACK MARVEL AVENGER:FROST GREY:F:SOLID:BACKPACK</t>
  </si>
  <si>
    <t>MARCOM</t>
  </si>
  <si>
    <t>BACKPACK MARVEL MARCOM:BLACK:F:PRINT:BACKPACK</t>
  </si>
  <si>
    <t>SPIDERMN</t>
  </si>
  <si>
    <t>BACKPACK MARVEL SPIDERMN:NAVY BLUE:F:SOLID:BACKPACK</t>
  </si>
  <si>
    <t>2021 2022 2019 D90</t>
  </si>
  <si>
    <t>LITTLE M</t>
  </si>
  <si>
    <t>LM-481</t>
  </si>
  <si>
    <t>MBP LITTLE DUCK:CLASSIC YELLOW:F</t>
  </si>
  <si>
    <t>LM496</t>
  </si>
  <si>
    <t>BACKPACK MARINE ADVENTURE LM496:NAVY BLUE:F:GRAPHIC:BACKPACK</t>
  </si>
  <si>
    <t>LM 497</t>
  </si>
  <si>
    <t>BACKPACK SBP JIMBO ELEPHANT LM 497:PASTEL BLUE:F:GRAPHIC:BACKPACK</t>
  </si>
  <si>
    <t>2021 2020 2019 D90</t>
  </si>
  <si>
    <t>NVD12A-BL</t>
  </si>
  <si>
    <t>BACKPACK 12L NEVADA NVD12A BLUE:BLACK:12</t>
  </si>
  <si>
    <t>SHB30-NV</t>
  </si>
  <si>
    <t>NEVADA SHOULDER BAG ASL 2230:NAVY BLUE:F</t>
  </si>
  <si>
    <t>SHB30-RE</t>
  </si>
  <si>
    <t>NEVADA SHOULDER BAG ASL 2230:CLASSIC RED:F</t>
  </si>
  <si>
    <t>NV53-BK</t>
  </si>
  <si>
    <t>NEVADA BACKPACK ABP 2753:BLACK:16</t>
  </si>
  <si>
    <t>NV54-BK</t>
  </si>
  <si>
    <t>NEVADA BACKPACK ABP 2754:BLACK:16</t>
  </si>
  <si>
    <t>BPPARIS-GR</t>
  </si>
  <si>
    <t>BACKPACK PRINT PARIS A:CLASSIC GREEN:16</t>
  </si>
  <si>
    <t>BPPARIS-CR</t>
  </si>
  <si>
    <t>BACKPACK PRINT PARIS B:CERAMIC:16</t>
  </si>
  <si>
    <t>BPNVSE14BK</t>
  </si>
  <si>
    <t>BACKPACK NEVADA GIRL SAE75414 BLACK:BLACK:16</t>
  </si>
  <si>
    <t>BPLONDWH</t>
  </si>
  <si>
    <t>BACKPACK PRINT LONDON WHITE:WHITE:16</t>
  </si>
  <si>
    <t>MAGIC01NV</t>
  </si>
  <si>
    <t>BACKPACK NEVADA M70084 MAGIC GOLD 0.1:NAVY BLUE:10</t>
  </si>
  <si>
    <t>MAGIC03TO</t>
  </si>
  <si>
    <t>BACKPACK NEVADA M70086 MAGIC GOLD 0.3:TURQUOISE:16</t>
  </si>
  <si>
    <t>PSB-BEAR-LH</t>
  </si>
  <si>
    <t>PLUSH BEAR SCHOOL BAG FOR KIDS:BUBBLEGUM PINK:F</t>
  </si>
  <si>
    <t>PSB-APE-LH</t>
  </si>
  <si>
    <t>PLUSH APE SCHOOL BAG FOR KIDS:PASTEL GREEN:F</t>
  </si>
  <si>
    <t>PSB-PENGUIN-LH</t>
  </si>
  <si>
    <t>PLUSH PENGUIN SCHOOL BAG FOR KIDS:PASTEL BLUE:F</t>
  </si>
  <si>
    <t>NVBP50-NV</t>
  </si>
  <si>
    <t>NEVADA BACKPACK ABP 2750:NAVY BLUE:16</t>
  </si>
  <si>
    <t>MB29BK</t>
  </si>
  <si>
    <t>NEVADA MESSENGER BAG ASL 2229:BLACK:F</t>
  </si>
  <si>
    <t>MB29GR</t>
  </si>
  <si>
    <t>NEVADA MESSENGER BAG ASL 2229:CLASSIC GREEN:F</t>
  </si>
  <si>
    <t>MB29NV</t>
  </si>
  <si>
    <t>NEVADA MESSENGER BAG ASL 2229:NAVY BLUE:F</t>
  </si>
  <si>
    <t>TAC79632</t>
  </si>
  <si>
    <t>BACKPACK NEVADA TAC79632:NAVY BLUE:F:TEXT:BACKPACK</t>
  </si>
  <si>
    <t>TAC79631</t>
  </si>
  <si>
    <t>BACKPACK NEVADA TAC79631:BLACK:F:SOLID:BACKPACK</t>
  </si>
  <si>
    <t>SAC75326</t>
  </si>
  <si>
    <t>BACKPACK SEASON 98 SPORT  SAC75326:BLACK:F:SOLID:BACKPACK</t>
  </si>
  <si>
    <t>SAC75337</t>
  </si>
  <si>
    <t>BACKPACK SEASON 98 SPORT  SAC75337:NAVY BLUE:F:SOLID:BACKPACK</t>
  </si>
  <si>
    <t>TAC79629</t>
  </si>
  <si>
    <t>BACKPACK NEVADA TAC79629:NAVY BLUE:F:SOLID:BACKPACK</t>
  </si>
  <si>
    <t>TAC79628</t>
  </si>
  <si>
    <t>BACKPACK NEVADA TAC79628:NAVY BLUE:F:SOLID:BACKPACK</t>
  </si>
  <si>
    <t>BB-6</t>
  </si>
  <si>
    <t>BACKPACK NEVADA MEN BB-6:BLACK:F:SOLID:BACKPACK</t>
  </si>
  <si>
    <t>NVD02X</t>
  </si>
  <si>
    <t>BACKPACK NEVADA NVD02X:CLASSIC BLUE:F:SOLID:BACKPACK</t>
  </si>
  <si>
    <t>SAC75339</t>
  </si>
  <si>
    <t>BACKPACK NEVADA RETRO SPORTY SAC75339:PASTEL BLUE:F:TEXT:BACKPACK</t>
  </si>
  <si>
    <t>BB-3</t>
  </si>
  <si>
    <t>BACKPACK NEVADA MEN BB-3:BLACK:F:SOLID:BACKPACK</t>
  </si>
  <si>
    <t>TRACKER</t>
  </si>
  <si>
    <t>TRJES53BK</t>
  </si>
  <si>
    <t>TAS 1 TALI T40953 JESTHO:BLACK:F</t>
  </si>
  <si>
    <t>TRJES55BK</t>
  </si>
  <si>
    <t>TAS 1 TALI T40955 JESTHO:BLACK:F</t>
  </si>
  <si>
    <t>TRJES57BK</t>
  </si>
  <si>
    <t>TAS 1 TALI T40957 JESTHO:BLACK:F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</si>
</sst>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81" fontId="2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9" fontId="2" fillId="0" borderId="0" xfId="3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81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3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5" zoomScaleNormal="85" workbookViewId="0">
      <pane ySplit="1" topLeftCell="A2" activePane="bottomLeft" state="frozen"/>
      <selection/>
      <selection pane="bottomLeft" activeCell="B2" sqref="B2"/>
    </sheetView>
  </sheetViews>
  <sheetFormatPr defaultColWidth="8.72727272727273" defaultRowHeight="12"/>
  <cols>
    <col min="1" max="1" width="15.5454545454545" style="21" customWidth="1"/>
    <col min="2" max="2" width="10.8181818181818" style="22" customWidth="1"/>
    <col min="3" max="3" width="10.0909090909091" style="22" customWidth="1"/>
    <col min="4" max="4" width="5.18181818181818" style="23" customWidth="1"/>
    <col min="5" max="5" width="7.18181818181818" style="23" customWidth="1"/>
    <col min="6" max="6" width="8.45454545454546" style="23" customWidth="1"/>
    <col min="7" max="7" width="5.72727272727273" style="23" customWidth="1"/>
    <col min="8" max="8" width="8.63636363636364" style="23" customWidth="1"/>
    <col min="9" max="9" width="7.81818181818182" style="23" customWidth="1"/>
    <col min="10" max="10" width="8.81818181818182" style="23" customWidth="1"/>
    <col min="11" max="11" width="8.09090909090909" style="23" customWidth="1"/>
    <col min="12" max="12" width="40.2727272727273" style="23" customWidth="1"/>
    <col min="13" max="13" width="13.7272727272727" style="24" customWidth="1"/>
    <col min="14" max="14" width="6.72727272727273" style="25" customWidth="1"/>
    <col min="15" max="15" width="13" style="24" customWidth="1"/>
    <col min="16" max="16" width="14.1818181818182" style="23" customWidth="1"/>
    <col min="17" max="16384" width="8.72727272727273" style="23"/>
  </cols>
  <sheetData>
    <row r="1" ht="30.75" customHeight="1" spans="1:16">
      <c r="A1" s="26" t="s">
        <v>0</v>
      </c>
      <c r="B1" s="27" t="s">
        <v>1</v>
      </c>
      <c r="C1" s="27" t="s">
        <v>2</v>
      </c>
      <c r="D1" s="26" t="s">
        <v>3</v>
      </c>
      <c r="E1" s="26" t="s">
        <v>4</v>
      </c>
      <c r="F1" s="26" t="s">
        <v>5</v>
      </c>
      <c r="G1" s="28" t="s">
        <v>6</v>
      </c>
      <c r="H1" s="28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9" t="s">
        <v>12</v>
      </c>
      <c r="N1" s="30" t="s">
        <v>13</v>
      </c>
      <c r="O1" s="29" t="s">
        <v>14</v>
      </c>
      <c r="P1" s="26" t="s">
        <v>15</v>
      </c>
    </row>
    <row r="2" customHeight="1" spans="1:16">
      <c r="A2" s="31" t="s">
        <v>16</v>
      </c>
      <c r="B2" s="18">
        <v>46114</v>
      </c>
      <c r="C2" s="18">
        <v>46120</v>
      </c>
      <c r="D2" s="32">
        <v>3324</v>
      </c>
      <c r="E2" s="32">
        <v>341</v>
      </c>
      <c r="F2" s="32">
        <v>6</v>
      </c>
      <c r="G2" s="32">
        <v>1</v>
      </c>
      <c r="H2" s="32">
        <v>81413</v>
      </c>
      <c r="I2" s="32" t="s">
        <v>17</v>
      </c>
      <c r="J2" s="32">
        <v>16128648</v>
      </c>
      <c r="K2" s="32" t="s">
        <v>18</v>
      </c>
      <c r="L2" s="31" t="s">
        <v>19</v>
      </c>
      <c r="M2" s="33">
        <v>299000</v>
      </c>
      <c r="N2" s="34">
        <v>0.75</v>
      </c>
      <c r="O2" s="33">
        <f>M2-(M2*N2)</f>
        <v>74750</v>
      </c>
      <c r="P2" s="32" t="s">
        <v>20</v>
      </c>
    </row>
    <row r="3" customHeight="1" spans="1:16">
      <c r="A3" s="31" t="s">
        <v>16</v>
      </c>
      <c r="B3" s="18">
        <v>46114</v>
      </c>
      <c r="C3" s="18">
        <v>46120</v>
      </c>
      <c r="D3" s="32">
        <v>3324</v>
      </c>
      <c r="E3" s="32">
        <v>341</v>
      </c>
      <c r="F3" s="32">
        <v>6</v>
      </c>
      <c r="G3" s="32">
        <v>1</v>
      </c>
      <c r="H3" s="32">
        <v>81413</v>
      </c>
      <c r="I3" s="32" t="s">
        <v>17</v>
      </c>
      <c r="J3" s="32">
        <v>16128657</v>
      </c>
      <c r="K3" s="32" t="s">
        <v>21</v>
      </c>
      <c r="L3" s="31" t="s">
        <v>22</v>
      </c>
      <c r="M3" s="33">
        <v>299000</v>
      </c>
      <c r="N3" s="34">
        <v>0.75</v>
      </c>
      <c r="O3" s="33">
        <f t="shared" ref="O3:O22" si="0">M3-(M3*N3)</f>
        <v>74750</v>
      </c>
      <c r="P3" s="32" t="s">
        <v>20</v>
      </c>
    </row>
    <row r="4" customHeight="1" spans="1:16">
      <c r="A4" s="31" t="s">
        <v>16</v>
      </c>
      <c r="B4" s="18">
        <v>46114</v>
      </c>
      <c r="C4" s="18">
        <v>46120</v>
      </c>
      <c r="D4" s="32">
        <v>3324</v>
      </c>
      <c r="E4" s="32">
        <v>341</v>
      </c>
      <c r="F4" s="32">
        <v>6</v>
      </c>
      <c r="G4" s="32">
        <v>1</v>
      </c>
      <c r="H4" s="32">
        <v>81413</v>
      </c>
      <c r="I4" s="32" t="s">
        <v>17</v>
      </c>
      <c r="J4" s="32">
        <v>17572871</v>
      </c>
      <c r="K4" s="32" t="s">
        <v>23</v>
      </c>
      <c r="L4" s="31" t="s">
        <v>24</v>
      </c>
      <c r="M4" s="33">
        <v>499000</v>
      </c>
      <c r="N4" s="34">
        <v>0.75</v>
      </c>
      <c r="O4" s="33">
        <f t="shared" si="0"/>
        <v>124750</v>
      </c>
      <c r="P4" s="32" t="s">
        <v>20</v>
      </c>
    </row>
    <row r="5" customHeight="1" spans="1:16">
      <c r="A5" s="31" t="s">
        <v>16</v>
      </c>
      <c r="B5" s="18">
        <v>46114</v>
      </c>
      <c r="C5" s="18">
        <v>46120</v>
      </c>
      <c r="D5" s="32">
        <v>3324</v>
      </c>
      <c r="E5" s="32">
        <v>341</v>
      </c>
      <c r="F5" s="32">
        <v>6</v>
      </c>
      <c r="G5" s="32">
        <v>1</v>
      </c>
      <c r="H5" s="32">
        <v>81413</v>
      </c>
      <c r="I5" s="32" t="s">
        <v>17</v>
      </c>
      <c r="J5" s="32">
        <v>17909632</v>
      </c>
      <c r="K5" s="32" t="s">
        <v>25</v>
      </c>
      <c r="L5" s="31" t="s">
        <v>26</v>
      </c>
      <c r="M5" s="33">
        <v>299000</v>
      </c>
      <c r="N5" s="34">
        <v>0.75</v>
      </c>
      <c r="O5" s="33">
        <f t="shared" si="0"/>
        <v>74750</v>
      </c>
      <c r="P5" s="32" t="s">
        <v>20</v>
      </c>
    </row>
    <row r="6" customHeight="1" spans="1:16">
      <c r="A6" s="31" t="s">
        <v>16</v>
      </c>
      <c r="B6" s="18">
        <v>46114</v>
      </c>
      <c r="C6" s="18">
        <v>46120</v>
      </c>
      <c r="D6" s="32">
        <v>3324</v>
      </c>
      <c r="E6" s="32">
        <v>341</v>
      </c>
      <c r="F6" s="32">
        <v>6</v>
      </c>
      <c r="G6" s="32">
        <v>1</v>
      </c>
      <c r="H6" s="32">
        <v>81413</v>
      </c>
      <c r="I6" s="32" t="s">
        <v>17</v>
      </c>
      <c r="J6" s="32">
        <v>17909641</v>
      </c>
      <c r="K6" s="32" t="s">
        <v>25</v>
      </c>
      <c r="L6" s="31" t="s">
        <v>27</v>
      </c>
      <c r="M6" s="33">
        <v>299000</v>
      </c>
      <c r="N6" s="34">
        <v>0.75</v>
      </c>
      <c r="O6" s="33">
        <f t="shared" si="0"/>
        <v>74750</v>
      </c>
      <c r="P6" s="32" t="s">
        <v>20</v>
      </c>
    </row>
    <row r="7" customHeight="1" spans="1:16">
      <c r="A7" s="31" t="s">
        <v>16</v>
      </c>
      <c r="B7" s="18">
        <v>46114</v>
      </c>
      <c r="C7" s="18">
        <v>46120</v>
      </c>
      <c r="D7" s="32">
        <v>3324</v>
      </c>
      <c r="E7" s="32">
        <v>341</v>
      </c>
      <c r="F7" s="32">
        <v>6</v>
      </c>
      <c r="G7" s="32">
        <v>1</v>
      </c>
      <c r="H7" s="32">
        <v>81413</v>
      </c>
      <c r="I7" s="32" t="s">
        <v>17</v>
      </c>
      <c r="J7" s="32">
        <v>17909650</v>
      </c>
      <c r="K7" s="32" t="s">
        <v>28</v>
      </c>
      <c r="L7" s="31" t="s">
        <v>29</v>
      </c>
      <c r="M7" s="33">
        <v>299000</v>
      </c>
      <c r="N7" s="34">
        <v>0.75</v>
      </c>
      <c r="O7" s="33">
        <f t="shared" si="0"/>
        <v>74750</v>
      </c>
      <c r="P7" s="32" t="s">
        <v>20</v>
      </c>
    </row>
    <row r="8" customHeight="1" spans="1:16">
      <c r="A8" s="31" t="s">
        <v>16</v>
      </c>
      <c r="B8" s="18">
        <v>46114</v>
      </c>
      <c r="C8" s="18">
        <v>46120</v>
      </c>
      <c r="D8" s="32">
        <v>3324</v>
      </c>
      <c r="E8" s="32">
        <v>341</v>
      </c>
      <c r="F8" s="32">
        <v>6</v>
      </c>
      <c r="G8" s="32">
        <v>1</v>
      </c>
      <c r="H8" s="32">
        <v>81413</v>
      </c>
      <c r="I8" s="32" t="s">
        <v>17</v>
      </c>
      <c r="J8" s="32">
        <v>17909669</v>
      </c>
      <c r="K8" s="35" t="s">
        <v>28</v>
      </c>
      <c r="L8" s="31" t="s">
        <v>30</v>
      </c>
      <c r="M8" s="33">
        <v>299000</v>
      </c>
      <c r="N8" s="34">
        <v>0.75</v>
      </c>
      <c r="O8" s="33">
        <f t="shared" si="0"/>
        <v>74750</v>
      </c>
      <c r="P8" s="32" t="s">
        <v>20</v>
      </c>
    </row>
    <row r="9" customHeight="1" spans="1:16">
      <c r="A9" s="31" t="s">
        <v>16</v>
      </c>
      <c r="B9" s="18">
        <v>46114</v>
      </c>
      <c r="C9" s="18">
        <v>46120</v>
      </c>
      <c r="D9" s="32">
        <v>3324</v>
      </c>
      <c r="E9" s="32">
        <v>341</v>
      </c>
      <c r="F9" s="32">
        <v>6</v>
      </c>
      <c r="G9" s="32">
        <v>1</v>
      </c>
      <c r="H9" s="32">
        <v>81413</v>
      </c>
      <c r="I9" s="32" t="s">
        <v>17</v>
      </c>
      <c r="J9" s="32">
        <v>17909678</v>
      </c>
      <c r="K9" s="35" t="s">
        <v>31</v>
      </c>
      <c r="L9" s="31" t="s">
        <v>32</v>
      </c>
      <c r="M9" s="33">
        <v>349000</v>
      </c>
      <c r="N9" s="34">
        <v>0.75</v>
      </c>
      <c r="O9" s="33">
        <f t="shared" si="0"/>
        <v>87250</v>
      </c>
      <c r="P9" s="32" t="s">
        <v>20</v>
      </c>
    </row>
    <row r="10" customHeight="1" spans="1:16">
      <c r="A10" s="31" t="s">
        <v>16</v>
      </c>
      <c r="B10" s="18">
        <v>46114</v>
      </c>
      <c r="C10" s="18">
        <v>46120</v>
      </c>
      <c r="D10" s="32">
        <v>3324</v>
      </c>
      <c r="E10" s="32">
        <v>341</v>
      </c>
      <c r="F10" s="32">
        <v>6</v>
      </c>
      <c r="G10" s="32">
        <v>1</v>
      </c>
      <c r="H10" s="32">
        <v>81413</v>
      </c>
      <c r="I10" s="32" t="s">
        <v>17</v>
      </c>
      <c r="J10" s="32">
        <v>17909687</v>
      </c>
      <c r="K10" s="35" t="s">
        <v>31</v>
      </c>
      <c r="L10" s="31" t="s">
        <v>33</v>
      </c>
      <c r="M10" s="33">
        <v>349000</v>
      </c>
      <c r="N10" s="34">
        <v>0.75</v>
      </c>
      <c r="O10" s="33">
        <f t="shared" si="0"/>
        <v>87250</v>
      </c>
      <c r="P10" s="32" t="s">
        <v>20</v>
      </c>
    </row>
    <row r="11" customHeight="1" spans="1:16">
      <c r="A11" s="31" t="s">
        <v>16</v>
      </c>
      <c r="B11" s="18">
        <v>46114</v>
      </c>
      <c r="C11" s="18">
        <v>46120</v>
      </c>
      <c r="D11" s="32">
        <v>3324</v>
      </c>
      <c r="E11" s="32">
        <v>341</v>
      </c>
      <c r="F11" s="32">
        <v>6</v>
      </c>
      <c r="G11" s="32">
        <v>1</v>
      </c>
      <c r="H11" s="32">
        <v>81413</v>
      </c>
      <c r="I11" s="32" t="s">
        <v>17</v>
      </c>
      <c r="J11" s="32">
        <v>17909696</v>
      </c>
      <c r="K11" s="35" t="s">
        <v>31</v>
      </c>
      <c r="L11" s="31" t="s">
        <v>34</v>
      </c>
      <c r="M11" s="33">
        <v>349000</v>
      </c>
      <c r="N11" s="34">
        <v>0.75</v>
      </c>
      <c r="O11" s="33">
        <f t="shared" si="0"/>
        <v>87250</v>
      </c>
      <c r="P11" s="32" t="s">
        <v>20</v>
      </c>
    </row>
    <row r="12" customHeight="1" spans="1:16">
      <c r="A12" s="31" t="s">
        <v>16</v>
      </c>
      <c r="B12" s="18">
        <v>46114</v>
      </c>
      <c r="C12" s="18">
        <v>46120</v>
      </c>
      <c r="D12" s="32">
        <v>3324</v>
      </c>
      <c r="E12" s="32">
        <v>341</v>
      </c>
      <c r="F12" s="32">
        <v>6</v>
      </c>
      <c r="G12" s="32">
        <v>1</v>
      </c>
      <c r="H12" s="32">
        <v>81413</v>
      </c>
      <c r="I12" s="32" t="s">
        <v>17</v>
      </c>
      <c r="J12" s="32">
        <v>17909703</v>
      </c>
      <c r="K12" s="35" t="s">
        <v>35</v>
      </c>
      <c r="L12" s="31" t="s">
        <v>36</v>
      </c>
      <c r="M12" s="33">
        <v>399000</v>
      </c>
      <c r="N12" s="34">
        <v>0.75</v>
      </c>
      <c r="O12" s="33">
        <f t="shared" si="0"/>
        <v>99750</v>
      </c>
      <c r="P12" s="32" t="s">
        <v>20</v>
      </c>
    </row>
    <row r="13" customHeight="1" spans="1:16">
      <c r="A13" s="31" t="s">
        <v>16</v>
      </c>
      <c r="B13" s="18">
        <v>46114</v>
      </c>
      <c r="C13" s="18">
        <v>46120</v>
      </c>
      <c r="D13" s="32">
        <v>3324</v>
      </c>
      <c r="E13" s="32">
        <v>341</v>
      </c>
      <c r="F13" s="32">
        <v>6</v>
      </c>
      <c r="G13" s="32">
        <v>1</v>
      </c>
      <c r="H13" s="32">
        <v>81413</v>
      </c>
      <c r="I13" s="32" t="s">
        <v>17</v>
      </c>
      <c r="J13" s="32">
        <v>17909712</v>
      </c>
      <c r="K13" s="35" t="s">
        <v>35</v>
      </c>
      <c r="L13" s="31" t="s">
        <v>37</v>
      </c>
      <c r="M13" s="33">
        <v>399000</v>
      </c>
      <c r="N13" s="34">
        <v>0.75</v>
      </c>
      <c r="O13" s="33">
        <f t="shared" si="0"/>
        <v>99750</v>
      </c>
      <c r="P13" s="32" t="s">
        <v>20</v>
      </c>
    </row>
    <row r="14" customHeight="1" spans="1:16">
      <c r="A14" s="31" t="s">
        <v>16</v>
      </c>
      <c r="B14" s="18">
        <v>46114</v>
      </c>
      <c r="C14" s="18">
        <v>46120</v>
      </c>
      <c r="D14" s="32">
        <v>3324</v>
      </c>
      <c r="E14" s="32">
        <v>341</v>
      </c>
      <c r="F14" s="32">
        <v>6</v>
      </c>
      <c r="G14" s="32">
        <v>1</v>
      </c>
      <c r="H14" s="32">
        <v>81413</v>
      </c>
      <c r="I14" s="32" t="s">
        <v>17</v>
      </c>
      <c r="J14" s="32">
        <v>17909721</v>
      </c>
      <c r="K14" s="35" t="s">
        <v>38</v>
      </c>
      <c r="L14" s="31" t="s">
        <v>39</v>
      </c>
      <c r="M14" s="33">
        <v>399000</v>
      </c>
      <c r="N14" s="34">
        <v>0.75</v>
      </c>
      <c r="O14" s="33">
        <f t="shared" si="0"/>
        <v>99750</v>
      </c>
      <c r="P14" s="32" t="s">
        <v>20</v>
      </c>
    </row>
    <row r="15" customHeight="1" spans="1:16">
      <c r="A15" s="31" t="s">
        <v>16</v>
      </c>
      <c r="B15" s="18">
        <v>46114</v>
      </c>
      <c r="C15" s="18">
        <v>46120</v>
      </c>
      <c r="D15" s="32">
        <v>3324</v>
      </c>
      <c r="E15" s="32">
        <v>341</v>
      </c>
      <c r="F15" s="32">
        <v>6</v>
      </c>
      <c r="G15" s="32">
        <v>1</v>
      </c>
      <c r="H15" s="32">
        <v>81413</v>
      </c>
      <c r="I15" s="32" t="s">
        <v>17</v>
      </c>
      <c r="J15" s="32">
        <v>17909730</v>
      </c>
      <c r="K15" s="32" t="s">
        <v>38</v>
      </c>
      <c r="L15" s="31" t="s">
        <v>40</v>
      </c>
      <c r="M15" s="33">
        <v>399000</v>
      </c>
      <c r="N15" s="34">
        <v>0.75</v>
      </c>
      <c r="O15" s="33">
        <f t="shared" si="0"/>
        <v>99750</v>
      </c>
      <c r="P15" s="32" t="s">
        <v>20</v>
      </c>
    </row>
    <row r="16" customHeight="1" spans="1:16">
      <c r="A16" s="31" t="s">
        <v>16</v>
      </c>
      <c r="B16" s="18">
        <v>46114</v>
      </c>
      <c r="C16" s="18">
        <v>46120</v>
      </c>
      <c r="D16" s="32">
        <v>3324</v>
      </c>
      <c r="E16" s="32">
        <v>341</v>
      </c>
      <c r="F16" s="32">
        <v>6</v>
      </c>
      <c r="G16" s="32">
        <v>1</v>
      </c>
      <c r="H16" s="32">
        <v>81811</v>
      </c>
      <c r="I16" s="32" t="s">
        <v>17</v>
      </c>
      <c r="J16" s="32">
        <v>17909749</v>
      </c>
      <c r="K16" s="32" t="s">
        <v>41</v>
      </c>
      <c r="L16" s="31" t="s">
        <v>42</v>
      </c>
      <c r="M16" s="33">
        <v>349000</v>
      </c>
      <c r="N16" s="34">
        <v>0.75</v>
      </c>
      <c r="O16" s="33">
        <f t="shared" si="0"/>
        <v>87250</v>
      </c>
      <c r="P16" s="32" t="s">
        <v>20</v>
      </c>
    </row>
    <row r="17" customHeight="1" spans="1:16">
      <c r="A17" s="31" t="s">
        <v>16</v>
      </c>
      <c r="B17" s="18">
        <v>46114</v>
      </c>
      <c r="C17" s="18">
        <v>46120</v>
      </c>
      <c r="D17" s="32">
        <v>3324</v>
      </c>
      <c r="E17" s="32">
        <v>341</v>
      </c>
      <c r="F17" s="32">
        <v>6</v>
      </c>
      <c r="G17" s="32">
        <v>1</v>
      </c>
      <c r="H17" s="32">
        <v>81811</v>
      </c>
      <c r="I17" s="32" t="s">
        <v>17</v>
      </c>
      <c r="J17" s="32">
        <v>17909758</v>
      </c>
      <c r="K17" s="32" t="s">
        <v>41</v>
      </c>
      <c r="L17" s="31" t="s">
        <v>43</v>
      </c>
      <c r="M17" s="33">
        <v>349000</v>
      </c>
      <c r="N17" s="34">
        <v>0.75</v>
      </c>
      <c r="O17" s="33">
        <f t="shared" si="0"/>
        <v>87250</v>
      </c>
      <c r="P17" s="32" t="s">
        <v>20</v>
      </c>
    </row>
    <row r="18" customHeight="1" spans="1:16">
      <c r="A18" s="31" t="s">
        <v>16</v>
      </c>
      <c r="B18" s="18">
        <v>46114</v>
      </c>
      <c r="C18" s="18">
        <v>46120</v>
      </c>
      <c r="D18" s="32">
        <v>3324</v>
      </c>
      <c r="E18" s="32">
        <v>341</v>
      </c>
      <c r="F18" s="32">
        <v>6</v>
      </c>
      <c r="G18" s="32">
        <v>1</v>
      </c>
      <c r="H18" s="32">
        <v>81811</v>
      </c>
      <c r="I18" s="32" t="s">
        <v>17</v>
      </c>
      <c r="J18" s="32">
        <v>17909767</v>
      </c>
      <c r="K18" s="32" t="s">
        <v>41</v>
      </c>
      <c r="L18" s="31" t="s">
        <v>44</v>
      </c>
      <c r="M18" s="33">
        <v>349000</v>
      </c>
      <c r="N18" s="34">
        <v>0.75</v>
      </c>
      <c r="O18" s="33">
        <f t="shared" si="0"/>
        <v>87250</v>
      </c>
      <c r="P18" s="32" t="s">
        <v>20</v>
      </c>
    </row>
    <row r="19" customHeight="1" spans="1:16">
      <c r="A19" s="31" t="s">
        <v>16</v>
      </c>
      <c r="B19" s="18">
        <v>46114</v>
      </c>
      <c r="C19" s="18">
        <v>46120</v>
      </c>
      <c r="D19" s="32">
        <v>3324</v>
      </c>
      <c r="E19" s="32">
        <v>341</v>
      </c>
      <c r="F19" s="32">
        <v>6</v>
      </c>
      <c r="G19" s="32">
        <v>1</v>
      </c>
      <c r="H19" s="32">
        <v>81811</v>
      </c>
      <c r="I19" s="32" t="s">
        <v>17</v>
      </c>
      <c r="J19" s="32">
        <v>17925481</v>
      </c>
      <c r="K19" s="32" t="s">
        <v>25</v>
      </c>
      <c r="L19" s="31" t="s">
        <v>45</v>
      </c>
      <c r="M19" s="33">
        <v>299000</v>
      </c>
      <c r="N19" s="34">
        <v>0.75</v>
      </c>
      <c r="O19" s="33">
        <f t="shared" si="0"/>
        <v>74750</v>
      </c>
      <c r="P19" s="32" t="s">
        <v>20</v>
      </c>
    </row>
    <row r="20" customHeight="1" spans="1:16">
      <c r="A20" s="31" t="s">
        <v>16</v>
      </c>
      <c r="B20" s="18">
        <v>46114</v>
      </c>
      <c r="C20" s="18">
        <v>46120</v>
      </c>
      <c r="D20" s="32">
        <v>3324</v>
      </c>
      <c r="E20" s="32">
        <v>341</v>
      </c>
      <c r="F20" s="32">
        <v>6</v>
      </c>
      <c r="G20" s="32">
        <v>1</v>
      </c>
      <c r="H20" s="32">
        <v>81811</v>
      </c>
      <c r="I20" s="32" t="s">
        <v>17</v>
      </c>
      <c r="J20" s="32">
        <v>17925490</v>
      </c>
      <c r="K20" s="32" t="s">
        <v>25</v>
      </c>
      <c r="L20" s="31" t="s">
        <v>46</v>
      </c>
      <c r="M20" s="33">
        <v>299000</v>
      </c>
      <c r="N20" s="34">
        <v>0.75</v>
      </c>
      <c r="O20" s="33">
        <f t="shared" si="0"/>
        <v>74750</v>
      </c>
      <c r="P20" s="32" t="s">
        <v>20</v>
      </c>
    </row>
    <row r="21" customHeight="1" spans="1:16">
      <c r="A21" s="31" t="s">
        <v>16</v>
      </c>
      <c r="B21" s="18">
        <v>46114</v>
      </c>
      <c r="C21" s="18">
        <v>46120</v>
      </c>
      <c r="D21" s="32">
        <v>3324</v>
      </c>
      <c r="E21" s="32">
        <v>341</v>
      </c>
      <c r="F21" s="32">
        <v>6</v>
      </c>
      <c r="G21" s="32">
        <v>1</v>
      </c>
      <c r="H21" s="32">
        <v>81811</v>
      </c>
      <c r="I21" s="32" t="s">
        <v>17</v>
      </c>
      <c r="J21" s="32">
        <v>17925507</v>
      </c>
      <c r="K21" s="35" t="s">
        <v>28</v>
      </c>
      <c r="L21" s="31" t="s">
        <v>47</v>
      </c>
      <c r="M21" s="33">
        <v>299000</v>
      </c>
      <c r="N21" s="34">
        <v>0.75</v>
      </c>
      <c r="O21" s="33">
        <f t="shared" si="0"/>
        <v>74750</v>
      </c>
      <c r="P21" s="32" t="s">
        <v>20</v>
      </c>
    </row>
    <row r="22" customHeight="1" spans="1:16">
      <c r="A22" s="31" t="s">
        <v>16</v>
      </c>
      <c r="B22" s="18">
        <v>46114</v>
      </c>
      <c r="C22" s="18">
        <v>46120</v>
      </c>
      <c r="D22" s="32">
        <v>3324</v>
      </c>
      <c r="E22" s="32">
        <v>341</v>
      </c>
      <c r="F22" s="32">
        <v>6</v>
      </c>
      <c r="G22" s="32">
        <v>1</v>
      </c>
      <c r="H22" s="32">
        <v>81811</v>
      </c>
      <c r="I22" s="32" t="s">
        <v>17</v>
      </c>
      <c r="J22" s="32">
        <v>17925516</v>
      </c>
      <c r="K22" s="35" t="s">
        <v>28</v>
      </c>
      <c r="L22" s="31" t="s">
        <v>48</v>
      </c>
      <c r="M22" s="33">
        <v>299000</v>
      </c>
      <c r="N22" s="34">
        <v>0.75</v>
      </c>
      <c r="O22" s="33">
        <f t="shared" si="0"/>
        <v>74750</v>
      </c>
      <c r="P22" s="3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0" zoomScaleNormal="70" workbookViewId="0">
      <pane ySplit="1" topLeftCell="A2" activePane="bottomLeft" state="frozen"/>
      <selection/>
      <selection pane="bottomLeft" activeCell="B2" sqref="B2:C14"/>
    </sheetView>
  </sheetViews>
  <sheetFormatPr defaultColWidth="8.72727272727273" defaultRowHeight="14.5"/>
  <cols>
    <col min="1" max="1" width="16.8181818181818" style="3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81818181818182" style="1" customWidth="1"/>
    <col min="10" max="10" width="8.81818181818182" style="1" customWidth="1"/>
    <col min="11" max="11" width="8.09090909090909" style="1" customWidth="1"/>
    <col min="12" max="12" width="57.9090909090909" style="1" customWidth="1"/>
    <col min="13" max="13" width="14.8181818181818" style="4" customWidth="1"/>
    <col min="14" max="14" width="7.27272727272727" style="5" customWidth="1"/>
    <col min="15" max="15" width="14" style="4" customWidth="1"/>
    <col min="16" max="16" width="14.1818181818182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4" t="s">
        <v>49</v>
      </c>
      <c r="B2" s="13">
        <v>46114</v>
      </c>
      <c r="C2" s="13">
        <v>46120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9">
        <v>13948124</v>
      </c>
      <c r="K2" s="14" t="s">
        <v>50</v>
      </c>
      <c r="L2" s="14" t="s">
        <v>51</v>
      </c>
      <c r="M2" s="15">
        <v>399000</v>
      </c>
      <c r="N2" s="16">
        <v>0.75</v>
      </c>
      <c r="O2" s="15">
        <f>M2-(M2*N2)</f>
        <v>99750</v>
      </c>
      <c r="P2" s="12" t="s">
        <v>20</v>
      </c>
    </row>
    <row r="3" spans="1:16">
      <c r="A3" s="14" t="s">
        <v>49</v>
      </c>
      <c r="B3" s="13">
        <v>46114</v>
      </c>
      <c r="C3" s="13">
        <v>46120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13948133</v>
      </c>
      <c r="K3" s="14" t="s">
        <v>50</v>
      </c>
      <c r="L3" s="14" t="s">
        <v>52</v>
      </c>
      <c r="M3" s="15">
        <v>399000</v>
      </c>
      <c r="N3" s="16">
        <v>0.75</v>
      </c>
      <c r="O3" s="15">
        <f t="shared" ref="O3:O14" si="0">M3-(M3*N3)</f>
        <v>99750</v>
      </c>
      <c r="P3" s="12" t="s">
        <v>20</v>
      </c>
    </row>
    <row r="4" spans="1:16">
      <c r="A4" s="14" t="s">
        <v>49</v>
      </c>
      <c r="B4" s="13">
        <v>46114</v>
      </c>
      <c r="C4" s="13">
        <v>46120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15509916</v>
      </c>
      <c r="K4" s="14" t="s">
        <v>53</v>
      </c>
      <c r="L4" s="14" t="s">
        <v>54</v>
      </c>
      <c r="M4" s="15">
        <v>249000</v>
      </c>
      <c r="N4" s="16">
        <v>0.75</v>
      </c>
      <c r="O4" s="15">
        <f t="shared" si="0"/>
        <v>62250</v>
      </c>
      <c r="P4" s="12" t="s">
        <v>20</v>
      </c>
    </row>
    <row r="5" spans="1:16">
      <c r="A5" s="14" t="s">
        <v>49</v>
      </c>
      <c r="B5" s="13">
        <v>46114</v>
      </c>
      <c r="C5" s="13">
        <v>46120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15509925</v>
      </c>
      <c r="K5" s="14" t="s">
        <v>53</v>
      </c>
      <c r="L5" s="14" t="s">
        <v>55</v>
      </c>
      <c r="M5" s="15">
        <v>249000</v>
      </c>
      <c r="N5" s="16">
        <v>0.75</v>
      </c>
      <c r="O5" s="15">
        <f t="shared" si="0"/>
        <v>62250</v>
      </c>
      <c r="P5" s="12" t="s">
        <v>20</v>
      </c>
    </row>
    <row r="6" spans="1:16">
      <c r="A6" s="14" t="s">
        <v>49</v>
      </c>
      <c r="B6" s="13">
        <v>46114</v>
      </c>
      <c r="C6" s="13">
        <v>46120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16118757</v>
      </c>
      <c r="K6" s="14" t="s">
        <v>56</v>
      </c>
      <c r="L6" s="14" t="s">
        <v>57</v>
      </c>
      <c r="M6" s="15">
        <v>299000</v>
      </c>
      <c r="N6" s="16">
        <v>0.75</v>
      </c>
      <c r="O6" s="15">
        <f t="shared" si="0"/>
        <v>74750</v>
      </c>
      <c r="P6" s="12" t="s">
        <v>20</v>
      </c>
    </row>
    <row r="7" spans="1:16">
      <c r="A7" s="14" t="s">
        <v>49</v>
      </c>
      <c r="B7" s="13">
        <v>46114</v>
      </c>
      <c r="C7" s="13">
        <v>46120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16130653</v>
      </c>
      <c r="K7" s="14" t="s">
        <v>58</v>
      </c>
      <c r="L7" s="14" t="s">
        <v>59</v>
      </c>
      <c r="M7" s="15">
        <v>399000</v>
      </c>
      <c r="N7" s="16">
        <v>0.75</v>
      </c>
      <c r="O7" s="15">
        <f t="shared" si="0"/>
        <v>99750</v>
      </c>
      <c r="P7" s="12" t="s">
        <v>20</v>
      </c>
    </row>
    <row r="8" spans="1:16">
      <c r="A8" s="14" t="s">
        <v>49</v>
      </c>
      <c r="B8" s="13">
        <v>46114</v>
      </c>
      <c r="C8" s="13">
        <v>46120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17459137</v>
      </c>
      <c r="K8" s="20" t="s">
        <v>60</v>
      </c>
      <c r="L8" s="14" t="s">
        <v>61</v>
      </c>
      <c r="M8" s="15">
        <v>499000</v>
      </c>
      <c r="N8" s="16">
        <v>0.75</v>
      </c>
      <c r="O8" s="15">
        <f t="shared" si="0"/>
        <v>124750</v>
      </c>
      <c r="P8" s="12" t="s">
        <v>20</v>
      </c>
    </row>
    <row r="9" spans="1:16">
      <c r="A9" s="14" t="s">
        <v>49</v>
      </c>
      <c r="B9" s="13">
        <v>46114</v>
      </c>
      <c r="C9" s="13">
        <v>46120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17572862</v>
      </c>
      <c r="K9" s="20" t="s">
        <v>62</v>
      </c>
      <c r="L9" s="14" t="s">
        <v>63</v>
      </c>
      <c r="M9" s="15">
        <v>499000</v>
      </c>
      <c r="N9" s="16">
        <v>0.75</v>
      </c>
      <c r="O9" s="15">
        <f t="shared" si="0"/>
        <v>124750</v>
      </c>
      <c r="P9" s="12" t="s">
        <v>20</v>
      </c>
    </row>
    <row r="10" spans="1:16">
      <c r="A10" s="14" t="s">
        <v>49</v>
      </c>
      <c r="B10" s="13">
        <v>46114</v>
      </c>
      <c r="C10" s="13">
        <v>46120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82158438</v>
      </c>
      <c r="K10" s="20" t="s">
        <v>64</v>
      </c>
      <c r="L10" s="14" t="s">
        <v>65</v>
      </c>
      <c r="M10" s="15">
        <v>299000</v>
      </c>
      <c r="N10" s="16">
        <v>0.75</v>
      </c>
      <c r="O10" s="15">
        <f t="shared" si="0"/>
        <v>74750</v>
      </c>
      <c r="P10" s="12" t="s">
        <v>20</v>
      </c>
    </row>
    <row r="11" spans="1:16">
      <c r="A11" s="14" t="s">
        <v>49</v>
      </c>
      <c r="B11" s="13">
        <v>46114</v>
      </c>
      <c r="C11" s="13">
        <v>46120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82158536</v>
      </c>
      <c r="K11" s="20" t="s">
        <v>66</v>
      </c>
      <c r="L11" s="14" t="s">
        <v>67</v>
      </c>
      <c r="M11" s="15">
        <v>349000</v>
      </c>
      <c r="N11" s="16">
        <v>0.75</v>
      </c>
      <c r="O11" s="15">
        <f t="shared" si="0"/>
        <v>87250</v>
      </c>
      <c r="P11" s="12" t="s">
        <v>20</v>
      </c>
    </row>
    <row r="12" spans="1:16">
      <c r="A12" s="14" t="s">
        <v>49</v>
      </c>
      <c r="B12" s="13">
        <v>46114</v>
      </c>
      <c r="C12" s="13">
        <v>46120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82158545</v>
      </c>
      <c r="K12" s="20" t="s">
        <v>68</v>
      </c>
      <c r="L12" s="14" t="s">
        <v>69</v>
      </c>
      <c r="M12" s="15">
        <v>349000</v>
      </c>
      <c r="N12" s="16">
        <v>0.75</v>
      </c>
      <c r="O12" s="15">
        <f t="shared" si="0"/>
        <v>87250</v>
      </c>
      <c r="P12" s="12" t="s">
        <v>20</v>
      </c>
    </row>
    <row r="13" spans="1:16">
      <c r="A13" s="14" t="s">
        <v>49</v>
      </c>
      <c r="B13" s="13">
        <v>46114</v>
      </c>
      <c r="C13" s="13">
        <v>46120</v>
      </c>
      <c r="D13" s="12">
        <v>3324</v>
      </c>
      <c r="E13" s="12">
        <v>341</v>
      </c>
      <c r="F13" s="12">
        <v>6</v>
      </c>
      <c r="G13" s="12">
        <v>1</v>
      </c>
      <c r="H13" s="12">
        <v>81785</v>
      </c>
      <c r="I13" s="12" t="s">
        <v>17</v>
      </c>
      <c r="J13" s="14">
        <v>82158643</v>
      </c>
      <c r="K13" s="20" t="s">
        <v>70</v>
      </c>
      <c r="L13" s="14" t="s">
        <v>71</v>
      </c>
      <c r="M13" s="15">
        <v>399000</v>
      </c>
      <c r="N13" s="16">
        <v>0.75</v>
      </c>
      <c r="O13" s="15">
        <f t="shared" si="0"/>
        <v>99750</v>
      </c>
      <c r="P13" s="12" t="s">
        <v>20</v>
      </c>
    </row>
    <row r="14" spans="1:16">
      <c r="A14" s="14" t="s">
        <v>49</v>
      </c>
      <c r="B14" s="13">
        <v>46114</v>
      </c>
      <c r="C14" s="13">
        <v>46120</v>
      </c>
      <c r="D14" s="12">
        <v>3324</v>
      </c>
      <c r="E14" s="12">
        <v>341</v>
      </c>
      <c r="F14" s="12">
        <v>6</v>
      </c>
      <c r="G14" s="12">
        <v>1</v>
      </c>
      <c r="H14" s="12">
        <v>81785</v>
      </c>
      <c r="I14" s="12" t="s">
        <v>17</v>
      </c>
      <c r="J14" s="14">
        <v>83929273</v>
      </c>
      <c r="K14" s="20" t="s">
        <v>72</v>
      </c>
      <c r="L14" s="14" t="s">
        <v>73</v>
      </c>
      <c r="M14" s="15">
        <v>399000</v>
      </c>
      <c r="N14" s="16">
        <v>0.75</v>
      </c>
      <c r="O14" s="15">
        <f t="shared" si="0"/>
        <v>99750</v>
      </c>
      <c r="P1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81" zoomScaleNormal="81" workbookViewId="0">
      <pane ySplit="1" topLeftCell="A2" activePane="bottomLeft" state="frozen"/>
      <selection/>
      <selection pane="bottomLeft" activeCell="B2" sqref="B2:C5"/>
    </sheetView>
  </sheetViews>
  <sheetFormatPr defaultColWidth="8.72727272727273" defaultRowHeight="14.5" outlineLevelRow="4"/>
  <cols>
    <col min="1" max="1" width="11.2727272727273" style="1" customWidth="1"/>
    <col min="2" max="2" width="10.8181818181818" style="2" customWidth="1"/>
    <col min="3" max="3" width="10.0909090909091" style="2" customWidth="1"/>
    <col min="4" max="4" width="5.18181818181818" style="1" customWidth="1"/>
    <col min="5" max="5" width="7.18181818181818" style="1" customWidth="1"/>
    <col min="6" max="6" width="8.45454545454546" style="1" customWidth="1"/>
    <col min="7" max="7" width="5.72727272727273" style="1" customWidth="1"/>
    <col min="8" max="8" width="8.63636363636364" style="1" customWidth="1"/>
    <col min="9" max="9" width="7.81818181818182" style="1" customWidth="1"/>
    <col min="10" max="10" width="8.81818181818182" style="1" customWidth="1"/>
    <col min="11" max="11" width="8.09090909090909" style="1" customWidth="1"/>
    <col min="12" max="12" width="52.2727272727273" style="1" customWidth="1"/>
    <col min="13" max="13" width="14.8181818181818" style="4" customWidth="1"/>
    <col min="14" max="14" width="7.27272727272727" style="5" customWidth="1"/>
    <col min="15" max="15" width="14" style="4" customWidth="1"/>
    <col min="16" max="16" width="14.1818181818182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74</v>
      </c>
      <c r="B2" s="18">
        <v>46114</v>
      </c>
      <c r="C2" s="18">
        <v>46120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82158554</v>
      </c>
      <c r="K2" s="14" t="s">
        <v>75</v>
      </c>
      <c r="L2" s="14" t="s">
        <v>76</v>
      </c>
      <c r="M2" s="15">
        <v>349000</v>
      </c>
      <c r="N2" s="16">
        <v>0.9</v>
      </c>
      <c r="O2" s="15">
        <f>M2-(M2*N2)</f>
        <v>34900</v>
      </c>
      <c r="P2" s="12" t="s">
        <v>20</v>
      </c>
    </row>
    <row r="3" spans="1:16">
      <c r="A3" s="12" t="s">
        <v>74</v>
      </c>
      <c r="B3" s="18">
        <v>46114</v>
      </c>
      <c r="C3" s="18">
        <v>46120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82158563</v>
      </c>
      <c r="K3" s="14" t="s">
        <v>77</v>
      </c>
      <c r="L3" s="14" t="s">
        <v>78</v>
      </c>
      <c r="M3" s="15">
        <v>349000</v>
      </c>
      <c r="N3" s="16">
        <v>0.9</v>
      </c>
      <c r="O3" s="15">
        <f>M3-(M3*N3)</f>
        <v>34900</v>
      </c>
      <c r="P3" s="12" t="s">
        <v>20</v>
      </c>
    </row>
    <row r="4" spans="1:16">
      <c r="A4" s="12" t="s">
        <v>74</v>
      </c>
      <c r="B4" s="18">
        <v>46114</v>
      </c>
      <c r="C4" s="18">
        <v>46120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82158572</v>
      </c>
      <c r="K4" s="14" t="s">
        <v>77</v>
      </c>
      <c r="L4" s="14" t="s">
        <v>79</v>
      </c>
      <c r="M4" s="15">
        <v>349000</v>
      </c>
      <c r="N4" s="16">
        <v>0.9</v>
      </c>
      <c r="O4" s="15">
        <f>M4-(M4*N4)</f>
        <v>34900</v>
      </c>
      <c r="P4" s="12" t="s">
        <v>20</v>
      </c>
    </row>
    <row r="5" spans="1:16">
      <c r="A5" s="12" t="s">
        <v>74</v>
      </c>
      <c r="B5" s="18">
        <v>46114</v>
      </c>
      <c r="C5" s="18">
        <v>46120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83929264</v>
      </c>
      <c r="K5" s="14" t="s">
        <v>80</v>
      </c>
      <c r="L5" s="14" t="s">
        <v>81</v>
      </c>
      <c r="M5" s="15">
        <v>399000</v>
      </c>
      <c r="N5" s="16">
        <v>0.9</v>
      </c>
      <c r="O5" s="15">
        <f>M5-(M5*N5)</f>
        <v>39900</v>
      </c>
      <c r="P5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zoomScale="82" zoomScaleNormal="82" workbookViewId="0">
      <pane ySplit="1" topLeftCell="A2" activePane="bottomLeft" state="frozen"/>
      <selection/>
      <selection pane="bottomLeft" activeCell="B2" sqref="B2:C49"/>
    </sheetView>
  </sheetViews>
  <sheetFormatPr defaultColWidth="8.72727272727273" defaultRowHeight="14.5"/>
  <cols>
    <col min="1" max="1" width="11.2727272727273" style="1" customWidth="1"/>
    <col min="2" max="2" width="11.3636363636364" style="2" customWidth="1"/>
    <col min="3" max="3" width="9.18181818181818" style="2" customWidth="1"/>
    <col min="4" max="4" width="5.81818181818182" style="1" customWidth="1"/>
    <col min="5" max="5" width="7.45454545454545" style="1" customWidth="1"/>
    <col min="6" max="6" width="8.63636363636364" style="1" customWidth="1"/>
    <col min="7" max="7" width="6.81818181818182" style="1" customWidth="1"/>
    <col min="8" max="8" width="9.72727272727273" style="1" customWidth="1"/>
    <col min="9" max="9" width="7.81818181818182" style="1" customWidth="1"/>
    <col min="10" max="10" width="8.81818181818182" style="1" customWidth="1"/>
    <col min="11" max="11" width="10.4545454545455" style="1" customWidth="1"/>
    <col min="12" max="12" width="57.5454545454545" style="1" customWidth="1"/>
    <col min="13" max="13" width="15.1818181818182" style="4" customWidth="1"/>
    <col min="14" max="14" width="7.63636363636364" style="5" customWidth="1"/>
    <col min="15" max="15" width="14.2727272727273" style="4" customWidth="1"/>
    <col min="16" max="16" width="15.4545454545455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82</v>
      </c>
      <c r="B2" s="13">
        <v>46114</v>
      </c>
      <c r="C2" s="13">
        <v>46120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75149989</v>
      </c>
      <c r="K2" s="14" t="s">
        <v>83</v>
      </c>
      <c r="L2" s="14" t="s">
        <v>84</v>
      </c>
      <c r="M2" s="15">
        <v>399000</v>
      </c>
      <c r="N2" s="16">
        <v>0.9</v>
      </c>
      <c r="O2" s="15">
        <f>M2-(M2*N2)</f>
        <v>39900</v>
      </c>
      <c r="P2" s="12" t="s">
        <v>20</v>
      </c>
    </row>
    <row r="3" spans="1:16">
      <c r="A3" s="12" t="s">
        <v>82</v>
      </c>
      <c r="B3" s="13">
        <v>46114</v>
      </c>
      <c r="C3" s="13">
        <v>46120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75150020</v>
      </c>
      <c r="K3" s="14" t="s">
        <v>85</v>
      </c>
      <c r="L3" s="14" t="s">
        <v>86</v>
      </c>
      <c r="M3" s="15">
        <v>349000</v>
      </c>
      <c r="N3" s="16">
        <v>0.9</v>
      </c>
      <c r="O3" s="15">
        <f t="shared" ref="O3:O49" si="0">M3-(M3*N3)</f>
        <v>34900</v>
      </c>
      <c r="P3" s="12" t="s">
        <v>20</v>
      </c>
    </row>
    <row r="4" spans="1:16">
      <c r="A4" s="12" t="s">
        <v>82</v>
      </c>
      <c r="B4" s="13">
        <v>46114</v>
      </c>
      <c r="C4" s="13">
        <v>46120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75150039</v>
      </c>
      <c r="K4" s="14" t="s">
        <v>87</v>
      </c>
      <c r="L4" s="14" t="s">
        <v>88</v>
      </c>
      <c r="M4" s="15">
        <v>349000</v>
      </c>
      <c r="N4" s="16">
        <v>0.9</v>
      </c>
      <c r="O4" s="15">
        <f t="shared" si="0"/>
        <v>34900</v>
      </c>
      <c r="P4" s="12" t="s">
        <v>20</v>
      </c>
    </row>
    <row r="5" spans="1:16">
      <c r="A5" s="12" t="s">
        <v>82</v>
      </c>
      <c r="B5" s="13">
        <v>46114</v>
      </c>
      <c r="C5" s="13">
        <v>46120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75150048</v>
      </c>
      <c r="K5" s="14" t="s">
        <v>89</v>
      </c>
      <c r="L5" s="14" t="s">
        <v>90</v>
      </c>
      <c r="M5" s="15">
        <v>399000</v>
      </c>
      <c r="N5" s="16">
        <v>0.9</v>
      </c>
      <c r="O5" s="15">
        <f t="shared" si="0"/>
        <v>39900</v>
      </c>
      <c r="P5" s="12" t="s">
        <v>20</v>
      </c>
    </row>
    <row r="6" spans="1:16">
      <c r="A6" s="12" t="s">
        <v>82</v>
      </c>
      <c r="B6" s="13">
        <v>46114</v>
      </c>
      <c r="C6" s="13">
        <v>46120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75150057</v>
      </c>
      <c r="K6" s="14" t="s">
        <v>91</v>
      </c>
      <c r="L6" s="14" t="s">
        <v>92</v>
      </c>
      <c r="M6" s="15">
        <v>399000</v>
      </c>
      <c r="N6" s="16">
        <v>0.9</v>
      </c>
      <c r="O6" s="15">
        <f t="shared" si="0"/>
        <v>39900</v>
      </c>
      <c r="P6" s="12" t="s">
        <v>20</v>
      </c>
    </row>
    <row r="7" spans="1:16">
      <c r="A7" s="12" t="s">
        <v>82</v>
      </c>
      <c r="B7" s="13">
        <v>46114</v>
      </c>
      <c r="C7" s="13">
        <v>46120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75150084</v>
      </c>
      <c r="K7" s="14" t="s">
        <v>93</v>
      </c>
      <c r="L7" s="14" t="s">
        <v>94</v>
      </c>
      <c r="M7" s="15">
        <v>349000</v>
      </c>
      <c r="N7" s="16">
        <v>0.9</v>
      </c>
      <c r="O7" s="15">
        <f t="shared" si="0"/>
        <v>34900</v>
      </c>
      <c r="P7" s="12" t="s">
        <v>20</v>
      </c>
    </row>
    <row r="8" spans="1:16">
      <c r="A8" s="12" t="s">
        <v>82</v>
      </c>
      <c r="B8" s="13">
        <v>46114</v>
      </c>
      <c r="C8" s="13">
        <v>46120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75150093</v>
      </c>
      <c r="K8" s="14" t="s">
        <v>95</v>
      </c>
      <c r="L8" s="14" t="s">
        <v>96</v>
      </c>
      <c r="M8" s="15">
        <v>349000</v>
      </c>
      <c r="N8" s="16">
        <v>0.9</v>
      </c>
      <c r="O8" s="15">
        <f t="shared" si="0"/>
        <v>34900</v>
      </c>
      <c r="P8" s="12" t="s">
        <v>20</v>
      </c>
    </row>
    <row r="9" spans="1:16">
      <c r="A9" s="12" t="s">
        <v>82</v>
      </c>
      <c r="B9" s="13">
        <v>46114</v>
      </c>
      <c r="C9" s="13">
        <v>46120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75150119</v>
      </c>
      <c r="K9" s="14" t="s">
        <v>97</v>
      </c>
      <c r="L9" s="14" t="s">
        <v>98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82</v>
      </c>
      <c r="B10" s="13">
        <v>46114</v>
      </c>
      <c r="C10" s="13">
        <v>46120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75150128</v>
      </c>
      <c r="K10" s="14" t="s">
        <v>99</v>
      </c>
      <c r="L10" s="14" t="s">
        <v>100</v>
      </c>
      <c r="M10" s="15">
        <v>349000</v>
      </c>
      <c r="N10" s="16">
        <v>0.9</v>
      </c>
      <c r="O10" s="15">
        <f t="shared" si="0"/>
        <v>34900</v>
      </c>
      <c r="P10" s="12" t="s">
        <v>20</v>
      </c>
    </row>
    <row r="11" spans="1:16">
      <c r="A11" s="12" t="s">
        <v>82</v>
      </c>
      <c r="B11" s="13">
        <v>46114</v>
      </c>
      <c r="C11" s="13">
        <v>46120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75150137</v>
      </c>
      <c r="K11" s="14" t="s">
        <v>101</v>
      </c>
      <c r="L11" s="14" t="s">
        <v>102</v>
      </c>
      <c r="M11" s="15">
        <v>399000</v>
      </c>
      <c r="N11" s="16">
        <v>0.9</v>
      </c>
      <c r="O11" s="15">
        <f t="shared" si="0"/>
        <v>39900</v>
      </c>
      <c r="P11" s="12" t="s">
        <v>20</v>
      </c>
    </row>
    <row r="12" spans="1:16">
      <c r="A12" s="12" t="s">
        <v>82</v>
      </c>
      <c r="B12" s="13">
        <v>46114</v>
      </c>
      <c r="C12" s="13">
        <v>46120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80809989</v>
      </c>
      <c r="K12" s="14" t="s">
        <v>103</v>
      </c>
      <c r="L12" s="14" t="s">
        <v>104</v>
      </c>
      <c r="M12" s="15">
        <v>299000</v>
      </c>
      <c r="N12" s="16">
        <v>0.9</v>
      </c>
      <c r="O12" s="15">
        <f t="shared" si="0"/>
        <v>29900</v>
      </c>
      <c r="P12" s="12" t="s">
        <v>20</v>
      </c>
    </row>
    <row r="13" spans="1:16">
      <c r="A13" s="12" t="s">
        <v>82</v>
      </c>
      <c r="B13" s="13">
        <v>46114</v>
      </c>
      <c r="C13" s="13">
        <v>46120</v>
      </c>
      <c r="D13" s="12">
        <v>3324</v>
      </c>
      <c r="E13" s="12">
        <v>341</v>
      </c>
      <c r="F13" s="12">
        <v>6</v>
      </c>
      <c r="G13" s="12">
        <v>1</v>
      </c>
      <c r="H13" s="12">
        <v>81413</v>
      </c>
      <c r="I13" s="12" t="s">
        <v>17</v>
      </c>
      <c r="J13" s="14">
        <v>80809998</v>
      </c>
      <c r="K13" s="14" t="s">
        <v>105</v>
      </c>
      <c r="L13" s="14" t="s">
        <v>106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82</v>
      </c>
      <c r="B14" s="13">
        <v>46114</v>
      </c>
      <c r="C14" s="13">
        <v>46120</v>
      </c>
      <c r="D14" s="12">
        <v>3324</v>
      </c>
      <c r="E14" s="12">
        <v>341</v>
      </c>
      <c r="F14" s="12">
        <v>6</v>
      </c>
      <c r="G14" s="12">
        <v>1</v>
      </c>
      <c r="H14" s="12">
        <v>81413</v>
      </c>
      <c r="I14" s="12" t="s">
        <v>17</v>
      </c>
      <c r="J14" s="17">
        <v>80810002</v>
      </c>
      <c r="K14" s="14" t="s">
        <v>107</v>
      </c>
      <c r="L14" s="14" t="s">
        <v>108</v>
      </c>
      <c r="M14" s="15">
        <v>299000</v>
      </c>
      <c r="N14" s="16">
        <v>0.9</v>
      </c>
      <c r="O14" s="15">
        <f t="shared" si="0"/>
        <v>29900</v>
      </c>
      <c r="P14" s="12" t="s">
        <v>20</v>
      </c>
    </row>
    <row r="15" spans="1:16">
      <c r="A15" s="12" t="s">
        <v>82</v>
      </c>
      <c r="B15" s="13">
        <v>46114</v>
      </c>
      <c r="C15" s="13">
        <v>46120</v>
      </c>
      <c r="D15" s="12">
        <v>3324</v>
      </c>
      <c r="E15" s="12">
        <v>341</v>
      </c>
      <c r="F15" s="12">
        <v>6</v>
      </c>
      <c r="G15" s="12">
        <v>1</v>
      </c>
      <c r="H15" s="12">
        <v>81413</v>
      </c>
      <c r="I15" s="12" t="s">
        <v>17</v>
      </c>
      <c r="J15" s="14">
        <v>80810011</v>
      </c>
      <c r="K15" s="14" t="s">
        <v>109</v>
      </c>
      <c r="L15" s="14" t="s">
        <v>110</v>
      </c>
      <c r="M15" s="15">
        <v>399000</v>
      </c>
      <c r="N15" s="16">
        <v>0.9</v>
      </c>
      <c r="O15" s="15">
        <f t="shared" si="0"/>
        <v>39900</v>
      </c>
      <c r="P15" s="12" t="s">
        <v>20</v>
      </c>
    </row>
    <row r="16" spans="1:16">
      <c r="A16" s="12" t="s">
        <v>82</v>
      </c>
      <c r="B16" s="13">
        <v>46114</v>
      </c>
      <c r="C16" s="13">
        <v>46120</v>
      </c>
      <c r="D16" s="12">
        <v>3324</v>
      </c>
      <c r="E16" s="12">
        <v>341</v>
      </c>
      <c r="F16" s="12">
        <v>6</v>
      </c>
      <c r="G16" s="12">
        <v>1</v>
      </c>
      <c r="H16" s="12">
        <v>81413</v>
      </c>
      <c r="I16" s="12" t="s">
        <v>17</v>
      </c>
      <c r="J16" s="14">
        <v>80810020</v>
      </c>
      <c r="K16" s="14" t="s">
        <v>111</v>
      </c>
      <c r="L16" s="14" t="s">
        <v>112</v>
      </c>
      <c r="M16" s="15">
        <v>299000</v>
      </c>
      <c r="N16" s="16">
        <v>0.9</v>
      </c>
      <c r="O16" s="15">
        <f t="shared" si="0"/>
        <v>29900</v>
      </c>
      <c r="P16" s="12" t="s">
        <v>20</v>
      </c>
    </row>
    <row r="17" spans="1:16">
      <c r="A17" s="12" t="s">
        <v>82</v>
      </c>
      <c r="B17" s="13">
        <v>46114</v>
      </c>
      <c r="C17" s="13">
        <v>46120</v>
      </c>
      <c r="D17" s="12">
        <v>3324</v>
      </c>
      <c r="E17" s="12">
        <v>341</v>
      </c>
      <c r="F17" s="12">
        <v>6</v>
      </c>
      <c r="G17" s="12">
        <v>1</v>
      </c>
      <c r="H17" s="12">
        <v>81413</v>
      </c>
      <c r="I17" s="12" t="s">
        <v>17</v>
      </c>
      <c r="J17" s="14">
        <v>80810039</v>
      </c>
      <c r="K17" s="14" t="s">
        <v>113</v>
      </c>
      <c r="L17" s="14" t="s">
        <v>114</v>
      </c>
      <c r="M17" s="15">
        <v>349000</v>
      </c>
      <c r="N17" s="16">
        <v>0.9</v>
      </c>
      <c r="O17" s="15">
        <f t="shared" si="0"/>
        <v>34900</v>
      </c>
      <c r="P17" s="12" t="s">
        <v>20</v>
      </c>
    </row>
    <row r="18" spans="1:16">
      <c r="A18" s="12" t="s">
        <v>82</v>
      </c>
      <c r="B18" s="13">
        <v>46114</v>
      </c>
      <c r="C18" s="13">
        <v>46120</v>
      </c>
      <c r="D18" s="12">
        <v>3324</v>
      </c>
      <c r="E18" s="12">
        <v>341</v>
      </c>
      <c r="F18" s="12">
        <v>6</v>
      </c>
      <c r="G18" s="12">
        <v>1</v>
      </c>
      <c r="H18" s="12">
        <v>81413</v>
      </c>
      <c r="I18" s="12" t="s">
        <v>17</v>
      </c>
      <c r="J18" s="14">
        <v>81638715</v>
      </c>
      <c r="K18" s="14" t="s">
        <v>115</v>
      </c>
      <c r="L18" s="14" t="s">
        <v>116</v>
      </c>
      <c r="M18" s="15">
        <v>399000</v>
      </c>
      <c r="N18" s="16">
        <v>0.9</v>
      </c>
      <c r="O18" s="15">
        <f t="shared" si="0"/>
        <v>39900</v>
      </c>
      <c r="P18" s="12" t="s">
        <v>20</v>
      </c>
    </row>
    <row r="19" spans="1:16">
      <c r="A19" s="12" t="s">
        <v>82</v>
      </c>
      <c r="B19" s="13">
        <v>46114</v>
      </c>
      <c r="C19" s="13">
        <v>46120</v>
      </c>
      <c r="D19" s="12">
        <v>3324</v>
      </c>
      <c r="E19" s="12">
        <v>341</v>
      </c>
      <c r="F19" s="12">
        <v>6</v>
      </c>
      <c r="G19" s="12">
        <v>1</v>
      </c>
      <c r="H19" s="12">
        <v>81413</v>
      </c>
      <c r="I19" s="12" t="s">
        <v>17</v>
      </c>
      <c r="J19" s="14">
        <v>81638724</v>
      </c>
      <c r="K19" s="14" t="s">
        <v>117</v>
      </c>
      <c r="L19" s="14" t="s">
        <v>118</v>
      </c>
      <c r="M19" s="15">
        <v>349000</v>
      </c>
      <c r="N19" s="16">
        <v>0.9</v>
      </c>
      <c r="O19" s="15">
        <f t="shared" si="0"/>
        <v>34900</v>
      </c>
      <c r="P19" s="12" t="s">
        <v>20</v>
      </c>
    </row>
    <row r="20" spans="1:16">
      <c r="A20" s="12" t="s">
        <v>82</v>
      </c>
      <c r="B20" s="13">
        <v>46114</v>
      </c>
      <c r="C20" s="13">
        <v>46120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81638733</v>
      </c>
      <c r="K20" s="14" t="s">
        <v>119</v>
      </c>
      <c r="L20" s="14" t="s">
        <v>120</v>
      </c>
      <c r="M20" s="15">
        <v>349000</v>
      </c>
      <c r="N20" s="16">
        <v>0.9</v>
      </c>
      <c r="O20" s="15">
        <f t="shared" si="0"/>
        <v>34900</v>
      </c>
      <c r="P20" s="12" t="s">
        <v>20</v>
      </c>
    </row>
    <row r="21" spans="1:16">
      <c r="A21" s="12" t="s">
        <v>82</v>
      </c>
      <c r="B21" s="13">
        <v>46114</v>
      </c>
      <c r="C21" s="13">
        <v>46120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81638742</v>
      </c>
      <c r="K21" s="14" t="s">
        <v>121</v>
      </c>
      <c r="L21" s="14" t="s">
        <v>122</v>
      </c>
      <c r="M21" s="15">
        <v>399000</v>
      </c>
      <c r="N21" s="16">
        <v>0.9</v>
      </c>
      <c r="O21" s="15">
        <f t="shared" si="0"/>
        <v>39900</v>
      </c>
      <c r="P21" s="12" t="s">
        <v>20</v>
      </c>
    </row>
    <row r="22" spans="1:16">
      <c r="A22" s="12" t="s">
        <v>82</v>
      </c>
      <c r="B22" s="13">
        <v>46114</v>
      </c>
      <c r="C22" s="13">
        <v>46120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81638751</v>
      </c>
      <c r="K22" s="14" t="s">
        <v>123</v>
      </c>
      <c r="L22" s="14" t="s">
        <v>124</v>
      </c>
      <c r="M22" s="15">
        <v>399000</v>
      </c>
      <c r="N22" s="16">
        <v>0.9</v>
      </c>
      <c r="O22" s="15">
        <f t="shared" si="0"/>
        <v>39900</v>
      </c>
      <c r="P22" s="12" t="s">
        <v>20</v>
      </c>
    </row>
    <row r="23" spans="1:16">
      <c r="A23" s="12" t="s">
        <v>82</v>
      </c>
      <c r="B23" s="13">
        <v>46114</v>
      </c>
      <c r="C23" s="13">
        <v>46120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81638760</v>
      </c>
      <c r="K23" s="14" t="s">
        <v>125</v>
      </c>
      <c r="L23" s="14" t="s">
        <v>126</v>
      </c>
      <c r="M23" s="15">
        <v>399000</v>
      </c>
      <c r="N23" s="16">
        <v>0.9</v>
      </c>
      <c r="O23" s="15">
        <f t="shared" si="0"/>
        <v>39900</v>
      </c>
      <c r="P23" s="12" t="s">
        <v>20</v>
      </c>
    </row>
    <row r="24" spans="1:16">
      <c r="A24" s="12" t="s">
        <v>82</v>
      </c>
      <c r="B24" s="13">
        <v>46114</v>
      </c>
      <c r="C24" s="13">
        <v>46120</v>
      </c>
      <c r="D24" s="12">
        <v>3324</v>
      </c>
      <c r="E24" s="12">
        <v>341</v>
      </c>
      <c r="F24" s="12">
        <v>6</v>
      </c>
      <c r="G24" s="12">
        <v>1</v>
      </c>
      <c r="H24" s="12">
        <v>80994</v>
      </c>
      <c r="I24" s="12" t="s">
        <v>17</v>
      </c>
      <c r="J24" s="14">
        <v>81638779</v>
      </c>
      <c r="K24" s="14" t="s">
        <v>127</v>
      </c>
      <c r="L24" s="14" t="s">
        <v>128</v>
      </c>
      <c r="M24" s="15">
        <v>399000</v>
      </c>
      <c r="N24" s="16">
        <v>0.9</v>
      </c>
      <c r="O24" s="15">
        <f t="shared" si="0"/>
        <v>39900</v>
      </c>
      <c r="P24" s="12" t="s">
        <v>20</v>
      </c>
    </row>
    <row r="25" spans="1:16">
      <c r="A25" s="12" t="s">
        <v>82</v>
      </c>
      <c r="B25" s="13">
        <v>46114</v>
      </c>
      <c r="C25" s="13">
        <v>46120</v>
      </c>
      <c r="D25" s="12">
        <v>3324</v>
      </c>
      <c r="E25" s="12">
        <v>341</v>
      </c>
      <c r="F25" s="12">
        <v>6</v>
      </c>
      <c r="G25" s="12">
        <v>1</v>
      </c>
      <c r="H25" s="12">
        <v>80994</v>
      </c>
      <c r="I25" s="12" t="s">
        <v>17</v>
      </c>
      <c r="J25" s="14">
        <v>81638788</v>
      </c>
      <c r="K25" s="14" t="s">
        <v>129</v>
      </c>
      <c r="L25" s="14" t="s">
        <v>130</v>
      </c>
      <c r="M25" s="15">
        <v>399000</v>
      </c>
      <c r="N25" s="16">
        <v>0.9</v>
      </c>
      <c r="O25" s="15">
        <f t="shared" si="0"/>
        <v>39900</v>
      </c>
      <c r="P25" s="12" t="s">
        <v>20</v>
      </c>
    </row>
    <row r="26" spans="1:16">
      <c r="A26" s="12" t="s">
        <v>82</v>
      </c>
      <c r="B26" s="13">
        <v>46114</v>
      </c>
      <c r="C26" s="13">
        <v>46120</v>
      </c>
      <c r="D26" s="12">
        <v>3324</v>
      </c>
      <c r="E26" s="12">
        <v>341</v>
      </c>
      <c r="F26" s="12">
        <v>6</v>
      </c>
      <c r="G26" s="12">
        <v>1</v>
      </c>
      <c r="H26" s="12">
        <v>81785</v>
      </c>
      <c r="I26" s="12" t="s">
        <v>17</v>
      </c>
      <c r="J26" s="14">
        <v>81638797</v>
      </c>
      <c r="K26" s="14" t="s">
        <v>131</v>
      </c>
      <c r="L26" s="14" t="s">
        <v>132</v>
      </c>
      <c r="M26" s="15">
        <v>349000</v>
      </c>
      <c r="N26" s="16">
        <v>0.9</v>
      </c>
      <c r="O26" s="15">
        <f t="shared" si="0"/>
        <v>34900</v>
      </c>
      <c r="P26" s="12" t="s">
        <v>20</v>
      </c>
    </row>
    <row r="27" spans="1:16">
      <c r="A27" s="12" t="s">
        <v>82</v>
      </c>
      <c r="B27" s="13">
        <v>46114</v>
      </c>
      <c r="C27" s="13">
        <v>46120</v>
      </c>
      <c r="D27" s="12">
        <v>3324</v>
      </c>
      <c r="E27" s="12">
        <v>341</v>
      </c>
      <c r="F27" s="12">
        <v>6</v>
      </c>
      <c r="G27" s="12">
        <v>1</v>
      </c>
      <c r="H27" s="12">
        <v>81785</v>
      </c>
      <c r="I27" s="12" t="s">
        <v>17</v>
      </c>
      <c r="J27" s="14">
        <v>81638804</v>
      </c>
      <c r="K27" s="14" t="s">
        <v>131</v>
      </c>
      <c r="L27" s="14" t="s">
        <v>133</v>
      </c>
      <c r="M27" s="15">
        <v>349000</v>
      </c>
      <c r="N27" s="16">
        <v>0.9</v>
      </c>
      <c r="O27" s="15">
        <f t="shared" si="0"/>
        <v>34900</v>
      </c>
      <c r="P27" s="12" t="s">
        <v>20</v>
      </c>
    </row>
    <row r="28" spans="1:16">
      <c r="A28" s="12" t="s">
        <v>82</v>
      </c>
      <c r="B28" s="13">
        <v>46114</v>
      </c>
      <c r="C28" s="13">
        <v>46120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4">
        <v>81648839</v>
      </c>
      <c r="K28" s="14" t="s">
        <v>134</v>
      </c>
      <c r="L28" s="14" t="s">
        <v>135</v>
      </c>
      <c r="M28" s="15">
        <v>399000</v>
      </c>
      <c r="N28" s="16">
        <v>0.9</v>
      </c>
      <c r="O28" s="15">
        <f t="shared" si="0"/>
        <v>39900</v>
      </c>
      <c r="P28" s="12" t="s">
        <v>20</v>
      </c>
    </row>
    <row r="29" spans="1:16">
      <c r="A29" s="12" t="s">
        <v>82</v>
      </c>
      <c r="B29" s="13">
        <v>46114</v>
      </c>
      <c r="C29" s="13">
        <v>46120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4">
        <v>81648848</v>
      </c>
      <c r="K29" s="14" t="s">
        <v>134</v>
      </c>
      <c r="L29" s="14" t="s">
        <v>136</v>
      </c>
      <c r="M29" s="15">
        <v>399000</v>
      </c>
      <c r="N29" s="16">
        <v>0.9</v>
      </c>
      <c r="O29" s="15">
        <f t="shared" si="0"/>
        <v>39900</v>
      </c>
      <c r="P29" s="12" t="s">
        <v>20</v>
      </c>
    </row>
    <row r="30" spans="1:16">
      <c r="A30" s="12" t="s">
        <v>82</v>
      </c>
      <c r="B30" s="13">
        <v>46114</v>
      </c>
      <c r="C30" s="13">
        <v>46120</v>
      </c>
      <c r="D30" s="12">
        <v>3324</v>
      </c>
      <c r="E30" s="12">
        <v>341</v>
      </c>
      <c r="F30" s="12">
        <v>6</v>
      </c>
      <c r="G30" s="12">
        <v>1</v>
      </c>
      <c r="H30" s="12">
        <v>81413</v>
      </c>
      <c r="I30" s="12" t="s">
        <v>17</v>
      </c>
      <c r="J30" s="14">
        <v>81648857</v>
      </c>
      <c r="K30" s="14" t="s">
        <v>137</v>
      </c>
      <c r="L30" s="14" t="s">
        <v>138</v>
      </c>
      <c r="M30" s="15">
        <v>449000</v>
      </c>
      <c r="N30" s="16">
        <v>0.9</v>
      </c>
      <c r="O30" s="15">
        <f t="shared" si="0"/>
        <v>44900</v>
      </c>
      <c r="P30" s="12" t="s">
        <v>20</v>
      </c>
    </row>
    <row r="31" spans="1:16">
      <c r="A31" s="12" t="s">
        <v>82</v>
      </c>
      <c r="B31" s="13">
        <v>46114</v>
      </c>
      <c r="C31" s="13">
        <v>46120</v>
      </c>
      <c r="D31" s="12">
        <v>3324</v>
      </c>
      <c r="E31" s="12">
        <v>341</v>
      </c>
      <c r="F31" s="12">
        <v>6</v>
      </c>
      <c r="G31" s="12">
        <v>1</v>
      </c>
      <c r="H31" s="12">
        <v>81413</v>
      </c>
      <c r="I31" s="12" t="s">
        <v>17</v>
      </c>
      <c r="J31" s="14">
        <v>81648866</v>
      </c>
      <c r="K31" s="14" t="s">
        <v>139</v>
      </c>
      <c r="L31" s="14" t="s">
        <v>140</v>
      </c>
      <c r="M31" s="15">
        <v>449000</v>
      </c>
      <c r="N31" s="16">
        <v>0.9</v>
      </c>
      <c r="O31" s="15">
        <f t="shared" si="0"/>
        <v>44900</v>
      </c>
      <c r="P31" s="12" t="s">
        <v>20</v>
      </c>
    </row>
    <row r="32" spans="1:16">
      <c r="A32" s="12" t="s">
        <v>82</v>
      </c>
      <c r="B32" s="13">
        <v>46114</v>
      </c>
      <c r="C32" s="13">
        <v>46120</v>
      </c>
      <c r="D32" s="12">
        <v>3324</v>
      </c>
      <c r="E32" s="12">
        <v>341</v>
      </c>
      <c r="F32" s="12">
        <v>6</v>
      </c>
      <c r="G32" s="12">
        <v>1</v>
      </c>
      <c r="H32" s="12">
        <v>81413</v>
      </c>
      <c r="I32" s="12" t="s">
        <v>17</v>
      </c>
      <c r="J32" s="14">
        <v>81648875</v>
      </c>
      <c r="K32" s="14" t="s">
        <v>141</v>
      </c>
      <c r="L32" s="14" t="s">
        <v>142</v>
      </c>
      <c r="M32" s="15">
        <v>499000</v>
      </c>
      <c r="N32" s="16">
        <v>0.9</v>
      </c>
      <c r="O32" s="15">
        <f t="shared" si="0"/>
        <v>49900</v>
      </c>
      <c r="P32" s="12" t="s">
        <v>20</v>
      </c>
    </row>
    <row r="33" spans="1:16">
      <c r="A33" s="12" t="s">
        <v>82</v>
      </c>
      <c r="B33" s="13">
        <v>46114</v>
      </c>
      <c r="C33" s="13">
        <v>46120</v>
      </c>
      <c r="D33" s="12">
        <v>3324</v>
      </c>
      <c r="E33" s="12">
        <v>341</v>
      </c>
      <c r="F33" s="12">
        <v>6</v>
      </c>
      <c r="G33" s="12">
        <v>1</v>
      </c>
      <c r="H33" s="12">
        <v>81413</v>
      </c>
      <c r="I33" s="12" t="s">
        <v>17</v>
      </c>
      <c r="J33" s="14">
        <v>81648884</v>
      </c>
      <c r="K33" s="14" t="s">
        <v>143</v>
      </c>
      <c r="L33" s="14" t="s">
        <v>144</v>
      </c>
      <c r="M33" s="15">
        <v>499000</v>
      </c>
      <c r="N33" s="16">
        <v>0.9</v>
      </c>
      <c r="O33" s="15">
        <f t="shared" si="0"/>
        <v>49900</v>
      </c>
      <c r="P33" s="12" t="s">
        <v>20</v>
      </c>
    </row>
    <row r="34" spans="1:16">
      <c r="A34" s="12" t="s">
        <v>82</v>
      </c>
      <c r="B34" s="13">
        <v>46114</v>
      </c>
      <c r="C34" s="13">
        <v>46120</v>
      </c>
      <c r="D34" s="12">
        <v>3324</v>
      </c>
      <c r="E34" s="12">
        <v>341</v>
      </c>
      <c r="F34" s="12">
        <v>6</v>
      </c>
      <c r="G34" s="12">
        <v>1</v>
      </c>
      <c r="H34" s="12">
        <v>81413</v>
      </c>
      <c r="I34" s="12" t="s">
        <v>17</v>
      </c>
      <c r="J34" s="14">
        <v>82158447</v>
      </c>
      <c r="K34" s="14" t="s">
        <v>64</v>
      </c>
      <c r="L34" s="14" t="s">
        <v>145</v>
      </c>
      <c r="M34" s="15">
        <v>299000</v>
      </c>
      <c r="N34" s="16">
        <v>0.9</v>
      </c>
      <c r="O34" s="15">
        <f t="shared" si="0"/>
        <v>29900</v>
      </c>
      <c r="P34" s="12" t="s">
        <v>20</v>
      </c>
    </row>
    <row r="35" spans="1:16">
      <c r="A35" s="12" t="s">
        <v>82</v>
      </c>
      <c r="B35" s="13">
        <v>46114</v>
      </c>
      <c r="C35" s="13">
        <v>46120</v>
      </c>
      <c r="D35" s="12">
        <v>3324</v>
      </c>
      <c r="E35" s="12">
        <v>341</v>
      </c>
      <c r="F35" s="12">
        <v>6</v>
      </c>
      <c r="G35" s="12">
        <v>1</v>
      </c>
      <c r="H35" s="12">
        <v>81413</v>
      </c>
      <c r="I35" s="12" t="s">
        <v>17</v>
      </c>
      <c r="J35" s="14">
        <v>82158456</v>
      </c>
      <c r="K35" s="14" t="s">
        <v>64</v>
      </c>
      <c r="L35" s="14" t="s">
        <v>146</v>
      </c>
      <c r="M35" s="15">
        <v>299000</v>
      </c>
      <c r="N35" s="16">
        <v>0.9</v>
      </c>
      <c r="O35" s="15">
        <f t="shared" si="0"/>
        <v>29900</v>
      </c>
      <c r="P35" s="12" t="s">
        <v>20</v>
      </c>
    </row>
    <row r="36" spans="1:16">
      <c r="A36" s="12" t="s">
        <v>82</v>
      </c>
      <c r="B36" s="13">
        <v>46114</v>
      </c>
      <c r="C36" s="13">
        <v>46120</v>
      </c>
      <c r="D36" s="12">
        <v>3324</v>
      </c>
      <c r="E36" s="12">
        <v>341</v>
      </c>
      <c r="F36" s="12">
        <v>6</v>
      </c>
      <c r="G36" s="12">
        <v>1</v>
      </c>
      <c r="H36" s="12">
        <v>81413</v>
      </c>
      <c r="I36" s="12" t="s">
        <v>17</v>
      </c>
      <c r="J36" s="14">
        <v>82158474</v>
      </c>
      <c r="K36" s="14" t="s">
        <v>56</v>
      </c>
      <c r="L36" s="14" t="s">
        <v>147</v>
      </c>
      <c r="M36" s="15">
        <v>299000</v>
      </c>
      <c r="N36" s="16">
        <v>0.9</v>
      </c>
      <c r="O36" s="15">
        <f t="shared" si="0"/>
        <v>29900</v>
      </c>
      <c r="P36" s="12" t="s">
        <v>20</v>
      </c>
    </row>
    <row r="37" spans="1:16">
      <c r="A37" s="12" t="s">
        <v>82</v>
      </c>
      <c r="B37" s="13">
        <v>46114</v>
      </c>
      <c r="C37" s="13">
        <v>46120</v>
      </c>
      <c r="D37" s="12">
        <v>3324</v>
      </c>
      <c r="E37" s="12">
        <v>341</v>
      </c>
      <c r="F37" s="12">
        <v>6</v>
      </c>
      <c r="G37" s="12">
        <v>1</v>
      </c>
      <c r="H37" s="12">
        <v>81413</v>
      </c>
      <c r="I37" s="12" t="s">
        <v>17</v>
      </c>
      <c r="J37" s="14">
        <v>82158483</v>
      </c>
      <c r="K37" s="14" t="s">
        <v>56</v>
      </c>
      <c r="L37" s="14" t="s">
        <v>148</v>
      </c>
      <c r="M37" s="15">
        <v>299000</v>
      </c>
      <c r="N37" s="16">
        <v>0.9</v>
      </c>
      <c r="O37" s="15">
        <f t="shared" si="0"/>
        <v>29900</v>
      </c>
      <c r="P37" s="12" t="s">
        <v>20</v>
      </c>
    </row>
    <row r="38" spans="1:16">
      <c r="A38" s="12" t="s">
        <v>82</v>
      </c>
      <c r="B38" s="13">
        <v>46114</v>
      </c>
      <c r="C38" s="13">
        <v>46120</v>
      </c>
      <c r="D38" s="12">
        <v>3324</v>
      </c>
      <c r="E38" s="12">
        <v>341</v>
      </c>
      <c r="F38" s="12">
        <v>6</v>
      </c>
      <c r="G38" s="12">
        <v>1</v>
      </c>
      <c r="H38" s="12">
        <v>81413</v>
      </c>
      <c r="I38" s="12" t="s">
        <v>17</v>
      </c>
      <c r="J38" s="14">
        <v>82158492</v>
      </c>
      <c r="K38" s="14" t="s">
        <v>149</v>
      </c>
      <c r="L38" s="14" t="s">
        <v>150</v>
      </c>
      <c r="M38" s="15">
        <v>299000</v>
      </c>
      <c r="N38" s="16">
        <v>0.9</v>
      </c>
      <c r="O38" s="15">
        <f t="shared" si="0"/>
        <v>29900</v>
      </c>
      <c r="P38" s="12" t="s">
        <v>20</v>
      </c>
    </row>
    <row r="39" spans="1:16">
      <c r="A39" s="12" t="s">
        <v>82</v>
      </c>
      <c r="B39" s="13">
        <v>46114</v>
      </c>
      <c r="C39" s="13">
        <v>46120</v>
      </c>
      <c r="D39" s="12">
        <v>3324</v>
      </c>
      <c r="E39" s="12">
        <v>341</v>
      </c>
      <c r="F39" s="12">
        <v>6</v>
      </c>
      <c r="G39" s="12">
        <v>1</v>
      </c>
      <c r="H39" s="12">
        <v>81413</v>
      </c>
      <c r="I39" s="12" t="s">
        <v>17</v>
      </c>
      <c r="J39" s="14">
        <v>82158509</v>
      </c>
      <c r="K39" s="14" t="s">
        <v>149</v>
      </c>
      <c r="L39" s="14" t="s">
        <v>151</v>
      </c>
      <c r="M39" s="15">
        <v>299000</v>
      </c>
      <c r="N39" s="16">
        <v>0.9</v>
      </c>
      <c r="O39" s="15">
        <f t="shared" si="0"/>
        <v>29900</v>
      </c>
      <c r="P39" s="12" t="s">
        <v>20</v>
      </c>
    </row>
    <row r="40" spans="1:16">
      <c r="A40" s="12" t="s">
        <v>82</v>
      </c>
      <c r="B40" s="13">
        <v>46114</v>
      </c>
      <c r="C40" s="13">
        <v>46120</v>
      </c>
      <c r="D40" s="12">
        <v>3324</v>
      </c>
      <c r="E40" s="12">
        <v>341</v>
      </c>
      <c r="F40" s="12">
        <v>6</v>
      </c>
      <c r="G40" s="12">
        <v>1</v>
      </c>
      <c r="H40" s="12">
        <v>81413</v>
      </c>
      <c r="I40" s="12" t="s">
        <v>17</v>
      </c>
      <c r="J40" s="14">
        <v>82158518</v>
      </c>
      <c r="K40" s="14" t="s">
        <v>149</v>
      </c>
      <c r="L40" s="14" t="s">
        <v>152</v>
      </c>
      <c r="M40" s="15">
        <v>299000</v>
      </c>
      <c r="N40" s="16">
        <v>0.9</v>
      </c>
      <c r="O40" s="15">
        <f t="shared" si="0"/>
        <v>29900</v>
      </c>
      <c r="P40" s="12" t="s">
        <v>20</v>
      </c>
    </row>
    <row r="41" spans="1:16">
      <c r="A41" s="12" t="s">
        <v>82</v>
      </c>
      <c r="B41" s="13">
        <v>46114</v>
      </c>
      <c r="C41" s="13">
        <v>46120</v>
      </c>
      <c r="D41" s="12">
        <v>3324</v>
      </c>
      <c r="E41" s="12">
        <v>341</v>
      </c>
      <c r="F41" s="12">
        <v>6</v>
      </c>
      <c r="G41" s="12">
        <v>1</v>
      </c>
      <c r="H41" s="12">
        <v>81413</v>
      </c>
      <c r="I41" s="12" t="s">
        <v>17</v>
      </c>
      <c r="J41" s="14">
        <v>82158527</v>
      </c>
      <c r="K41" s="14" t="s">
        <v>153</v>
      </c>
      <c r="L41" s="14" t="s">
        <v>154</v>
      </c>
      <c r="M41" s="15">
        <v>349000</v>
      </c>
      <c r="N41" s="16">
        <v>0.9</v>
      </c>
      <c r="O41" s="15">
        <f t="shared" si="0"/>
        <v>34900</v>
      </c>
      <c r="P41" s="12" t="s">
        <v>20</v>
      </c>
    </row>
    <row r="42" spans="1:16">
      <c r="A42" s="12" t="s">
        <v>82</v>
      </c>
      <c r="B42" s="13">
        <v>46114</v>
      </c>
      <c r="C42" s="13">
        <v>46120</v>
      </c>
      <c r="D42" s="12">
        <v>3324</v>
      </c>
      <c r="E42" s="12">
        <v>341</v>
      </c>
      <c r="F42" s="12">
        <v>6</v>
      </c>
      <c r="G42" s="12">
        <v>1</v>
      </c>
      <c r="H42" s="12">
        <v>81413</v>
      </c>
      <c r="I42" s="12" t="s">
        <v>17</v>
      </c>
      <c r="J42" s="14">
        <v>82158581</v>
      </c>
      <c r="K42" s="14" t="s">
        <v>155</v>
      </c>
      <c r="L42" s="14" t="s">
        <v>156</v>
      </c>
      <c r="M42" s="15">
        <v>399000</v>
      </c>
      <c r="N42" s="16">
        <v>0.9</v>
      </c>
      <c r="O42" s="15">
        <f t="shared" si="0"/>
        <v>39900</v>
      </c>
      <c r="P42" s="12" t="s">
        <v>20</v>
      </c>
    </row>
    <row r="43" spans="1:16">
      <c r="A43" s="12" t="s">
        <v>82</v>
      </c>
      <c r="B43" s="13">
        <v>46114</v>
      </c>
      <c r="C43" s="13">
        <v>46120</v>
      </c>
      <c r="D43" s="12">
        <v>3324</v>
      </c>
      <c r="E43" s="12">
        <v>341</v>
      </c>
      <c r="F43" s="12">
        <v>6</v>
      </c>
      <c r="G43" s="12">
        <v>1</v>
      </c>
      <c r="H43" s="12">
        <v>81413</v>
      </c>
      <c r="I43" s="12" t="s">
        <v>17</v>
      </c>
      <c r="J43" s="14">
        <v>82158590</v>
      </c>
      <c r="K43" s="14" t="s">
        <v>157</v>
      </c>
      <c r="L43" s="14" t="s">
        <v>158</v>
      </c>
      <c r="M43" s="15">
        <v>349000</v>
      </c>
      <c r="N43" s="16">
        <v>0.9</v>
      </c>
      <c r="O43" s="15">
        <f t="shared" si="0"/>
        <v>34900</v>
      </c>
      <c r="P43" s="12" t="s">
        <v>20</v>
      </c>
    </row>
    <row r="44" spans="1:16">
      <c r="A44" s="12" t="s">
        <v>82</v>
      </c>
      <c r="B44" s="13">
        <v>46114</v>
      </c>
      <c r="C44" s="13">
        <v>46120</v>
      </c>
      <c r="D44" s="12">
        <v>3324</v>
      </c>
      <c r="E44" s="12">
        <v>341</v>
      </c>
      <c r="F44" s="12">
        <v>6</v>
      </c>
      <c r="G44" s="12">
        <v>1</v>
      </c>
      <c r="H44" s="12">
        <v>81413</v>
      </c>
      <c r="I44" s="12" t="s">
        <v>17</v>
      </c>
      <c r="J44" s="14">
        <v>82158607</v>
      </c>
      <c r="K44" s="14" t="s">
        <v>157</v>
      </c>
      <c r="L44" s="14" t="s">
        <v>159</v>
      </c>
      <c r="M44" s="15">
        <v>349000</v>
      </c>
      <c r="N44" s="16">
        <v>0.9</v>
      </c>
      <c r="O44" s="15">
        <f t="shared" si="0"/>
        <v>34900</v>
      </c>
      <c r="P44" s="12" t="s">
        <v>20</v>
      </c>
    </row>
    <row r="45" spans="1:16">
      <c r="A45" s="12" t="s">
        <v>82</v>
      </c>
      <c r="B45" s="13">
        <v>46114</v>
      </c>
      <c r="C45" s="13">
        <v>46120</v>
      </c>
      <c r="D45" s="12">
        <v>3324</v>
      </c>
      <c r="E45" s="12">
        <v>341</v>
      </c>
      <c r="F45" s="12">
        <v>6</v>
      </c>
      <c r="G45" s="12">
        <v>1</v>
      </c>
      <c r="H45" s="12">
        <v>80994</v>
      </c>
      <c r="I45" s="12" t="s">
        <v>17</v>
      </c>
      <c r="J45" s="14">
        <v>82158616</v>
      </c>
      <c r="K45" s="14" t="s">
        <v>160</v>
      </c>
      <c r="L45" s="14" t="s">
        <v>161</v>
      </c>
      <c r="M45" s="15">
        <v>399000</v>
      </c>
      <c r="N45" s="16">
        <v>0.9</v>
      </c>
      <c r="O45" s="15">
        <f t="shared" si="0"/>
        <v>39900</v>
      </c>
      <c r="P45" s="12" t="s">
        <v>20</v>
      </c>
    </row>
    <row r="46" spans="1:16">
      <c r="A46" s="12" t="s">
        <v>82</v>
      </c>
      <c r="B46" s="13">
        <v>46114</v>
      </c>
      <c r="C46" s="13">
        <v>46120</v>
      </c>
      <c r="D46" s="12">
        <v>3324</v>
      </c>
      <c r="E46" s="12">
        <v>341</v>
      </c>
      <c r="F46" s="12">
        <v>6</v>
      </c>
      <c r="G46" s="12">
        <v>1</v>
      </c>
      <c r="H46" s="12">
        <v>80994</v>
      </c>
      <c r="I46" s="12" t="s">
        <v>17</v>
      </c>
      <c r="J46" s="14">
        <v>82158625</v>
      </c>
      <c r="K46" s="14" t="s">
        <v>160</v>
      </c>
      <c r="L46" s="14" t="s">
        <v>162</v>
      </c>
      <c r="M46" s="15">
        <v>399000</v>
      </c>
      <c r="N46" s="16">
        <v>0.9</v>
      </c>
      <c r="O46" s="15">
        <f t="shared" si="0"/>
        <v>39900</v>
      </c>
      <c r="P46" s="12" t="s">
        <v>20</v>
      </c>
    </row>
    <row r="47" spans="1:16">
      <c r="A47" s="12" t="s">
        <v>82</v>
      </c>
      <c r="B47" s="13">
        <v>46114</v>
      </c>
      <c r="C47" s="13">
        <v>46120</v>
      </c>
      <c r="D47" s="12">
        <v>3324</v>
      </c>
      <c r="E47" s="12">
        <v>341</v>
      </c>
      <c r="F47" s="12">
        <v>6</v>
      </c>
      <c r="G47" s="12">
        <v>1</v>
      </c>
      <c r="H47" s="12">
        <v>81413</v>
      </c>
      <c r="I47" s="12" t="s">
        <v>17</v>
      </c>
      <c r="J47" s="14">
        <v>82158634</v>
      </c>
      <c r="K47" s="14" t="s">
        <v>70</v>
      </c>
      <c r="L47" s="14" t="s">
        <v>163</v>
      </c>
      <c r="M47" s="15">
        <v>399000</v>
      </c>
      <c r="N47" s="16">
        <v>0.9</v>
      </c>
      <c r="O47" s="15">
        <f t="shared" si="0"/>
        <v>39900</v>
      </c>
      <c r="P47" s="12" t="s">
        <v>20</v>
      </c>
    </row>
    <row r="48" spans="1:16">
      <c r="A48" s="12" t="s">
        <v>82</v>
      </c>
      <c r="B48" s="13">
        <v>46114</v>
      </c>
      <c r="C48" s="13">
        <v>46120</v>
      </c>
      <c r="D48" s="12">
        <v>3324</v>
      </c>
      <c r="E48" s="12">
        <v>341</v>
      </c>
      <c r="F48" s="12">
        <v>6</v>
      </c>
      <c r="G48" s="12">
        <v>1</v>
      </c>
      <c r="H48" s="12">
        <v>81413</v>
      </c>
      <c r="I48" s="12" t="s">
        <v>17</v>
      </c>
      <c r="J48" s="14">
        <v>83209461</v>
      </c>
      <c r="K48" s="14" t="s">
        <v>143</v>
      </c>
      <c r="L48" s="14" t="s">
        <v>164</v>
      </c>
      <c r="M48" s="15">
        <v>499000</v>
      </c>
      <c r="N48" s="16">
        <v>0.9</v>
      </c>
      <c r="O48" s="15">
        <f t="shared" si="0"/>
        <v>49900</v>
      </c>
      <c r="P48" s="12" t="s">
        <v>20</v>
      </c>
    </row>
    <row r="49" spans="1:16">
      <c r="A49" s="12" t="s">
        <v>82</v>
      </c>
      <c r="B49" s="13">
        <v>46114</v>
      </c>
      <c r="C49" s="13">
        <v>46120</v>
      </c>
      <c r="D49" s="12">
        <v>3324</v>
      </c>
      <c r="E49" s="12">
        <v>341</v>
      </c>
      <c r="F49" s="12">
        <v>6</v>
      </c>
      <c r="G49" s="12">
        <v>1</v>
      </c>
      <c r="H49" s="12">
        <v>81413</v>
      </c>
      <c r="I49" s="12" t="s">
        <v>17</v>
      </c>
      <c r="J49" s="14">
        <v>83244208</v>
      </c>
      <c r="K49" s="14" t="s">
        <v>165</v>
      </c>
      <c r="L49" s="14" t="s">
        <v>166</v>
      </c>
      <c r="M49" s="15">
        <v>349000</v>
      </c>
      <c r="N49" s="16">
        <v>0.9</v>
      </c>
      <c r="O49" s="15">
        <f t="shared" si="0"/>
        <v>34900</v>
      </c>
      <c r="P49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zoomScale="77" zoomScaleNormal="77" workbookViewId="0">
      <pane ySplit="1" topLeftCell="A2" activePane="bottomLeft" state="frozen"/>
      <selection/>
      <selection pane="bottomLeft" activeCell="B2" sqref="B2:C37"/>
    </sheetView>
  </sheetViews>
  <sheetFormatPr defaultColWidth="8.72727272727273" defaultRowHeight="14.5"/>
  <cols>
    <col min="1" max="1" width="8.54545454545454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54545454545454" style="1" customWidth="1"/>
    <col min="11" max="11" width="12.5454545454545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167</v>
      </c>
      <c r="B2" s="13">
        <v>46114</v>
      </c>
      <c r="C2" s="13">
        <v>46120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17</v>
      </c>
      <c r="J2" s="14">
        <v>63183142</v>
      </c>
      <c r="K2" s="14" t="s">
        <v>168</v>
      </c>
      <c r="L2" s="14" t="s">
        <v>169</v>
      </c>
      <c r="M2" s="15">
        <v>249000</v>
      </c>
      <c r="N2" s="16">
        <v>0.9</v>
      </c>
      <c r="O2" s="15">
        <f>M2-(M2*N2)</f>
        <v>24900</v>
      </c>
      <c r="P2" s="12" t="s">
        <v>20</v>
      </c>
    </row>
    <row r="3" spans="1:16">
      <c r="A3" s="12" t="s">
        <v>167</v>
      </c>
      <c r="B3" s="13">
        <v>46114</v>
      </c>
      <c r="C3" s="13">
        <v>46120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17</v>
      </c>
      <c r="J3" s="14">
        <v>63183204</v>
      </c>
      <c r="K3" s="14" t="s">
        <v>170</v>
      </c>
      <c r="L3" s="14" t="s">
        <v>171</v>
      </c>
      <c r="M3" s="15">
        <v>249000</v>
      </c>
      <c r="N3" s="16">
        <v>0.9</v>
      </c>
      <c r="O3" s="15">
        <f t="shared" ref="O3:O37" si="0">M3-(M3*N3)</f>
        <v>24900</v>
      </c>
      <c r="P3" s="12" t="s">
        <v>20</v>
      </c>
    </row>
    <row r="4" spans="1:16">
      <c r="A4" s="12" t="s">
        <v>167</v>
      </c>
      <c r="B4" s="13">
        <v>46114</v>
      </c>
      <c r="C4" s="13">
        <v>46120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17</v>
      </c>
      <c r="J4" s="14">
        <v>63183213</v>
      </c>
      <c r="K4" s="14" t="s">
        <v>172</v>
      </c>
      <c r="L4" s="14" t="s">
        <v>173</v>
      </c>
      <c r="M4" s="15">
        <v>249000</v>
      </c>
      <c r="N4" s="16">
        <v>0.9</v>
      </c>
      <c r="O4" s="15">
        <f t="shared" si="0"/>
        <v>24900</v>
      </c>
      <c r="P4" s="12" t="s">
        <v>20</v>
      </c>
    </row>
    <row r="5" spans="1:16">
      <c r="A5" s="12" t="s">
        <v>167</v>
      </c>
      <c r="B5" s="13">
        <v>46114</v>
      </c>
      <c r="C5" s="13">
        <v>46120</v>
      </c>
      <c r="D5" s="12">
        <v>3324</v>
      </c>
      <c r="E5" s="12">
        <v>341</v>
      </c>
      <c r="F5" s="12">
        <v>6</v>
      </c>
      <c r="G5" s="12">
        <v>1</v>
      </c>
      <c r="H5" s="12">
        <v>81413</v>
      </c>
      <c r="I5" s="12" t="s">
        <v>17</v>
      </c>
      <c r="J5" s="14">
        <v>63183222</v>
      </c>
      <c r="K5" s="14" t="s">
        <v>172</v>
      </c>
      <c r="L5" s="14" t="s">
        <v>174</v>
      </c>
      <c r="M5" s="15">
        <v>249000</v>
      </c>
      <c r="N5" s="16">
        <v>0.9</v>
      </c>
      <c r="O5" s="15">
        <f t="shared" si="0"/>
        <v>24900</v>
      </c>
      <c r="P5" s="12" t="s">
        <v>20</v>
      </c>
    </row>
    <row r="6" spans="1:16">
      <c r="A6" s="12" t="s">
        <v>167</v>
      </c>
      <c r="B6" s="13">
        <v>46114</v>
      </c>
      <c r="C6" s="13">
        <v>46120</v>
      </c>
      <c r="D6" s="12">
        <v>3324</v>
      </c>
      <c r="E6" s="12">
        <v>341</v>
      </c>
      <c r="F6" s="12">
        <v>6</v>
      </c>
      <c r="G6" s="12">
        <v>1</v>
      </c>
      <c r="H6" s="12">
        <v>81413</v>
      </c>
      <c r="I6" s="12" t="s">
        <v>17</v>
      </c>
      <c r="J6" s="14">
        <v>63183231</v>
      </c>
      <c r="K6" s="14" t="s">
        <v>175</v>
      </c>
      <c r="L6" s="14" t="s">
        <v>176</v>
      </c>
      <c r="M6" s="15">
        <v>249000</v>
      </c>
      <c r="N6" s="16">
        <v>0.9</v>
      </c>
      <c r="O6" s="15">
        <f t="shared" si="0"/>
        <v>24900</v>
      </c>
      <c r="P6" s="12" t="s">
        <v>20</v>
      </c>
    </row>
    <row r="7" spans="1:16">
      <c r="A7" s="12" t="s">
        <v>167</v>
      </c>
      <c r="B7" s="13">
        <v>46114</v>
      </c>
      <c r="C7" s="13">
        <v>46120</v>
      </c>
      <c r="D7" s="12">
        <v>3324</v>
      </c>
      <c r="E7" s="12">
        <v>341</v>
      </c>
      <c r="F7" s="12">
        <v>6</v>
      </c>
      <c r="G7" s="12">
        <v>1</v>
      </c>
      <c r="H7" s="12">
        <v>81413</v>
      </c>
      <c r="I7" s="12" t="s">
        <v>17</v>
      </c>
      <c r="J7" s="14">
        <v>63183240</v>
      </c>
      <c r="K7" s="14" t="s">
        <v>175</v>
      </c>
      <c r="L7" s="14" t="s">
        <v>177</v>
      </c>
      <c r="M7" s="15">
        <v>249000</v>
      </c>
      <c r="N7" s="16">
        <v>0.9</v>
      </c>
      <c r="O7" s="15">
        <f t="shared" si="0"/>
        <v>24900</v>
      </c>
      <c r="P7" s="12" t="s">
        <v>20</v>
      </c>
    </row>
    <row r="8" spans="1:16">
      <c r="A8" s="12" t="s">
        <v>167</v>
      </c>
      <c r="B8" s="13">
        <v>46114</v>
      </c>
      <c r="C8" s="13">
        <v>46120</v>
      </c>
      <c r="D8" s="12">
        <v>3324</v>
      </c>
      <c r="E8" s="12">
        <v>341</v>
      </c>
      <c r="F8" s="12">
        <v>6</v>
      </c>
      <c r="G8" s="12">
        <v>1</v>
      </c>
      <c r="H8" s="12">
        <v>81413</v>
      </c>
      <c r="I8" s="12" t="s">
        <v>17</v>
      </c>
      <c r="J8" s="14">
        <v>63183259</v>
      </c>
      <c r="K8" s="14" t="s">
        <v>178</v>
      </c>
      <c r="L8" s="14" t="s">
        <v>179</v>
      </c>
      <c r="M8" s="15">
        <v>249000</v>
      </c>
      <c r="N8" s="16">
        <v>0.9</v>
      </c>
      <c r="O8" s="15">
        <f t="shared" si="0"/>
        <v>24900</v>
      </c>
      <c r="P8" s="12" t="s">
        <v>20</v>
      </c>
    </row>
    <row r="9" spans="1:16">
      <c r="A9" s="12" t="s">
        <v>167</v>
      </c>
      <c r="B9" s="13">
        <v>46114</v>
      </c>
      <c r="C9" s="13">
        <v>46120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63184196</v>
      </c>
      <c r="K9" s="14" t="s">
        <v>180</v>
      </c>
      <c r="L9" s="14" t="s">
        <v>181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167</v>
      </c>
      <c r="B10" s="13">
        <v>46114</v>
      </c>
      <c r="C10" s="13">
        <v>46120</v>
      </c>
      <c r="D10" s="12">
        <v>3324</v>
      </c>
      <c r="E10" s="12">
        <v>341</v>
      </c>
      <c r="F10" s="12">
        <v>6</v>
      </c>
      <c r="G10" s="12">
        <v>1</v>
      </c>
      <c r="H10" s="12">
        <v>81413</v>
      </c>
      <c r="I10" s="12" t="s">
        <v>17</v>
      </c>
      <c r="J10" s="14">
        <v>66025021</v>
      </c>
      <c r="K10" s="14" t="s">
        <v>182</v>
      </c>
      <c r="L10" s="14" t="s">
        <v>183</v>
      </c>
      <c r="M10" s="15">
        <v>349000</v>
      </c>
      <c r="N10" s="16">
        <v>0.9</v>
      </c>
      <c r="O10" s="15">
        <f t="shared" si="0"/>
        <v>34900</v>
      </c>
      <c r="P10" s="12" t="s">
        <v>20</v>
      </c>
    </row>
    <row r="11" spans="1:16">
      <c r="A11" s="12" t="s">
        <v>167</v>
      </c>
      <c r="B11" s="13">
        <v>46114</v>
      </c>
      <c r="C11" s="13">
        <v>46120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66025030</v>
      </c>
      <c r="K11" s="14" t="s">
        <v>182</v>
      </c>
      <c r="L11" s="14" t="s">
        <v>184</v>
      </c>
      <c r="M11" s="15">
        <v>349000</v>
      </c>
      <c r="N11" s="16">
        <v>0.9</v>
      </c>
      <c r="O11" s="15">
        <f t="shared" si="0"/>
        <v>34900</v>
      </c>
      <c r="P11" s="12" t="s">
        <v>20</v>
      </c>
    </row>
    <row r="12" spans="1:16">
      <c r="A12" s="12" t="s">
        <v>167</v>
      </c>
      <c r="B12" s="13">
        <v>46114</v>
      </c>
      <c r="C12" s="13">
        <v>46120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67303960</v>
      </c>
      <c r="K12" s="14" t="s">
        <v>185</v>
      </c>
      <c r="L12" s="14" t="s">
        <v>186</v>
      </c>
      <c r="M12" s="15">
        <v>349000</v>
      </c>
      <c r="N12" s="16">
        <v>0.9</v>
      </c>
      <c r="O12" s="15">
        <f t="shared" si="0"/>
        <v>34900</v>
      </c>
      <c r="P12" s="12" t="s">
        <v>20</v>
      </c>
    </row>
    <row r="13" spans="1:16">
      <c r="A13" s="12" t="s">
        <v>167</v>
      </c>
      <c r="B13" s="13">
        <v>46114</v>
      </c>
      <c r="C13" s="13">
        <v>46120</v>
      </c>
      <c r="D13" s="12">
        <v>3324</v>
      </c>
      <c r="E13" s="12">
        <v>341</v>
      </c>
      <c r="F13" s="12">
        <v>6</v>
      </c>
      <c r="G13" s="12">
        <v>1</v>
      </c>
      <c r="H13" s="12">
        <v>81413</v>
      </c>
      <c r="I13" s="12" t="s">
        <v>17</v>
      </c>
      <c r="J13" s="14">
        <v>67303979</v>
      </c>
      <c r="K13" s="14" t="s">
        <v>185</v>
      </c>
      <c r="L13" s="14" t="s">
        <v>187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167</v>
      </c>
      <c r="B14" s="13">
        <v>46114</v>
      </c>
      <c r="C14" s="13">
        <v>46120</v>
      </c>
      <c r="D14" s="12">
        <v>3324</v>
      </c>
      <c r="E14" s="12">
        <v>341</v>
      </c>
      <c r="F14" s="12">
        <v>6</v>
      </c>
      <c r="G14" s="12">
        <v>1</v>
      </c>
      <c r="H14" s="12">
        <v>81413</v>
      </c>
      <c r="I14" s="12" t="s">
        <v>17</v>
      </c>
      <c r="J14" s="14">
        <v>67303997</v>
      </c>
      <c r="K14" s="14" t="s">
        <v>188</v>
      </c>
      <c r="L14" s="14" t="s">
        <v>189</v>
      </c>
      <c r="M14" s="15">
        <v>349000</v>
      </c>
      <c r="N14" s="16">
        <v>0.9</v>
      </c>
      <c r="O14" s="15">
        <f t="shared" si="0"/>
        <v>34900</v>
      </c>
      <c r="P14" s="12" t="s">
        <v>20</v>
      </c>
    </row>
    <row r="15" spans="1:16">
      <c r="A15" s="12" t="s">
        <v>167</v>
      </c>
      <c r="B15" s="13">
        <v>46114</v>
      </c>
      <c r="C15" s="13">
        <v>46120</v>
      </c>
      <c r="D15" s="12">
        <v>3324</v>
      </c>
      <c r="E15" s="12">
        <v>341</v>
      </c>
      <c r="F15" s="12">
        <v>6</v>
      </c>
      <c r="G15" s="12">
        <v>1</v>
      </c>
      <c r="H15" s="12">
        <v>81413</v>
      </c>
      <c r="I15" s="12" t="s">
        <v>17</v>
      </c>
      <c r="J15" s="14">
        <v>67304049</v>
      </c>
      <c r="K15" s="14" t="s">
        <v>190</v>
      </c>
      <c r="L15" s="14" t="s">
        <v>191</v>
      </c>
      <c r="M15" s="15">
        <v>349000</v>
      </c>
      <c r="N15" s="16">
        <v>0.9</v>
      </c>
      <c r="O15" s="15">
        <f t="shared" si="0"/>
        <v>34900</v>
      </c>
      <c r="P15" s="12" t="s">
        <v>20</v>
      </c>
    </row>
    <row r="16" spans="1:16">
      <c r="A16" s="12" t="s">
        <v>167</v>
      </c>
      <c r="B16" s="13">
        <v>46114</v>
      </c>
      <c r="C16" s="13">
        <v>46120</v>
      </c>
      <c r="D16" s="12">
        <v>3324</v>
      </c>
      <c r="E16" s="12">
        <v>341</v>
      </c>
      <c r="F16" s="12">
        <v>6</v>
      </c>
      <c r="G16" s="12">
        <v>1</v>
      </c>
      <c r="H16" s="12">
        <v>81413</v>
      </c>
      <c r="I16" s="12" t="s">
        <v>17</v>
      </c>
      <c r="J16" s="14">
        <v>67304058</v>
      </c>
      <c r="K16" s="14" t="s">
        <v>192</v>
      </c>
      <c r="L16" s="14" t="s">
        <v>193</v>
      </c>
      <c r="M16" s="15">
        <v>299000</v>
      </c>
      <c r="N16" s="16">
        <v>0.9</v>
      </c>
      <c r="O16" s="15">
        <f t="shared" si="0"/>
        <v>29900</v>
      </c>
      <c r="P16" s="12" t="s">
        <v>20</v>
      </c>
    </row>
    <row r="17" spans="1:16">
      <c r="A17" s="12" t="s">
        <v>167</v>
      </c>
      <c r="B17" s="13">
        <v>46114</v>
      </c>
      <c r="C17" s="13">
        <v>46120</v>
      </c>
      <c r="D17" s="12">
        <v>3324</v>
      </c>
      <c r="E17" s="12">
        <v>341</v>
      </c>
      <c r="F17" s="12">
        <v>6</v>
      </c>
      <c r="G17" s="12">
        <v>1</v>
      </c>
      <c r="H17" s="12">
        <v>81413</v>
      </c>
      <c r="I17" s="12" t="s">
        <v>17</v>
      </c>
      <c r="J17" s="14">
        <v>67304101</v>
      </c>
      <c r="K17" s="14" t="s">
        <v>194</v>
      </c>
      <c r="L17" s="14" t="s">
        <v>195</v>
      </c>
      <c r="M17" s="15">
        <v>299000</v>
      </c>
      <c r="N17" s="16">
        <v>0.9</v>
      </c>
      <c r="O17" s="15">
        <f t="shared" si="0"/>
        <v>29900</v>
      </c>
      <c r="P17" s="12" t="s">
        <v>20</v>
      </c>
    </row>
    <row r="18" spans="1:16">
      <c r="A18" s="12" t="s">
        <v>167</v>
      </c>
      <c r="B18" s="13">
        <v>46114</v>
      </c>
      <c r="C18" s="13">
        <v>46120</v>
      </c>
      <c r="D18" s="12">
        <v>3324</v>
      </c>
      <c r="E18" s="12">
        <v>341</v>
      </c>
      <c r="F18" s="12">
        <v>6</v>
      </c>
      <c r="G18" s="12">
        <v>1</v>
      </c>
      <c r="H18" s="12">
        <v>81413</v>
      </c>
      <c r="I18" s="12" t="s">
        <v>17</v>
      </c>
      <c r="J18" s="14">
        <v>67304110</v>
      </c>
      <c r="K18" s="14" t="s">
        <v>196</v>
      </c>
      <c r="L18" s="14" t="s">
        <v>197</v>
      </c>
      <c r="M18" s="15">
        <v>349000</v>
      </c>
      <c r="N18" s="16">
        <v>0.9</v>
      </c>
      <c r="O18" s="15">
        <f t="shared" si="0"/>
        <v>34900</v>
      </c>
      <c r="P18" s="12" t="s">
        <v>20</v>
      </c>
    </row>
    <row r="19" spans="1:16">
      <c r="A19" s="12" t="s">
        <v>167</v>
      </c>
      <c r="B19" s="13">
        <v>46114</v>
      </c>
      <c r="C19" s="13">
        <v>46120</v>
      </c>
      <c r="D19" s="12">
        <v>3324</v>
      </c>
      <c r="E19" s="12">
        <v>341</v>
      </c>
      <c r="F19" s="12">
        <v>6</v>
      </c>
      <c r="G19" s="12">
        <v>1</v>
      </c>
      <c r="H19" s="12">
        <v>81413</v>
      </c>
      <c r="I19" s="12" t="s">
        <v>17</v>
      </c>
      <c r="J19" s="14">
        <v>67304138</v>
      </c>
      <c r="K19" s="14" t="s">
        <v>198</v>
      </c>
      <c r="L19" s="14" t="s">
        <v>199</v>
      </c>
      <c r="M19" s="15">
        <v>349000</v>
      </c>
      <c r="N19" s="16">
        <v>0.9</v>
      </c>
      <c r="O19" s="15">
        <f t="shared" si="0"/>
        <v>34900</v>
      </c>
      <c r="P19" s="12" t="s">
        <v>20</v>
      </c>
    </row>
    <row r="20" spans="1:16">
      <c r="A20" s="12" t="s">
        <v>167</v>
      </c>
      <c r="B20" s="13">
        <v>46114</v>
      </c>
      <c r="C20" s="13">
        <v>46120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67304156</v>
      </c>
      <c r="K20" s="14" t="s">
        <v>200</v>
      </c>
      <c r="L20" s="14" t="s">
        <v>201</v>
      </c>
      <c r="M20" s="15">
        <v>299000</v>
      </c>
      <c r="N20" s="16">
        <v>0.9</v>
      </c>
      <c r="O20" s="15">
        <f t="shared" si="0"/>
        <v>29900</v>
      </c>
      <c r="P20" s="12" t="s">
        <v>20</v>
      </c>
    </row>
    <row r="21" spans="1:16">
      <c r="A21" s="12" t="s">
        <v>167</v>
      </c>
      <c r="B21" s="13">
        <v>46114</v>
      </c>
      <c r="C21" s="13">
        <v>46120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67304165</v>
      </c>
      <c r="K21" s="14" t="s">
        <v>202</v>
      </c>
      <c r="L21" s="14" t="s">
        <v>203</v>
      </c>
      <c r="M21" s="15">
        <v>299000</v>
      </c>
      <c r="N21" s="16">
        <v>0.9</v>
      </c>
      <c r="O21" s="15">
        <f t="shared" si="0"/>
        <v>29900</v>
      </c>
      <c r="P21" s="12" t="s">
        <v>20</v>
      </c>
    </row>
    <row r="22" spans="1:16">
      <c r="A22" s="12" t="s">
        <v>167</v>
      </c>
      <c r="B22" s="13">
        <v>46114</v>
      </c>
      <c r="C22" s="13">
        <v>46120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67304209</v>
      </c>
      <c r="K22" s="14" t="s">
        <v>204</v>
      </c>
      <c r="L22" s="14" t="s">
        <v>205</v>
      </c>
      <c r="M22" s="15">
        <v>299000</v>
      </c>
      <c r="N22" s="16">
        <v>0.9</v>
      </c>
      <c r="O22" s="15">
        <f t="shared" si="0"/>
        <v>29900</v>
      </c>
      <c r="P22" s="12" t="s">
        <v>20</v>
      </c>
    </row>
    <row r="23" spans="1:16">
      <c r="A23" s="12" t="s">
        <v>167</v>
      </c>
      <c r="B23" s="13">
        <v>46114</v>
      </c>
      <c r="C23" s="13">
        <v>46120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67858700</v>
      </c>
      <c r="K23" s="14" t="s">
        <v>206</v>
      </c>
      <c r="L23" s="14" t="s">
        <v>207</v>
      </c>
      <c r="M23" s="15">
        <v>349000</v>
      </c>
      <c r="N23" s="16">
        <v>0.9</v>
      </c>
      <c r="O23" s="15">
        <f t="shared" si="0"/>
        <v>34900</v>
      </c>
      <c r="P23" s="12" t="s">
        <v>20</v>
      </c>
    </row>
    <row r="24" spans="1:16">
      <c r="A24" s="12" t="s">
        <v>167</v>
      </c>
      <c r="B24" s="13">
        <v>46114</v>
      </c>
      <c r="C24" s="13">
        <v>46120</v>
      </c>
      <c r="D24" s="12">
        <v>3324</v>
      </c>
      <c r="E24" s="12">
        <v>341</v>
      </c>
      <c r="F24" s="12">
        <v>6</v>
      </c>
      <c r="G24" s="12">
        <v>1</v>
      </c>
      <c r="H24" s="12">
        <v>81413</v>
      </c>
      <c r="I24" s="12" t="s">
        <v>17</v>
      </c>
      <c r="J24" s="14">
        <v>67858719</v>
      </c>
      <c r="K24" s="14" t="s">
        <v>208</v>
      </c>
      <c r="L24" s="14" t="s">
        <v>209</v>
      </c>
      <c r="M24" s="15">
        <v>349000</v>
      </c>
      <c r="N24" s="16">
        <v>0.9</v>
      </c>
      <c r="O24" s="15">
        <f t="shared" si="0"/>
        <v>34900</v>
      </c>
      <c r="P24" s="12" t="s">
        <v>20</v>
      </c>
    </row>
    <row r="25" spans="1:16">
      <c r="A25" s="12" t="s">
        <v>167</v>
      </c>
      <c r="B25" s="13">
        <v>46114</v>
      </c>
      <c r="C25" s="13">
        <v>46120</v>
      </c>
      <c r="D25" s="12">
        <v>3324</v>
      </c>
      <c r="E25" s="12">
        <v>341</v>
      </c>
      <c r="F25" s="12">
        <v>6</v>
      </c>
      <c r="G25" s="12">
        <v>1</v>
      </c>
      <c r="H25" s="12">
        <v>81413</v>
      </c>
      <c r="I25" s="12" t="s">
        <v>17</v>
      </c>
      <c r="J25" s="12">
        <v>67858728</v>
      </c>
      <c r="K25" s="14" t="s">
        <v>210</v>
      </c>
      <c r="L25" s="14" t="s">
        <v>211</v>
      </c>
      <c r="M25" s="15">
        <v>349000</v>
      </c>
      <c r="N25" s="16">
        <v>0.9</v>
      </c>
      <c r="O25" s="15">
        <f t="shared" si="0"/>
        <v>34900</v>
      </c>
      <c r="P25" s="12" t="s">
        <v>20</v>
      </c>
    </row>
    <row r="26" spans="1:16">
      <c r="A26" s="12" t="s">
        <v>167</v>
      </c>
      <c r="B26" s="13">
        <v>46114</v>
      </c>
      <c r="C26" s="13">
        <v>46120</v>
      </c>
      <c r="D26" s="12">
        <v>3324</v>
      </c>
      <c r="E26" s="12">
        <v>341</v>
      </c>
      <c r="F26" s="12">
        <v>6</v>
      </c>
      <c r="G26" s="12">
        <v>1</v>
      </c>
      <c r="H26" s="12">
        <v>81413</v>
      </c>
      <c r="I26" s="12" t="s">
        <v>17</v>
      </c>
      <c r="J26" s="12">
        <v>67858746</v>
      </c>
      <c r="K26" s="14" t="s">
        <v>212</v>
      </c>
      <c r="L26" s="14" t="s">
        <v>213</v>
      </c>
      <c r="M26" s="15">
        <v>299000</v>
      </c>
      <c r="N26" s="16">
        <v>0.9</v>
      </c>
      <c r="O26" s="15">
        <f t="shared" si="0"/>
        <v>29900</v>
      </c>
      <c r="P26" s="12" t="s">
        <v>20</v>
      </c>
    </row>
    <row r="27" spans="1:16">
      <c r="A27" s="12" t="s">
        <v>167</v>
      </c>
      <c r="B27" s="13">
        <v>46114</v>
      </c>
      <c r="C27" s="13">
        <v>46120</v>
      </c>
      <c r="D27" s="12">
        <v>3324</v>
      </c>
      <c r="E27" s="12">
        <v>341</v>
      </c>
      <c r="F27" s="12">
        <v>6</v>
      </c>
      <c r="G27" s="12">
        <v>1</v>
      </c>
      <c r="H27" s="12">
        <v>81413</v>
      </c>
      <c r="I27" s="12" t="s">
        <v>17</v>
      </c>
      <c r="J27" s="12">
        <v>67858755</v>
      </c>
      <c r="K27" s="14" t="s">
        <v>214</v>
      </c>
      <c r="L27" s="14" t="s">
        <v>215</v>
      </c>
      <c r="M27" s="15">
        <v>299000</v>
      </c>
      <c r="N27" s="16">
        <v>0.9</v>
      </c>
      <c r="O27" s="15">
        <f t="shared" si="0"/>
        <v>29900</v>
      </c>
      <c r="P27" s="12" t="s">
        <v>20</v>
      </c>
    </row>
    <row r="28" spans="1:16">
      <c r="A28" s="12" t="s">
        <v>167</v>
      </c>
      <c r="B28" s="13">
        <v>46114</v>
      </c>
      <c r="C28" s="13">
        <v>46120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2">
        <v>67858764</v>
      </c>
      <c r="K28" s="14" t="s">
        <v>216</v>
      </c>
      <c r="L28" s="14" t="s">
        <v>217</v>
      </c>
      <c r="M28" s="15">
        <v>349000</v>
      </c>
      <c r="N28" s="16">
        <v>0.9</v>
      </c>
      <c r="O28" s="15">
        <f t="shared" si="0"/>
        <v>34900</v>
      </c>
      <c r="P28" s="12" t="s">
        <v>20</v>
      </c>
    </row>
    <row r="29" spans="1:16">
      <c r="A29" s="12" t="s">
        <v>167</v>
      </c>
      <c r="B29" s="13">
        <v>46114</v>
      </c>
      <c r="C29" s="13">
        <v>46120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2">
        <v>67858782</v>
      </c>
      <c r="K29" s="14" t="s">
        <v>218</v>
      </c>
      <c r="L29" s="14" t="s">
        <v>219</v>
      </c>
      <c r="M29" s="15">
        <v>299000</v>
      </c>
      <c r="N29" s="16">
        <v>0.9</v>
      </c>
      <c r="O29" s="15">
        <f t="shared" si="0"/>
        <v>29900</v>
      </c>
      <c r="P29" s="12" t="s">
        <v>20</v>
      </c>
    </row>
    <row r="30" spans="1:16">
      <c r="A30" s="12" t="s">
        <v>167</v>
      </c>
      <c r="B30" s="13">
        <v>46114</v>
      </c>
      <c r="C30" s="13">
        <v>46120</v>
      </c>
      <c r="D30" s="12">
        <v>3324</v>
      </c>
      <c r="E30" s="12">
        <v>341</v>
      </c>
      <c r="F30" s="12">
        <v>6</v>
      </c>
      <c r="G30" s="12">
        <v>1</v>
      </c>
      <c r="H30" s="12">
        <v>81413</v>
      </c>
      <c r="I30" s="12" t="s">
        <v>17</v>
      </c>
      <c r="J30" s="12">
        <v>70800630</v>
      </c>
      <c r="K30" s="14" t="s">
        <v>220</v>
      </c>
      <c r="L30" s="14" t="s">
        <v>221</v>
      </c>
      <c r="M30" s="15">
        <v>299000</v>
      </c>
      <c r="N30" s="16">
        <v>0.9</v>
      </c>
      <c r="O30" s="15">
        <f t="shared" si="0"/>
        <v>29900</v>
      </c>
      <c r="P30" s="12" t="s">
        <v>20</v>
      </c>
    </row>
    <row r="31" spans="1:16">
      <c r="A31" s="12" t="s">
        <v>167</v>
      </c>
      <c r="B31" s="13">
        <v>46114</v>
      </c>
      <c r="C31" s="13">
        <v>46120</v>
      </c>
      <c r="D31" s="12">
        <v>3324</v>
      </c>
      <c r="E31" s="12">
        <v>341</v>
      </c>
      <c r="F31" s="12">
        <v>6</v>
      </c>
      <c r="G31" s="12">
        <v>1</v>
      </c>
      <c r="H31" s="12">
        <v>81413</v>
      </c>
      <c r="I31" s="12" t="s">
        <v>17</v>
      </c>
      <c r="J31" s="12">
        <v>75149970</v>
      </c>
      <c r="K31" s="14" t="s">
        <v>222</v>
      </c>
      <c r="L31" s="14" t="s">
        <v>223</v>
      </c>
      <c r="M31" s="15">
        <v>399000</v>
      </c>
      <c r="N31" s="16">
        <v>0.9</v>
      </c>
      <c r="O31" s="15">
        <f t="shared" si="0"/>
        <v>39900</v>
      </c>
      <c r="P31" s="12" t="s">
        <v>20</v>
      </c>
    </row>
    <row r="32" spans="1:16">
      <c r="A32" s="12" t="s">
        <v>167</v>
      </c>
      <c r="B32" s="13">
        <v>46114</v>
      </c>
      <c r="C32" s="13">
        <v>46120</v>
      </c>
      <c r="D32" s="12">
        <v>3324</v>
      </c>
      <c r="E32" s="12">
        <v>341</v>
      </c>
      <c r="F32" s="12">
        <v>6</v>
      </c>
      <c r="G32" s="12">
        <v>1</v>
      </c>
      <c r="H32" s="12">
        <v>81413</v>
      </c>
      <c r="I32" s="12" t="s">
        <v>17</v>
      </c>
      <c r="J32" s="12">
        <v>75150066</v>
      </c>
      <c r="K32" s="14" t="s">
        <v>224</v>
      </c>
      <c r="L32" s="14" t="s">
        <v>225</v>
      </c>
      <c r="M32" s="15">
        <v>349000</v>
      </c>
      <c r="N32" s="16">
        <v>0.9</v>
      </c>
      <c r="O32" s="15">
        <f t="shared" si="0"/>
        <v>34900</v>
      </c>
      <c r="P32" s="12" t="s">
        <v>20</v>
      </c>
    </row>
    <row r="33" spans="1:16">
      <c r="A33" s="12" t="s">
        <v>167</v>
      </c>
      <c r="B33" s="13">
        <v>46114</v>
      </c>
      <c r="C33" s="13">
        <v>46120</v>
      </c>
      <c r="D33" s="12">
        <v>3324</v>
      </c>
      <c r="E33" s="12">
        <v>341</v>
      </c>
      <c r="F33" s="12">
        <v>6</v>
      </c>
      <c r="G33" s="12">
        <v>1</v>
      </c>
      <c r="H33" s="12">
        <v>81413</v>
      </c>
      <c r="I33" s="12" t="s">
        <v>17</v>
      </c>
      <c r="J33" s="12">
        <v>75150075</v>
      </c>
      <c r="K33" s="14" t="s">
        <v>226</v>
      </c>
      <c r="L33" s="14" t="s">
        <v>227</v>
      </c>
      <c r="M33" s="15">
        <v>349000</v>
      </c>
      <c r="N33" s="16">
        <v>0.9</v>
      </c>
      <c r="O33" s="15">
        <f t="shared" si="0"/>
        <v>34900</v>
      </c>
      <c r="P33" s="12" t="s">
        <v>20</v>
      </c>
    </row>
    <row r="34" spans="1:16">
      <c r="A34" s="12" t="s">
        <v>167</v>
      </c>
      <c r="B34" s="13">
        <v>46114</v>
      </c>
      <c r="C34" s="13">
        <v>46120</v>
      </c>
      <c r="D34" s="12">
        <v>3324</v>
      </c>
      <c r="E34" s="12">
        <v>341</v>
      </c>
      <c r="F34" s="12">
        <v>6</v>
      </c>
      <c r="G34" s="12">
        <v>1</v>
      </c>
      <c r="H34" s="12">
        <v>81413</v>
      </c>
      <c r="I34" s="12" t="s">
        <v>17</v>
      </c>
      <c r="J34" s="12">
        <v>75150100</v>
      </c>
      <c r="K34" s="14" t="s">
        <v>228</v>
      </c>
      <c r="L34" s="14" t="s">
        <v>229</v>
      </c>
      <c r="M34" s="15">
        <v>349000</v>
      </c>
      <c r="N34" s="16">
        <v>0.9</v>
      </c>
      <c r="O34" s="15">
        <f t="shared" si="0"/>
        <v>34900</v>
      </c>
      <c r="P34" s="12" t="s">
        <v>20</v>
      </c>
    </row>
    <row r="35" spans="1:16">
      <c r="A35" s="12" t="s">
        <v>167</v>
      </c>
      <c r="B35" s="13">
        <v>46114</v>
      </c>
      <c r="C35" s="13">
        <v>46120</v>
      </c>
      <c r="D35" s="12">
        <v>3324</v>
      </c>
      <c r="E35" s="12">
        <v>341</v>
      </c>
      <c r="F35" s="12">
        <v>6</v>
      </c>
      <c r="G35" s="12">
        <v>1</v>
      </c>
      <c r="H35" s="12">
        <v>80994</v>
      </c>
      <c r="I35" s="12" t="s">
        <v>17</v>
      </c>
      <c r="J35" s="12">
        <v>79065151</v>
      </c>
      <c r="K35" s="14" t="s">
        <v>230</v>
      </c>
      <c r="L35" s="14" t="s">
        <v>231</v>
      </c>
      <c r="M35" s="15">
        <v>399000</v>
      </c>
      <c r="N35" s="16">
        <v>0.9</v>
      </c>
      <c r="O35" s="15">
        <f t="shared" si="0"/>
        <v>39900</v>
      </c>
      <c r="P35" s="12" t="s">
        <v>20</v>
      </c>
    </row>
    <row r="36" spans="1:16">
      <c r="A36" s="12" t="s">
        <v>167</v>
      </c>
      <c r="B36" s="13">
        <v>46114</v>
      </c>
      <c r="C36" s="13">
        <v>46120</v>
      </c>
      <c r="D36" s="12">
        <v>3324</v>
      </c>
      <c r="E36" s="12">
        <v>341</v>
      </c>
      <c r="F36" s="12">
        <v>6</v>
      </c>
      <c r="G36" s="12">
        <v>1</v>
      </c>
      <c r="H36" s="12">
        <v>80994</v>
      </c>
      <c r="I36" s="12" t="s">
        <v>17</v>
      </c>
      <c r="J36" s="12">
        <v>79065160</v>
      </c>
      <c r="K36" s="14" t="s">
        <v>232</v>
      </c>
      <c r="L36" s="14" t="s">
        <v>233</v>
      </c>
      <c r="M36" s="15">
        <v>399000</v>
      </c>
      <c r="N36" s="16">
        <v>0.9</v>
      </c>
      <c r="O36" s="15">
        <f t="shared" si="0"/>
        <v>39900</v>
      </c>
      <c r="P36" s="12" t="s">
        <v>20</v>
      </c>
    </row>
    <row r="37" spans="1:16">
      <c r="A37" s="12" t="s">
        <v>167</v>
      </c>
      <c r="B37" s="13">
        <v>46114</v>
      </c>
      <c r="C37" s="13">
        <v>46120</v>
      </c>
      <c r="D37" s="12">
        <v>3324</v>
      </c>
      <c r="E37" s="12">
        <v>341</v>
      </c>
      <c r="F37" s="12">
        <v>6</v>
      </c>
      <c r="G37" s="12">
        <v>1</v>
      </c>
      <c r="H37" s="12">
        <v>80994</v>
      </c>
      <c r="I37" s="12" t="s">
        <v>17</v>
      </c>
      <c r="J37" s="12">
        <v>79065179</v>
      </c>
      <c r="K37" s="14" t="s">
        <v>234</v>
      </c>
      <c r="L37" s="14" t="s">
        <v>235</v>
      </c>
      <c r="M37" s="15">
        <v>399000</v>
      </c>
      <c r="N37" s="16">
        <v>0.9</v>
      </c>
      <c r="O37" s="15">
        <f t="shared" si="0"/>
        <v>39900</v>
      </c>
      <c r="P37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70" zoomScaleNormal="70" workbookViewId="0">
      <pane ySplit="1" topLeftCell="A2" activePane="bottomLeft" state="frozen"/>
      <selection/>
      <selection pane="bottomLeft" activeCell="B2" sqref="B2:C4"/>
    </sheetView>
  </sheetViews>
  <sheetFormatPr defaultColWidth="25.2727272727273" defaultRowHeight="14.5" outlineLevelRow="3"/>
  <cols>
    <col min="1" max="1" width="17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236</v>
      </c>
      <c r="B2" s="13">
        <v>46114</v>
      </c>
      <c r="C2" s="13">
        <v>46120</v>
      </c>
      <c r="D2" s="12">
        <v>3324</v>
      </c>
      <c r="E2" s="12">
        <v>341</v>
      </c>
      <c r="F2" s="12">
        <v>6</v>
      </c>
      <c r="G2" s="12">
        <v>1</v>
      </c>
      <c r="H2" s="12">
        <v>80895</v>
      </c>
      <c r="I2" s="12" t="s">
        <v>237</v>
      </c>
      <c r="J2" s="14">
        <v>24308198</v>
      </c>
      <c r="K2" s="14" t="s">
        <v>238</v>
      </c>
      <c r="L2" s="14" t="s">
        <v>239</v>
      </c>
      <c r="M2" s="15">
        <v>279900</v>
      </c>
      <c r="N2" s="16">
        <v>0.9</v>
      </c>
      <c r="O2" s="15">
        <f t="shared" ref="O2:O4" si="0">M2-(M2*N2)</f>
        <v>27990</v>
      </c>
      <c r="P2" s="12" t="s">
        <v>20</v>
      </c>
    </row>
    <row r="3" spans="1:16">
      <c r="A3" s="12" t="s">
        <v>236</v>
      </c>
      <c r="B3" s="13">
        <v>46114</v>
      </c>
      <c r="C3" s="13">
        <v>46120</v>
      </c>
      <c r="D3" s="12">
        <v>3324</v>
      </c>
      <c r="E3" s="12">
        <v>341</v>
      </c>
      <c r="F3" s="12">
        <v>6</v>
      </c>
      <c r="G3" s="12">
        <v>1</v>
      </c>
      <c r="H3" s="12">
        <v>80895</v>
      </c>
      <c r="I3" s="12" t="s">
        <v>237</v>
      </c>
      <c r="J3" s="14">
        <v>28528345</v>
      </c>
      <c r="K3" s="14" t="s">
        <v>240</v>
      </c>
      <c r="L3" s="14" t="s">
        <v>241</v>
      </c>
      <c r="M3" s="15">
        <v>299900</v>
      </c>
      <c r="N3" s="16">
        <v>0.9</v>
      </c>
      <c r="O3" s="15">
        <f t="shared" si="0"/>
        <v>29990</v>
      </c>
      <c r="P3" s="12" t="s">
        <v>20</v>
      </c>
    </row>
    <row r="4" spans="1:16">
      <c r="A4" s="12" t="s">
        <v>236</v>
      </c>
      <c r="B4" s="13">
        <v>46114</v>
      </c>
      <c r="C4" s="13">
        <v>46120</v>
      </c>
      <c r="D4" s="12">
        <v>3324</v>
      </c>
      <c r="E4" s="12">
        <v>341</v>
      </c>
      <c r="F4" s="12">
        <v>6</v>
      </c>
      <c r="G4" s="12">
        <v>1</v>
      </c>
      <c r="H4" s="12">
        <v>80895</v>
      </c>
      <c r="I4" s="12" t="s">
        <v>237</v>
      </c>
      <c r="J4" s="14">
        <v>31592788</v>
      </c>
      <c r="K4" s="14" t="s">
        <v>242</v>
      </c>
      <c r="L4" s="14" t="s">
        <v>243</v>
      </c>
      <c r="M4" s="15">
        <v>299900</v>
      </c>
      <c r="N4" s="16">
        <v>0.9</v>
      </c>
      <c r="O4" s="15">
        <f t="shared" si="0"/>
        <v>29990</v>
      </c>
      <c r="P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zoomScale="70" zoomScaleNormal="70" workbookViewId="0">
      <pane ySplit="1" topLeftCell="A2" activePane="bottomLeft" state="frozen"/>
      <selection/>
      <selection pane="bottomLeft" activeCell="B2" sqref="B2:C29"/>
    </sheetView>
  </sheetViews>
  <sheetFormatPr defaultColWidth="25.2727272727273" defaultRowHeight="14.5"/>
  <cols>
    <col min="1" max="1" width="18.0909090909091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244</v>
      </c>
      <c r="B2" s="13">
        <v>46114</v>
      </c>
      <c r="C2" s="13">
        <v>46120</v>
      </c>
      <c r="D2" s="12">
        <v>3324</v>
      </c>
      <c r="E2" s="12">
        <v>341</v>
      </c>
      <c r="F2" s="12">
        <v>6</v>
      </c>
      <c r="G2" s="12">
        <v>1</v>
      </c>
      <c r="H2" s="12">
        <v>81597</v>
      </c>
      <c r="I2" s="12" t="s">
        <v>17</v>
      </c>
      <c r="J2" s="14">
        <v>23297363</v>
      </c>
      <c r="K2" s="14" t="s">
        <v>245</v>
      </c>
      <c r="L2" s="14" t="s">
        <v>246</v>
      </c>
      <c r="M2" s="15">
        <v>49900</v>
      </c>
      <c r="N2" s="16">
        <v>0.9</v>
      </c>
      <c r="O2" s="15">
        <f t="shared" ref="O2:O29" si="0">M2-(M2*N2)</f>
        <v>4990</v>
      </c>
      <c r="P2" s="12" t="s">
        <v>20</v>
      </c>
    </row>
    <row r="3" spans="1:16">
      <c r="A3" s="12" t="s">
        <v>244</v>
      </c>
      <c r="B3" s="13">
        <v>46114</v>
      </c>
      <c r="C3" s="13">
        <v>46120</v>
      </c>
      <c r="D3" s="12">
        <v>3324</v>
      </c>
      <c r="E3" s="12">
        <v>341</v>
      </c>
      <c r="F3" s="12">
        <v>6</v>
      </c>
      <c r="G3" s="12">
        <v>1</v>
      </c>
      <c r="H3" s="12">
        <v>81597</v>
      </c>
      <c r="I3" s="12" t="s">
        <v>17</v>
      </c>
      <c r="J3" s="14">
        <v>23671707</v>
      </c>
      <c r="K3" s="14" t="s">
        <v>247</v>
      </c>
      <c r="L3" s="14" t="s">
        <v>248</v>
      </c>
      <c r="M3" s="15">
        <v>199900</v>
      </c>
      <c r="N3" s="16">
        <v>0.9</v>
      </c>
      <c r="O3" s="15">
        <f t="shared" si="0"/>
        <v>19990</v>
      </c>
      <c r="P3" s="12" t="s">
        <v>20</v>
      </c>
    </row>
    <row r="4" spans="1:16">
      <c r="A4" s="12" t="s">
        <v>244</v>
      </c>
      <c r="B4" s="13">
        <v>46114</v>
      </c>
      <c r="C4" s="13">
        <v>46120</v>
      </c>
      <c r="D4" s="12">
        <v>3324</v>
      </c>
      <c r="E4" s="12">
        <v>341</v>
      </c>
      <c r="F4" s="12">
        <v>6</v>
      </c>
      <c r="G4" s="12">
        <v>1</v>
      </c>
      <c r="H4" s="12">
        <v>81597</v>
      </c>
      <c r="I4" s="12" t="s">
        <v>17</v>
      </c>
      <c r="J4" s="14">
        <v>23671716</v>
      </c>
      <c r="K4" s="14" t="s">
        <v>249</v>
      </c>
      <c r="L4" s="14" t="s">
        <v>250</v>
      </c>
      <c r="M4" s="15">
        <v>199900</v>
      </c>
      <c r="N4" s="16">
        <v>0.9</v>
      </c>
      <c r="O4" s="15">
        <f t="shared" si="0"/>
        <v>19990</v>
      </c>
      <c r="P4" s="12" t="s">
        <v>20</v>
      </c>
    </row>
    <row r="5" spans="1:16">
      <c r="A5" s="12" t="s">
        <v>244</v>
      </c>
      <c r="B5" s="13">
        <v>46114</v>
      </c>
      <c r="C5" s="13">
        <v>46120</v>
      </c>
      <c r="D5" s="12">
        <v>3324</v>
      </c>
      <c r="E5" s="12">
        <v>341</v>
      </c>
      <c r="F5" s="12">
        <v>6</v>
      </c>
      <c r="G5" s="12">
        <v>1</v>
      </c>
      <c r="H5" s="12">
        <v>81597</v>
      </c>
      <c r="I5" s="12" t="s">
        <v>17</v>
      </c>
      <c r="J5" s="14">
        <v>23773713</v>
      </c>
      <c r="K5" s="14" t="s">
        <v>251</v>
      </c>
      <c r="L5" s="14" t="s">
        <v>252</v>
      </c>
      <c r="M5" s="15">
        <v>299000</v>
      </c>
      <c r="N5" s="16">
        <v>0.9</v>
      </c>
      <c r="O5" s="15">
        <f t="shared" si="0"/>
        <v>29900</v>
      </c>
      <c r="P5" s="12" t="s">
        <v>20</v>
      </c>
    </row>
    <row r="6" spans="1:16">
      <c r="A6" s="12" t="s">
        <v>244</v>
      </c>
      <c r="B6" s="13">
        <v>46114</v>
      </c>
      <c r="C6" s="13">
        <v>46120</v>
      </c>
      <c r="D6" s="12">
        <v>3324</v>
      </c>
      <c r="E6" s="12">
        <v>341</v>
      </c>
      <c r="F6" s="12">
        <v>6</v>
      </c>
      <c r="G6" s="12">
        <v>1</v>
      </c>
      <c r="H6" s="12">
        <v>81597</v>
      </c>
      <c r="I6" s="12" t="s">
        <v>17</v>
      </c>
      <c r="J6" s="14">
        <v>23773777</v>
      </c>
      <c r="K6" s="14" t="s">
        <v>253</v>
      </c>
      <c r="L6" s="14" t="s">
        <v>254</v>
      </c>
      <c r="M6" s="15">
        <v>299000</v>
      </c>
      <c r="N6" s="16">
        <v>0.9</v>
      </c>
      <c r="O6" s="15">
        <f t="shared" si="0"/>
        <v>29900</v>
      </c>
      <c r="P6" s="12" t="s">
        <v>20</v>
      </c>
    </row>
    <row r="7" spans="1:16">
      <c r="A7" s="12" t="s">
        <v>244</v>
      </c>
      <c r="B7" s="13">
        <v>46114</v>
      </c>
      <c r="C7" s="13">
        <v>46120</v>
      </c>
      <c r="D7" s="12">
        <v>3324</v>
      </c>
      <c r="E7" s="12">
        <v>341</v>
      </c>
      <c r="F7" s="12">
        <v>6</v>
      </c>
      <c r="G7" s="12">
        <v>1</v>
      </c>
      <c r="H7" s="12">
        <v>80994</v>
      </c>
      <c r="I7" s="12" t="s">
        <v>17</v>
      </c>
      <c r="J7" s="14">
        <v>24307046</v>
      </c>
      <c r="K7" s="14" t="s">
        <v>255</v>
      </c>
      <c r="L7" s="14" t="s">
        <v>256</v>
      </c>
      <c r="M7" s="15">
        <v>299000</v>
      </c>
      <c r="N7" s="16">
        <v>0.9</v>
      </c>
      <c r="O7" s="15">
        <f t="shared" si="0"/>
        <v>29900</v>
      </c>
      <c r="P7" s="12" t="s">
        <v>20</v>
      </c>
    </row>
    <row r="8" spans="1:16">
      <c r="A8" s="12" t="s">
        <v>244</v>
      </c>
      <c r="B8" s="13">
        <v>46114</v>
      </c>
      <c r="C8" s="13">
        <v>46120</v>
      </c>
      <c r="D8" s="12">
        <v>3324</v>
      </c>
      <c r="E8" s="12">
        <v>341</v>
      </c>
      <c r="F8" s="12">
        <v>6</v>
      </c>
      <c r="G8" s="12">
        <v>1</v>
      </c>
      <c r="H8" s="12">
        <v>80994</v>
      </c>
      <c r="I8" s="12" t="s">
        <v>17</v>
      </c>
      <c r="J8" s="14">
        <v>24307368</v>
      </c>
      <c r="K8" s="14" t="s">
        <v>257</v>
      </c>
      <c r="L8" s="14" t="s">
        <v>258</v>
      </c>
      <c r="M8" s="15">
        <v>299000</v>
      </c>
      <c r="N8" s="16">
        <v>0.9</v>
      </c>
      <c r="O8" s="15">
        <f t="shared" si="0"/>
        <v>29900</v>
      </c>
      <c r="P8" s="12" t="s">
        <v>20</v>
      </c>
    </row>
    <row r="9" spans="1:16">
      <c r="A9" s="12" t="s">
        <v>244</v>
      </c>
      <c r="B9" s="13">
        <v>46114</v>
      </c>
      <c r="C9" s="13">
        <v>46120</v>
      </c>
      <c r="D9" s="12">
        <v>3324</v>
      </c>
      <c r="E9" s="12">
        <v>341</v>
      </c>
      <c r="F9" s="12">
        <v>6</v>
      </c>
      <c r="G9" s="12">
        <v>1</v>
      </c>
      <c r="H9" s="12">
        <v>81413</v>
      </c>
      <c r="I9" s="12" t="s">
        <v>17</v>
      </c>
      <c r="J9" s="14">
        <v>24358054</v>
      </c>
      <c r="K9" s="14" t="s">
        <v>259</v>
      </c>
      <c r="L9" s="14" t="s">
        <v>260</v>
      </c>
      <c r="M9" s="15">
        <v>349000</v>
      </c>
      <c r="N9" s="16">
        <v>0.9</v>
      </c>
      <c r="O9" s="15">
        <f t="shared" si="0"/>
        <v>34900</v>
      </c>
      <c r="P9" s="12" t="s">
        <v>20</v>
      </c>
    </row>
    <row r="10" spans="1:16">
      <c r="A10" s="12" t="s">
        <v>244</v>
      </c>
      <c r="B10" s="13">
        <v>46114</v>
      </c>
      <c r="C10" s="13">
        <v>46120</v>
      </c>
      <c r="D10" s="12">
        <v>3324</v>
      </c>
      <c r="E10" s="12">
        <v>341</v>
      </c>
      <c r="F10" s="12">
        <v>6</v>
      </c>
      <c r="G10" s="12">
        <v>1</v>
      </c>
      <c r="H10" s="12">
        <v>80994</v>
      </c>
      <c r="I10" s="12" t="s">
        <v>17</v>
      </c>
      <c r="J10" s="14">
        <v>24369051</v>
      </c>
      <c r="K10" s="14" t="s">
        <v>261</v>
      </c>
      <c r="L10" s="14" t="s">
        <v>262</v>
      </c>
      <c r="M10" s="15">
        <v>299000</v>
      </c>
      <c r="N10" s="16">
        <v>0.9</v>
      </c>
      <c r="O10" s="15">
        <f t="shared" si="0"/>
        <v>29900</v>
      </c>
      <c r="P10" s="12" t="s">
        <v>20</v>
      </c>
    </row>
    <row r="11" spans="1:16">
      <c r="A11" s="12" t="s">
        <v>244</v>
      </c>
      <c r="B11" s="13">
        <v>46114</v>
      </c>
      <c r="C11" s="13">
        <v>46120</v>
      </c>
      <c r="D11" s="12">
        <v>3324</v>
      </c>
      <c r="E11" s="12">
        <v>341</v>
      </c>
      <c r="F11" s="12">
        <v>6</v>
      </c>
      <c r="G11" s="12">
        <v>1</v>
      </c>
      <c r="H11" s="12">
        <v>81413</v>
      </c>
      <c r="I11" s="12" t="s">
        <v>17</v>
      </c>
      <c r="J11" s="14">
        <v>24515866</v>
      </c>
      <c r="K11" s="14" t="s">
        <v>263</v>
      </c>
      <c r="L11" s="14" t="s">
        <v>264</v>
      </c>
      <c r="M11" s="15">
        <v>199900</v>
      </c>
      <c r="N11" s="16">
        <v>0.9</v>
      </c>
      <c r="O11" s="15">
        <f t="shared" si="0"/>
        <v>19990</v>
      </c>
      <c r="P11" s="12" t="s">
        <v>20</v>
      </c>
    </row>
    <row r="12" spans="1:16">
      <c r="A12" s="12" t="s">
        <v>244</v>
      </c>
      <c r="B12" s="13">
        <v>46114</v>
      </c>
      <c r="C12" s="13">
        <v>46120</v>
      </c>
      <c r="D12" s="12">
        <v>3324</v>
      </c>
      <c r="E12" s="12">
        <v>341</v>
      </c>
      <c r="F12" s="12">
        <v>6</v>
      </c>
      <c r="G12" s="12">
        <v>1</v>
      </c>
      <c r="H12" s="12">
        <v>81413</v>
      </c>
      <c r="I12" s="12" t="s">
        <v>17</v>
      </c>
      <c r="J12" s="14">
        <v>24516650</v>
      </c>
      <c r="K12" s="14" t="s">
        <v>265</v>
      </c>
      <c r="L12" s="14" t="s">
        <v>266</v>
      </c>
      <c r="M12" s="15">
        <v>349000</v>
      </c>
      <c r="N12" s="16">
        <v>0.9</v>
      </c>
      <c r="O12" s="15">
        <f t="shared" si="0"/>
        <v>34900</v>
      </c>
      <c r="P12" s="12" t="s">
        <v>20</v>
      </c>
    </row>
    <row r="13" spans="1:16">
      <c r="A13" s="12" t="s">
        <v>244</v>
      </c>
      <c r="B13" s="13">
        <v>46114</v>
      </c>
      <c r="C13" s="13">
        <v>46120</v>
      </c>
      <c r="D13" s="12">
        <v>3324</v>
      </c>
      <c r="E13" s="12">
        <v>341</v>
      </c>
      <c r="F13" s="12">
        <v>6</v>
      </c>
      <c r="G13" s="12">
        <v>1</v>
      </c>
      <c r="H13" s="12">
        <v>81509</v>
      </c>
      <c r="I13" s="12" t="s">
        <v>17</v>
      </c>
      <c r="J13" s="14">
        <v>26216444</v>
      </c>
      <c r="K13" s="14" t="s">
        <v>267</v>
      </c>
      <c r="L13" s="14" t="s">
        <v>268</v>
      </c>
      <c r="M13" s="15">
        <v>349000</v>
      </c>
      <c r="N13" s="16">
        <v>0.9</v>
      </c>
      <c r="O13" s="15">
        <f t="shared" si="0"/>
        <v>34900</v>
      </c>
      <c r="P13" s="12" t="s">
        <v>20</v>
      </c>
    </row>
    <row r="14" spans="1:16">
      <c r="A14" s="12" t="s">
        <v>244</v>
      </c>
      <c r="B14" s="13">
        <v>46114</v>
      </c>
      <c r="C14" s="13">
        <v>46120</v>
      </c>
      <c r="D14" s="12">
        <v>3324</v>
      </c>
      <c r="E14" s="12">
        <v>341</v>
      </c>
      <c r="F14" s="12">
        <v>6</v>
      </c>
      <c r="G14" s="12">
        <v>1</v>
      </c>
      <c r="H14" s="12">
        <v>81509</v>
      </c>
      <c r="I14" s="12" t="s">
        <v>17</v>
      </c>
      <c r="J14" s="14">
        <v>26216588</v>
      </c>
      <c r="K14" s="14" t="s">
        <v>269</v>
      </c>
      <c r="L14" s="14" t="s">
        <v>270</v>
      </c>
      <c r="M14" s="15">
        <v>349900</v>
      </c>
      <c r="N14" s="16">
        <v>0.9</v>
      </c>
      <c r="O14" s="15">
        <f t="shared" si="0"/>
        <v>34990</v>
      </c>
      <c r="P14" s="12" t="s">
        <v>20</v>
      </c>
    </row>
    <row r="15" spans="1:16">
      <c r="A15" s="12" t="s">
        <v>244</v>
      </c>
      <c r="B15" s="13">
        <v>46114</v>
      </c>
      <c r="C15" s="13">
        <v>46120</v>
      </c>
      <c r="D15" s="12">
        <v>3324</v>
      </c>
      <c r="E15" s="12">
        <v>341</v>
      </c>
      <c r="F15" s="12">
        <v>6</v>
      </c>
      <c r="G15" s="12">
        <v>1</v>
      </c>
      <c r="H15" s="12">
        <v>81509</v>
      </c>
      <c r="I15" s="12" t="s">
        <v>17</v>
      </c>
      <c r="J15" s="14">
        <v>26216597</v>
      </c>
      <c r="K15" s="14" t="s">
        <v>271</v>
      </c>
      <c r="L15" s="14" t="s">
        <v>272</v>
      </c>
      <c r="M15" s="15">
        <v>349900</v>
      </c>
      <c r="N15" s="16">
        <v>0.9</v>
      </c>
      <c r="O15" s="15">
        <f t="shared" si="0"/>
        <v>34990</v>
      </c>
      <c r="P15" s="12" t="s">
        <v>20</v>
      </c>
    </row>
    <row r="16" spans="1:16">
      <c r="A16" s="12" t="s">
        <v>244</v>
      </c>
      <c r="B16" s="13">
        <v>46114</v>
      </c>
      <c r="C16" s="13">
        <v>46120</v>
      </c>
      <c r="D16" s="12">
        <v>3324</v>
      </c>
      <c r="E16" s="12">
        <v>341</v>
      </c>
      <c r="F16" s="12">
        <v>6</v>
      </c>
      <c r="G16" s="12">
        <v>1</v>
      </c>
      <c r="H16" s="12">
        <v>81597</v>
      </c>
      <c r="I16" s="12" t="s">
        <v>17</v>
      </c>
      <c r="J16" s="14">
        <v>26393566</v>
      </c>
      <c r="K16" s="14" t="s">
        <v>273</v>
      </c>
      <c r="L16" s="14" t="s">
        <v>274</v>
      </c>
      <c r="M16" s="15">
        <v>349000</v>
      </c>
      <c r="N16" s="16">
        <v>0.9</v>
      </c>
      <c r="O16" s="15">
        <f t="shared" si="0"/>
        <v>34900</v>
      </c>
      <c r="P16" s="12" t="s">
        <v>20</v>
      </c>
    </row>
    <row r="17" spans="1:16">
      <c r="A17" s="12" t="s">
        <v>244</v>
      </c>
      <c r="B17" s="13">
        <v>46114</v>
      </c>
      <c r="C17" s="13">
        <v>46120</v>
      </c>
      <c r="D17" s="12">
        <v>3324</v>
      </c>
      <c r="E17" s="12">
        <v>341</v>
      </c>
      <c r="F17" s="12">
        <v>6</v>
      </c>
      <c r="G17" s="12">
        <v>1</v>
      </c>
      <c r="H17" s="12">
        <v>81597</v>
      </c>
      <c r="I17" s="12" t="s">
        <v>17</v>
      </c>
      <c r="J17" s="14">
        <v>26536349</v>
      </c>
      <c r="K17" s="14" t="s">
        <v>275</v>
      </c>
      <c r="L17" s="14" t="s">
        <v>276</v>
      </c>
      <c r="M17" s="15">
        <v>399000</v>
      </c>
      <c r="N17" s="16">
        <v>0.9</v>
      </c>
      <c r="O17" s="15">
        <f t="shared" si="0"/>
        <v>39900</v>
      </c>
      <c r="P17" s="12" t="s">
        <v>20</v>
      </c>
    </row>
    <row r="18" spans="1:16">
      <c r="A18" s="12" t="s">
        <v>244</v>
      </c>
      <c r="B18" s="13">
        <v>46114</v>
      </c>
      <c r="C18" s="13">
        <v>46120</v>
      </c>
      <c r="D18" s="12">
        <v>3324</v>
      </c>
      <c r="E18" s="12">
        <v>341</v>
      </c>
      <c r="F18" s="12">
        <v>6</v>
      </c>
      <c r="G18" s="12">
        <v>1</v>
      </c>
      <c r="H18" s="12">
        <v>81597</v>
      </c>
      <c r="I18" s="12" t="s">
        <v>17</v>
      </c>
      <c r="J18" s="14">
        <v>26536358</v>
      </c>
      <c r="K18" s="14" t="s">
        <v>277</v>
      </c>
      <c r="L18" s="14" t="s">
        <v>278</v>
      </c>
      <c r="M18" s="15">
        <v>399000</v>
      </c>
      <c r="N18" s="16">
        <v>0.9</v>
      </c>
      <c r="O18" s="15">
        <f t="shared" si="0"/>
        <v>39900</v>
      </c>
      <c r="P18" s="12" t="s">
        <v>20</v>
      </c>
    </row>
    <row r="19" spans="1:16">
      <c r="A19" s="12" t="s">
        <v>244</v>
      </c>
      <c r="B19" s="13">
        <v>46114</v>
      </c>
      <c r="C19" s="13">
        <v>46120</v>
      </c>
      <c r="D19" s="12">
        <v>3324</v>
      </c>
      <c r="E19" s="12">
        <v>341</v>
      </c>
      <c r="F19" s="12">
        <v>6</v>
      </c>
      <c r="G19" s="12">
        <v>1</v>
      </c>
      <c r="H19" s="12">
        <v>81597</v>
      </c>
      <c r="I19" s="12" t="s">
        <v>17</v>
      </c>
      <c r="J19" s="14">
        <v>26536367</v>
      </c>
      <c r="K19" s="14" t="s">
        <v>279</v>
      </c>
      <c r="L19" s="14" t="s">
        <v>280</v>
      </c>
      <c r="M19" s="15">
        <v>399000</v>
      </c>
      <c r="N19" s="16">
        <v>0.9</v>
      </c>
      <c r="O19" s="15">
        <f t="shared" si="0"/>
        <v>39900</v>
      </c>
      <c r="P19" s="12" t="s">
        <v>20</v>
      </c>
    </row>
    <row r="20" spans="1:16">
      <c r="A20" s="12" t="s">
        <v>244</v>
      </c>
      <c r="B20" s="13">
        <v>46114</v>
      </c>
      <c r="C20" s="13">
        <v>46120</v>
      </c>
      <c r="D20" s="12">
        <v>3324</v>
      </c>
      <c r="E20" s="12">
        <v>341</v>
      </c>
      <c r="F20" s="12">
        <v>6</v>
      </c>
      <c r="G20" s="12">
        <v>1</v>
      </c>
      <c r="H20" s="12">
        <v>81413</v>
      </c>
      <c r="I20" s="12" t="s">
        <v>17</v>
      </c>
      <c r="J20" s="14">
        <v>28407510</v>
      </c>
      <c r="K20" s="14" t="s">
        <v>281</v>
      </c>
      <c r="L20" s="14" t="s">
        <v>282</v>
      </c>
      <c r="M20" s="15">
        <v>249900</v>
      </c>
      <c r="N20" s="16">
        <v>0.9</v>
      </c>
      <c r="O20" s="15">
        <f t="shared" si="0"/>
        <v>24990</v>
      </c>
      <c r="P20" s="12" t="s">
        <v>20</v>
      </c>
    </row>
    <row r="21" spans="1:16">
      <c r="A21" s="12" t="s">
        <v>244</v>
      </c>
      <c r="B21" s="13">
        <v>46114</v>
      </c>
      <c r="C21" s="13">
        <v>46120</v>
      </c>
      <c r="D21" s="12">
        <v>3324</v>
      </c>
      <c r="E21" s="12">
        <v>341</v>
      </c>
      <c r="F21" s="12">
        <v>6</v>
      </c>
      <c r="G21" s="12">
        <v>1</v>
      </c>
      <c r="H21" s="12">
        <v>81413</v>
      </c>
      <c r="I21" s="12" t="s">
        <v>17</v>
      </c>
      <c r="J21" s="14">
        <v>28407529</v>
      </c>
      <c r="K21" s="14" t="s">
        <v>283</v>
      </c>
      <c r="L21" s="14" t="s">
        <v>284</v>
      </c>
      <c r="M21" s="15">
        <v>249900</v>
      </c>
      <c r="N21" s="16">
        <v>0.9</v>
      </c>
      <c r="O21" s="15">
        <f t="shared" si="0"/>
        <v>24990</v>
      </c>
      <c r="P21" s="12" t="s">
        <v>20</v>
      </c>
    </row>
    <row r="22" spans="1:16">
      <c r="A22" s="12" t="s">
        <v>244</v>
      </c>
      <c r="B22" s="13">
        <v>46114</v>
      </c>
      <c r="C22" s="13">
        <v>46120</v>
      </c>
      <c r="D22" s="12">
        <v>3324</v>
      </c>
      <c r="E22" s="12">
        <v>341</v>
      </c>
      <c r="F22" s="12">
        <v>6</v>
      </c>
      <c r="G22" s="12">
        <v>1</v>
      </c>
      <c r="H22" s="12">
        <v>81413</v>
      </c>
      <c r="I22" s="12" t="s">
        <v>17</v>
      </c>
      <c r="J22" s="14">
        <v>28407547</v>
      </c>
      <c r="K22" s="14" t="s">
        <v>285</v>
      </c>
      <c r="L22" s="14" t="s">
        <v>286</v>
      </c>
      <c r="M22" s="15">
        <v>249900</v>
      </c>
      <c r="N22" s="16">
        <v>0.9</v>
      </c>
      <c r="O22" s="15">
        <f t="shared" si="0"/>
        <v>24990</v>
      </c>
      <c r="P22" s="12" t="s">
        <v>20</v>
      </c>
    </row>
    <row r="23" spans="1:16">
      <c r="A23" s="12" t="s">
        <v>244</v>
      </c>
      <c r="B23" s="13">
        <v>46114</v>
      </c>
      <c r="C23" s="13">
        <v>46120</v>
      </c>
      <c r="D23" s="12">
        <v>3324</v>
      </c>
      <c r="E23" s="12">
        <v>341</v>
      </c>
      <c r="F23" s="12">
        <v>6</v>
      </c>
      <c r="G23" s="12">
        <v>1</v>
      </c>
      <c r="H23" s="12">
        <v>81413</v>
      </c>
      <c r="I23" s="12" t="s">
        <v>17</v>
      </c>
      <c r="J23" s="14">
        <v>28428015</v>
      </c>
      <c r="K23" s="14" t="s">
        <v>287</v>
      </c>
      <c r="L23" s="14" t="s">
        <v>288</v>
      </c>
      <c r="M23" s="15">
        <v>249900</v>
      </c>
      <c r="N23" s="16">
        <v>0.9</v>
      </c>
      <c r="O23" s="15">
        <f t="shared" si="0"/>
        <v>24990</v>
      </c>
      <c r="P23" s="12" t="s">
        <v>20</v>
      </c>
    </row>
    <row r="24" spans="1:16">
      <c r="A24" s="12" t="s">
        <v>244</v>
      </c>
      <c r="B24" s="13">
        <v>46114</v>
      </c>
      <c r="C24" s="13">
        <v>46120</v>
      </c>
      <c r="D24" s="12">
        <v>3324</v>
      </c>
      <c r="E24" s="12">
        <v>341</v>
      </c>
      <c r="F24" s="12">
        <v>6</v>
      </c>
      <c r="G24" s="12">
        <v>1</v>
      </c>
      <c r="H24" s="12">
        <v>81413</v>
      </c>
      <c r="I24" s="12" t="s">
        <v>17</v>
      </c>
      <c r="J24" s="14">
        <v>28428079</v>
      </c>
      <c r="K24" s="14" t="s">
        <v>289</v>
      </c>
      <c r="L24" s="14" t="s">
        <v>290</v>
      </c>
      <c r="M24" s="15">
        <v>299900</v>
      </c>
      <c r="N24" s="16">
        <v>0.9</v>
      </c>
      <c r="O24" s="15">
        <f t="shared" si="0"/>
        <v>29990</v>
      </c>
      <c r="P24" s="12" t="s">
        <v>20</v>
      </c>
    </row>
    <row r="25" spans="1:16">
      <c r="A25" s="12" t="s">
        <v>244</v>
      </c>
      <c r="B25" s="13">
        <v>46114</v>
      </c>
      <c r="C25" s="13">
        <v>46120</v>
      </c>
      <c r="D25" s="12">
        <v>3324</v>
      </c>
      <c r="E25" s="12">
        <v>341</v>
      </c>
      <c r="F25" s="12">
        <v>6</v>
      </c>
      <c r="G25" s="12">
        <v>1</v>
      </c>
      <c r="H25" s="12">
        <v>81413</v>
      </c>
      <c r="I25" s="12" t="s">
        <v>17</v>
      </c>
      <c r="J25" s="14">
        <v>28428097</v>
      </c>
      <c r="K25" s="14" t="s">
        <v>291</v>
      </c>
      <c r="L25" s="14" t="s">
        <v>292</v>
      </c>
      <c r="M25" s="15">
        <v>299900</v>
      </c>
      <c r="N25" s="16">
        <v>0.9</v>
      </c>
      <c r="O25" s="15">
        <f t="shared" si="0"/>
        <v>29990</v>
      </c>
      <c r="P25" s="12" t="s">
        <v>20</v>
      </c>
    </row>
    <row r="26" spans="1:16">
      <c r="A26" s="12" t="s">
        <v>244</v>
      </c>
      <c r="B26" s="13">
        <v>46114</v>
      </c>
      <c r="C26" s="13">
        <v>46120</v>
      </c>
      <c r="D26" s="12">
        <v>3324</v>
      </c>
      <c r="E26" s="12">
        <v>341</v>
      </c>
      <c r="F26" s="12">
        <v>6</v>
      </c>
      <c r="G26" s="12">
        <v>1</v>
      </c>
      <c r="H26" s="12">
        <v>81413</v>
      </c>
      <c r="I26" s="12" t="s">
        <v>17</v>
      </c>
      <c r="J26" s="14">
        <v>28428104</v>
      </c>
      <c r="K26" s="14" t="s">
        <v>293</v>
      </c>
      <c r="L26" s="14" t="s">
        <v>294</v>
      </c>
      <c r="M26" s="15">
        <v>199900</v>
      </c>
      <c r="N26" s="16">
        <v>0.9</v>
      </c>
      <c r="O26" s="15">
        <f t="shared" si="0"/>
        <v>19990</v>
      </c>
      <c r="P26" s="12" t="s">
        <v>20</v>
      </c>
    </row>
    <row r="27" spans="1:16">
      <c r="A27" s="12" t="s">
        <v>244</v>
      </c>
      <c r="B27" s="13">
        <v>46114</v>
      </c>
      <c r="C27" s="13">
        <v>46120</v>
      </c>
      <c r="D27" s="12">
        <v>3324</v>
      </c>
      <c r="E27" s="12">
        <v>341</v>
      </c>
      <c r="F27" s="12">
        <v>6</v>
      </c>
      <c r="G27" s="12">
        <v>1</v>
      </c>
      <c r="H27" s="12">
        <v>81597</v>
      </c>
      <c r="I27" s="12" t="s">
        <v>17</v>
      </c>
      <c r="J27" s="14">
        <v>28428168</v>
      </c>
      <c r="K27" s="14" t="s">
        <v>295</v>
      </c>
      <c r="L27" s="14" t="s">
        <v>296</v>
      </c>
      <c r="M27" s="15">
        <v>69900</v>
      </c>
      <c r="N27" s="16">
        <v>0.9</v>
      </c>
      <c r="O27" s="15">
        <f t="shared" si="0"/>
        <v>6990</v>
      </c>
      <c r="P27" s="12" t="s">
        <v>20</v>
      </c>
    </row>
    <row r="28" spans="1:16">
      <c r="A28" s="12" t="s">
        <v>244</v>
      </c>
      <c r="B28" s="13">
        <v>46114</v>
      </c>
      <c r="C28" s="13">
        <v>46120</v>
      </c>
      <c r="D28" s="12">
        <v>3324</v>
      </c>
      <c r="E28" s="12">
        <v>341</v>
      </c>
      <c r="F28" s="12">
        <v>6</v>
      </c>
      <c r="G28" s="12">
        <v>1</v>
      </c>
      <c r="H28" s="12">
        <v>81413</v>
      </c>
      <c r="I28" s="12" t="s">
        <v>17</v>
      </c>
      <c r="J28" s="14">
        <v>31267031</v>
      </c>
      <c r="K28" s="14" t="s">
        <v>297</v>
      </c>
      <c r="L28" s="14" t="s">
        <v>298</v>
      </c>
      <c r="M28" s="15">
        <v>249900</v>
      </c>
      <c r="N28" s="16">
        <v>0.9</v>
      </c>
      <c r="O28" s="15">
        <f t="shared" si="0"/>
        <v>24990</v>
      </c>
      <c r="P28" s="12" t="s">
        <v>20</v>
      </c>
    </row>
    <row r="29" spans="1:16">
      <c r="A29" s="12" t="s">
        <v>244</v>
      </c>
      <c r="B29" s="13">
        <v>46114</v>
      </c>
      <c r="C29" s="13">
        <v>46120</v>
      </c>
      <c r="D29" s="12">
        <v>3324</v>
      </c>
      <c r="E29" s="12">
        <v>341</v>
      </c>
      <c r="F29" s="12">
        <v>6</v>
      </c>
      <c r="G29" s="12">
        <v>1</v>
      </c>
      <c r="H29" s="12">
        <v>81413</v>
      </c>
      <c r="I29" s="12" t="s">
        <v>17</v>
      </c>
      <c r="J29" s="14">
        <v>32367654</v>
      </c>
      <c r="K29" s="14" t="s">
        <v>299</v>
      </c>
      <c r="L29" s="14" t="s">
        <v>300</v>
      </c>
      <c r="M29" s="15">
        <v>199900</v>
      </c>
      <c r="N29" s="16">
        <v>0.9</v>
      </c>
      <c r="O29" s="15">
        <f t="shared" si="0"/>
        <v>19990</v>
      </c>
      <c r="P29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zoomScale="70" zoomScaleNormal="70" workbookViewId="0">
      <pane ySplit="1" topLeftCell="A2" activePane="bottomLeft" state="frozen"/>
      <selection/>
      <selection pane="bottomLeft" activeCell="B2" sqref="B2:C4"/>
    </sheetView>
  </sheetViews>
  <sheetFormatPr defaultColWidth="25.2727272727273" defaultRowHeight="14.5" outlineLevelRow="3"/>
  <cols>
    <col min="1" max="1" width="18.0909090909091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3" customWidth="1"/>
    <col min="11" max="11" width="16.1818181818182" style="3" customWidth="1"/>
    <col min="12" max="12" width="70.4545454545455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25.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244</v>
      </c>
      <c r="B2" s="13">
        <v>46114</v>
      </c>
      <c r="C2" s="13">
        <v>46120</v>
      </c>
      <c r="D2" s="12">
        <v>3324</v>
      </c>
      <c r="E2" s="12">
        <v>341</v>
      </c>
      <c r="F2" s="12">
        <v>6</v>
      </c>
      <c r="G2" s="12">
        <v>1</v>
      </c>
      <c r="H2" s="12">
        <v>81413</v>
      </c>
      <c r="I2" s="12" t="s">
        <v>301</v>
      </c>
      <c r="J2" s="14">
        <v>26228771</v>
      </c>
      <c r="K2" s="14" t="s">
        <v>302</v>
      </c>
      <c r="L2" s="14" t="s">
        <v>303</v>
      </c>
      <c r="M2" s="15">
        <v>249000</v>
      </c>
      <c r="N2" s="16">
        <v>0.9</v>
      </c>
      <c r="O2" s="15">
        <f t="shared" ref="O2:O4" si="0">M2-(M2*N2)</f>
        <v>24900</v>
      </c>
      <c r="P2" s="12" t="s">
        <v>20</v>
      </c>
    </row>
    <row r="3" spans="1:16">
      <c r="A3" s="12" t="s">
        <v>244</v>
      </c>
      <c r="B3" s="13">
        <v>46114</v>
      </c>
      <c r="C3" s="13">
        <v>46120</v>
      </c>
      <c r="D3" s="12">
        <v>3324</v>
      </c>
      <c r="E3" s="12">
        <v>341</v>
      </c>
      <c r="F3" s="12">
        <v>6</v>
      </c>
      <c r="G3" s="12">
        <v>1</v>
      </c>
      <c r="H3" s="12">
        <v>81413</v>
      </c>
      <c r="I3" s="12" t="s">
        <v>301</v>
      </c>
      <c r="J3" s="14">
        <v>26228897</v>
      </c>
      <c r="K3" s="14" t="s">
        <v>304</v>
      </c>
      <c r="L3" s="14" t="s">
        <v>305</v>
      </c>
      <c r="M3" s="15">
        <v>249000</v>
      </c>
      <c r="N3" s="16">
        <v>0.9</v>
      </c>
      <c r="O3" s="15">
        <f t="shared" si="0"/>
        <v>24900</v>
      </c>
      <c r="P3" s="12" t="s">
        <v>20</v>
      </c>
    </row>
    <row r="4" spans="1:16">
      <c r="A4" s="12" t="s">
        <v>244</v>
      </c>
      <c r="B4" s="13">
        <v>46114</v>
      </c>
      <c r="C4" s="13">
        <v>46120</v>
      </c>
      <c r="D4" s="12">
        <v>3324</v>
      </c>
      <c r="E4" s="12">
        <v>341</v>
      </c>
      <c r="F4" s="12">
        <v>6</v>
      </c>
      <c r="G4" s="12">
        <v>1</v>
      </c>
      <c r="H4" s="12">
        <v>81413</v>
      </c>
      <c r="I4" s="12" t="s">
        <v>301</v>
      </c>
      <c r="J4" s="14">
        <v>26229083</v>
      </c>
      <c r="K4" s="14" t="s">
        <v>306</v>
      </c>
      <c r="L4" s="14" t="s">
        <v>307</v>
      </c>
      <c r="M4" s="15">
        <v>249000</v>
      </c>
      <c r="N4" s="16">
        <v>0.9</v>
      </c>
      <c r="O4" s="15">
        <f t="shared" si="0"/>
        <v>24900</v>
      </c>
      <c r="P4" s="12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2024 APR-JUN D75</vt:lpstr>
      <vt:lpstr>2024 JAN-MAR D75</vt:lpstr>
      <vt:lpstr>2023 H2 D90</vt:lpstr>
      <vt:lpstr>2023 H1 D90</vt:lpstr>
      <vt:lpstr>2022 D90</vt:lpstr>
      <vt:lpstr>2021 - 2019 D90 LITTLE M</vt:lpstr>
      <vt:lpstr>2021 - 2019 D90 NEVADA</vt:lpstr>
      <vt:lpstr>2021 - 2019 D90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2026-03-31T07:00:41Z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A934DE2DB6E6464E94B5C755EDEBE985_13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