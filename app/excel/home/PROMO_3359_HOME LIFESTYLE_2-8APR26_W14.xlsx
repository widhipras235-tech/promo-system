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5" activeTab="9"/>
  </bookViews>
  <sheets>
    <sheet name="2025 H1 BONBOX ALL D50" sheetId="39" r:id="rId1"/>
    <sheet name="2025 H1 GREENLEAF ALL D50" sheetId="42" r:id="rId2"/>
    <sheet name="2025 H1 HOMECO LIVING ALL D50" sheetId="43" r:id="rId3"/>
    <sheet name="2025 H1 LUNGO ALL D50" sheetId="44" r:id="rId4"/>
    <sheet name="2025 H1 MATAHARI ALL D50" sheetId="45" r:id="rId5"/>
    <sheet name="2025 H1 TECHNOPLAST ALL D50" sheetId="46" r:id="rId6"/>
    <sheet name="2025 H1 WIGGLE ALL D50" sheetId="47" r:id="rId7"/>
    <sheet name="2025 H1 CLC SP29.9K" sheetId="36" r:id="rId8"/>
    <sheet name="2025 H2 TUMBLER D50" sheetId="35" r:id="rId9"/>
    <sheet name="2025 H2 FLOOR CSHN B1D20 B2G1" sheetId="33" r:id="rId10"/>
  </sheets>
  <definedNames>
    <definedName name="_xlnm._FilterDatabase" localSheetId="0" hidden="1">'2025 H1 BONBOX ALL D50'!$A$1:$P$6</definedName>
    <definedName name="_xlnm._FilterDatabase" localSheetId="1" hidden="1">'2025 H1 GREENLEAF ALL D50'!$A$1:$P$16</definedName>
    <definedName name="_xlnm._FilterDatabase" localSheetId="2" hidden="1">'2025 H1 HOMECO LIVING ALL D50'!$A$1:$P$10</definedName>
    <definedName name="_xlnm._FilterDatabase" localSheetId="3" hidden="1">'2025 H1 LUNGO ALL D50'!$A$1:$P$6</definedName>
    <definedName name="_xlnm._FilterDatabase" localSheetId="4" hidden="1">'2025 H1 MATAHARI ALL D50'!$A$1:$P$15</definedName>
    <definedName name="_xlnm._FilterDatabase" localSheetId="5" hidden="1">'2025 H1 TECHNOPLAST ALL D50'!$A$1:$P$25</definedName>
    <definedName name="_xlnm._FilterDatabase" localSheetId="6" hidden="1">'2025 H1 WIGGLE ALL D50'!$A$1:$P$4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<sst xmlns="http://schemas.openxmlformats.org/spreadsheetml/2006/main" count="571" uniqueCount="194">
  <si>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</si>
  <si>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</si>
  <si>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</si>
  <si>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</si>
  <si>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</si>
  <si>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</si>
  <si>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</si>
  <si>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</si>
  <si>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</si>
  <si>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</si>
  <si>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</si>
  <si>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</si>
  <si>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</si>
  <si>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</si>
  <si>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</si>
  <si>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</si>
  <si>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BONBOX ALL D50</t>
  </si>
  <si>
    <t>BONBOX</t>
  </si>
  <si>
    <t>WKLNCHBG1</t>
  </si>
  <si>
    <t>LUNCH BAG WOOK WKLNCHBG1:BLACK:F:SOLID:LUNCH BAG</t>
  </si>
  <si>
    <t>PERCENTAGE</t>
  </si>
  <si>
    <t>LUNCH BAG WOOK WKLNCHBG1:PASTEL GREY:F:SOLID:LUNCH BAG</t>
  </si>
  <si>
    <t>LUNCH BAG WOOK WKLNCHBG1:NAVY BLUE:F:SOLID:LUNCH BAG</t>
  </si>
  <si>
    <t>WKLNCHBG2</t>
  </si>
  <si>
    <t>LUNCH BAG WOOK 2 WKLNCHBG2:NAVY BLUE:F:SOLID:LUNCH BAG</t>
  </si>
  <si>
    <t>LUNCH BAG WOOK 2 WKLNCHBG2:PASTEL PINK:F:SOLID:LUNCH BAG</t>
  </si>
  <si>
    <t>2025 H1 GREENLEAF ALL D50</t>
  </si>
  <si>
    <t>GREENLEAF</t>
  </si>
  <si>
    <t>LINEA1</t>
  </si>
  <si>
    <t>STORAGE LINEA LACI ORGANISER 170 X 114 X 55 MM LINEA1:ASSORTIVE COLOR:F:SOLID:STORAGE</t>
  </si>
  <si>
    <t>LINEA2</t>
  </si>
  <si>
    <t>STORAGE LINEA LACI ORGANISER 240 X 85 X 55 MM LINEA2:ASSORTIVE COLOR:F:SOLID:STORAGE</t>
  </si>
  <si>
    <t>LINEA3</t>
  </si>
  <si>
    <t>STORAGE LINEA LACI ORGANISER 240 X 180 X 55 MM LINEA3:ASSORTIVE COLOR:F:SOLID:STORAGE</t>
  </si>
  <si>
    <t>SOFIA1</t>
  </si>
  <si>
    <t>STORAGE KERANJANG PENYIMPANAN D/TUTUP SOFIA 263 X 200 X 106 MM SOFIA1:ASSORTIVE COLOR:F:SOLID:STORAG</t>
  </si>
  <si>
    <t>SOFIA2</t>
  </si>
  <si>
    <t>STORAGE KERANJANG PENYIMPANAN D/TUTUP SOFIA 313 X 247 X 124 MM SOFIA2:ASSORTIVE COLOR:F:SOLID:STORAG</t>
  </si>
  <si>
    <t>WILLOW1</t>
  </si>
  <si>
    <t>STORAGE WADAH LACI ORGANISER WILLOW 183 X 96 X 59 MM WILLOW1:ASSORTIVE COLOR:F:SOLID:STORAGE</t>
  </si>
  <si>
    <t>SRBGN1</t>
  </si>
  <si>
    <t>STORAGE KOTAK PENYIMPANAN SERBAGUNA 510ML SRBGN1:ASSORTIVE COLOR:F:SOLID:STORAGE</t>
  </si>
  <si>
    <t>SEIKA1</t>
  </si>
  <si>
    <t>STORAGE KOTAK SERBAGUNA SEIKA 190ML SEIKA1:ASSORTIVE COLOR:F:SOLID:STORAGE</t>
  </si>
  <si>
    <t>AYASHI1</t>
  </si>
  <si>
    <t>STORAGE KOTAK SERBAGUNA AYASHI 200 ML AYASHI1:ASSORTIVE COLOR:F:SOLID:STORAGE</t>
  </si>
  <si>
    <t>SRBGN2</t>
  </si>
  <si>
    <t>STORAGE KOTAK SERBAGUNA 800ML SRBGN2:ASSORTIVE COLOR:F:SOLID:STORAGE</t>
  </si>
  <si>
    <t>SRBGN3</t>
  </si>
  <si>
    <t>STORAGE KOTAK SERBAGUNA 1.4L SRBGN3:ASSORTIVE COLOR:F:SOLID:STORAGE</t>
  </si>
  <si>
    <t>SRBGN4</t>
  </si>
  <si>
    <t>STORAGE KOTAK SERBAGUNA 550ML SRBGN4:ASSORTIVE COLOR:F:SOLID:STORAGE</t>
  </si>
  <si>
    <t>SRBGN5</t>
  </si>
  <si>
    <t>STORAGE KOTAK SERBAGUNA 800ML SRBGN5:ASSORTIVE COLOR:F:SOLID:STORAGE</t>
  </si>
  <si>
    <t>SRBGN6</t>
  </si>
  <si>
    <t>STORAGE KOTAK SERBAGUNA 1L SRBGN6:ASSORTIVE COLOR:F:SOLID:STORAGE</t>
  </si>
  <si>
    <t>TSMPHE</t>
  </si>
  <si>
    <t>BIN TONG SAMPAH ESPRESSO TSMPHE:ASSORTIVE COLOR:F:SOLID:BIN</t>
  </si>
  <si>
    <t>2025 H1 HOMECO LIVING ALL D50</t>
  </si>
  <si>
    <t>HOMECO LIVING</t>
  </si>
  <si>
    <t>CLRWTRBTL1</t>
  </si>
  <si>
    <t>BOTTLE COLOR FUN WATER PC 800 ML CLRWTRBTL1:ASSORTIVE COLOR:F:PRINT:BOTTLE</t>
  </si>
  <si>
    <t>MGSHRK</t>
  </si>
  <si>
    <t>MUG SHARK 3D 11OZ MGSHRK:ASSORTIVE COLOR:F:TEXTURE:MUG</t>
  </si>
  <si>
    <t>MGGJH</t>
  </si>
  <si>
    <t>MUG GAJAH COLOR 11OZ MGGJH:ASSORTIVE COLOR:F:TEXTURE:MUG</t>
  </si>
  <si>
    <t>MGCHCKN</t>
  </si>
  <si>
    <t>MUG CHICKEN 3D 11OZ MGCHCKN:ASSORTIVE COLOR:F:TEXTURE:MUG</t>
  </si>
  <si>
    <t>BWLCHCKNH</t>
  </si>
  <si>
    <t>BOWLS CHICKEN 3D SINGLE HANDLE 5.5 BWLCHCKNH:ASSORTIVE COLOR:F:TEXTURE:BOWLS</t>
  </si>
  <si>
    <t>BWLCHCKN</t>
  </si>
  <si>
    <t>BOWLS CHICKEN 3D 5.5 BWLCHCKN:ASSORTIVE COLOR:F:PRINT:BOWLS</t>
  </si>
  <si>
    <t>MGEMJ</t>
  </si>
  <si>
    <t>MUG EMOJI 11 OZ MGEMJ:ASSORTIVE COLOR:F:PRINT:MUG</t>
  </si>
  <si>
    <t>MDEBOSSQN</t>
  </si>
  <si>
    <t>MUG MUG DEBOSS WANDERLUST WITH SLEEVE 12OZ MDEBOSSQN:ASSORTIVE COLOR:F:PRINT:MUG</t>
  </si>
  <si>
    <t>MGCHCKN2</t>
  </si>
  <si>
    <t>MUG MUG CHICKEN 11OZ MGCHCKN2:CLASSIC YELLOW:F:PRINT:MUG</t>
  </si>
  <si>
    <t>2025 H1 LUNGO ALL D50</t>
  </si>
  <si>
    <t>LUNGO</t>
  </si>
  <si>
    <t>LG4DM</t>
  </si>
  <si>
    <t>GEMBOK LUNGO 4 DIGIT MIX LG4DM:ASSORTIVE COLOR:F:SOLID:GEMBOK</t>
  </si>
  <si>
    <t>L2PLT</t>
  </si>
  <si>
    <t>LUGGAGE ID TAG LUNGO 2 PCS MIX L2PLT:ASSORTIVE COLOR:F:PRINT:LUGGAGE ID TAG</t>
  </si>
  <si>
    <t>LUGCM</t>
  </si>
  <si>
    <t>CASE LUGGAGE COVER M LUGCM:ASSORTIVE COLOR:F:PRINT:CASE</t>
  </si>
  <si>
    <t>LUGCL</t>
  </si>
  <si>
    <t>CASE LUGGAGE COVER M LUGCL:ASSORTIVE COLOR:F:PRINT:CASE</t>
  </si>
  <si>
    <t>LUPLT</t>
  </si>
  <si>
    <t>UMBRELLA LUNGO PAYUNG LIPAT LUPLT:ASSORTIVE COLOR:F:SOLID:UMBRELLA</t>
  </si>
  <si>
    <t>2025 H1 MATAHARI ALL D50</t>
  </si>
  <si>
    <t>MATAHARI</t>
  </si>
  <si>
    <t>PFXF-93</t>
  </si>
  <si>
    <t>FRAME PLASTIC PHOTO FRAME XF-93 40X19CM PFXF-93:WHITE:F:SOLID:FRAME</t>
  </si>
  <si>
    <t>PFXF-126</t>
  </si>
  <si>
    <t>FRAME PLASTIC PHOTO FRAME XF-126 23X28CM PFXF-126:WHITE:F:SOLID:FRAME</t>
  </si>
  <si>
    <t>VSA027</t>
  </si>
  <si>
    <t>VASE VASE A027 9X18CM VSA027:ASSORTIVE COLOR:F:SOLID:VASE</t>
  </si>
  <si>
    <t>VSA029</t>
  </si>
  <si>
    <t>VASE VASE A029 5X13.5CM VSA029:ASSORTIVE COLOR:F:SOLID:VASE</t>
  </si>
  <si>
    <t>VSA030</t>
  </si>
  <si>
    <t>VASE VASE A030 6X8.5CM VSA030:ASSORTIVE COLOR:F:SOLID:VASE</t>
  </si>
  <si>
    <t>VSA031</t>
  </si>
  <si>
    <t>VASE VASE A031 11X12CM VSA031:ASSORTIVE COLOR:F:SOLID:VASE</t>
  </si>
  <si>
    <t>VSA034</t>
  </si>
  <si>
    <t>VASE VASE A034 7X12.5CM VSA034:ASSORTIVE COLOR:F:SOLID:VASE</t>
  </si>
  <si>
    <t>VSA035</t>
  </si>
  <si>
    <t>VASE VASE A035 7X11CM VSA035:ASSORTIVE COLOR:F:SOLID:VASE</t>
  </si>
  <si>
    <t>VSA036</t>
  </si>
  <si>
    <t>VASE VASE A036 11X20CM VSA036:ASSORTIVE COLOR:F:SOLID:VASE</t>
  </si>
  <si>
    <t>VSA037</t>
  </si>
  <si>
    <t>VASE VASE A037 13X16CM VSA037:ASSORTIVE COLOR:F:SOLID:VASE</t>
  </si>
  <si>
    <t>VSA038</t>
  </si>
  <si>
    <t>VASE VASE A038 13X16CM VSA038:ASSORTIVE COLOR:F:SOLID:VASE</t>
  </si>
  <si>
    <t>VSA039</t>
  </si>
  <si>
    <t>VASE VASE A039 5X14CM VSA039:BLACK:F:SOLID:VASE</t>
  </si>
  <si>
    <t>VSA040</t>
  </si>
  <si>
    <t>VASE VASE A040 7X19CM VSA040:BLACK:F:SOLID:VASE</t>
  </si>
  <si>
    <t>VSA041</t>
  </si>
  <si>
    <t>VASE VASE A041 9X24CM VSA041:BLACK:F:SOLID:VASE</t>
  </si>
  <si>
    <t>2025 H1 TECHNOPLAST ALL D50</t>
  </si>
  <si>
    <t>TECHNOPLAST</t>
  </si>
  <si>
    <t>NXTCFTMBL2</t>
  </si>
  <si>
    <t>TUMBLER NEXTCOFFEE STRAW 850ML NXTCFTMBL2:ASSORTIVE COLOR:F:PRINT:TUMBLER</t>
  </si>
  <si>
    <t>MNGSPLS</t>
  </si>
  <si>
    <t>BOWLS SAUCE PLASTIK SET OF 3 88 X 88 X 50MM MNGSPLS:ASSORTIVE COLOR:F:SOLID:BOWLS</t>
  </si>
  <si>
    <t>MNGSPLS4</t>
  </si>
  <si>
    <t>BOWLS PLASTIK MAKAN 4 SET OF 3 MNGSPLS4:ASSORTIVE COLOR:F:SOLID:BOWLS</t>
  </si>
  <si>
    <t>PRGPLKTK5</t>
  </si>
  <si>
    <t>PLATE PLASTIK MAKAN KOTAK 5 SET OF 3 PRGPLKTK5:ASSORTIVE COLOR:F:SOLID:PLATE</t>
  </si>
  <si>
    <t>MNGSPLS5</t>
  </si>
  <si>
    <t>BOWLS PLASTIK MAKAN 5 SET OF 3 MNGSPLS5:ASSORTIVE COLOR:F:SOLID:BOWLS</t>
  </si>
  <si>
    <t>MNGSPLSH6</t>
  </si>
  <si>
    <t>BOWLS PLASTIK MAKAN 5 SET OF 3 MNGSPLSH6:ASSORTIVE COLOR:F:SOLID:BOWLS</t>
  </si>
  <si>
    <t>MNGPLS6</t>
  </si>
  <si>
    <t>BOWLS PLASTIK MAKAN 5 SET OF 3 MNGPLS6:ASSORTIVE COLOR:F:SOLID:BOWLS</t>
  </si>
  <si>
    <t>PRGPLKTK7</t>
  </si>
  <si>
    <t>PLATE PLASTIK MAKAN KOTAK 7 SET OF 3 PRGPLKTK7:ASSORTIVE COLOR:F:SOLID:PLATE</t>
  </si>
  <si>
    <t>PRGPLBLT7</t>
  </si>
  <si>
    <t>PLATE PLASTIK MAKAN KOTAK 7 SET OF 3 PRGPLBLT7:ASSORTIVE COLOR:F:SOLID:PLATE</t>
  </si>
  <si>
    <t>MNGPLS7</t>
  </si>
  <si>
    <t>BOWLS PLASTIK MAKAN 7 SET OF 3 MNGPLS7:ASSORTIVE COLOR:F:SOLID:BOWLS</t>
  </si>
  <si>
    <t>MNGPLS8</t>
  </si>
  <si>
    <t>BOWLS PLASTIK 8 SET OF 3 MNGPLS8:ASSORTIVE COLOR:F:SOLID:BOWLS</t>
  </si>
  <si>
    <t>PRGPLBLT9</t>
  </si>
  <si>
    <t>PLATE MAKAN PLASTIK 9 SET OF 3 PRGPLBLT9:ASSORTIVE COLOR:F:SOLID:PLATE</t>
  </si>
  <si>
    <t>GLSPLDHN</t>
  </si>
  <si>
    <t>GLASS PLASTIK D HANDLE SET OF 3 GLSPLDHN:ASSORTIVE COLOR:F:SOLID:GLASS</t>
  </si>
  <si>
    <t>GLSPL</t>
  </si>
  <si>
    <t>GLASS PLASTIK SET OF 3 GLSPL:ASSORTIVE COLOR:F:SOLID:GLASS</t>
  </si>
  <si>
    <t>AOKI1</t>
  </si>
  <si>
    <t>BOTTLE NEW AOKI NEON 530 ML AOKI1:ASSORTIVE COLOR:F:SOLID:BOTTLE</t>
  </si>
  <si>
    <t>AOKI2</t>
  </si>
  <si>
    <t>BOTTLE NEW AOKI NEON 800 ML AOKI2:ASSORTIVE COLOR:F:SOLID:BOTTLE</t>
  </si>
  <si>
    <t>BTLIOTG700</t>
  </si>
  <si>
    <t>BOTTLE INFUSED ON THE GO 700 ML BTLIOTG700:ASSORTIVE COLOR:F:PRINT:BOTTLE</t>
  </si>
  <si>
    <t>FDCNTSOTG1000</t>
  </si>
  <si>
    <t>CONTAINER FOOD SEALWARE ON THE GO 1000 ML FDCNTSOTG1000:ASSORTIVE COLOR:F:PRINT:CONTAINER</t>
  </si>
  <si>
    <t>FDCNTBAR1800</t>
  </si>
  <si>
    <t>CONTAINER FOOD BON APETIT ROUND 1800 ML FDCNTBAR1800:ASSORTIVE COLOR:F:SOLID:CONTAINER</t>
  </si>
  <si>
    <t>FDCNTBAR500</t>
  </si>
  <si>
    <t>CONTAINER FOOD BON APETIT ROUND 500 ML FDCNTBAR500:ASSORTIVE COLOR:F:SOLID:CONTAINER</t>
  </si>
  <si>
    <t>FDCNTBAR450</t>
  </si>
  <si>
    <t>CONTAINER FOOD BON APETIT RECTANGLE 450 ML FDCNTBAR450:ASSORTIVE COLOR:F:SOLID:CONTAINER</t>
  </si>
  <si>
    <t>FDCNTBAR786</t>
  </si>
  <si>
    <t>CONTAINER FOOD BON APETIT RECTANGLE 786 ML FDCNTBAR786:ASSORTIVE COLOR:F:SOLID:CONTAINER</t>
  </si>
  <si>
    <t>T+ACTIVE1</t>
  </si>
  <si>
    <t>TUMBLER T+ ACTIVE SPORT FLIPTOP TUMBLER 500ML T+ACTIVE1:ASSORTIVE COLOR:F:SOLID:TUMBLER</t>
  </si>
  <si>
    <t>T+ACTIVE2</t>
  </si>
  <si>
    <t>TUMBLER T+ ACTIVE SPORT SQUARE TUMBLER 500ML T+ACTIVE2:ASSORTIVE COLOR:F:SOLID:TUMBLER</t>
  </si>
  <si>
    <t>2025 H1 WIGGLE ALL D50</t>
  </si>
  <si>
    <t>WIGGLE</t>
  </si>
  <si>
    <t>WHDFB</t>
  </si>
  <si>
    <t>BOTTLE WIGGLE HELLO DINO FLIPTOP 530 ML WHDFB:ASSORTIVE COLOR:F:PRINT:BOTTLE</t>
  </si>
  <si>
    <t>WHDLB</t>
  </si>
  <si>
    <t>LUNCH BOX WIGGLE HELLO DINO 750 ML WHDLB:ASSORTIVE COLOR:F:PRINT:LUNCH BOX</t>
  </si>
  <si>
    <t>WHDCP</t>
  </si>
  <si>
    <t>CELENGAN WIGGLE HELLO DINO PLASTIK 100 X 175 MM WHDCP:ASSORTIVE COLOR:F:PRINT:CELENGAN</t>
  </si>
  <si>
    <t>2025 H1 CLC SP29.9K</t>
  </si>
  <si>
    <t>ALCLCK</t>
  </si>
  <si>
    <t>CLOCK ALARM CLOCK 8.5X4X11.5CM ALCLCK:ASSORTIVE COLOR:F:SOLID:CLOCK</t>
  </si>
  <si>
    <t>2025 H2 TUMBLER D50</t>
  </si>
  <si>
    <t>24MT-008</t>
  </si>
  <si>
    <t>TUMBLER WATER CUP 24MT-008 24MT-008:ASSORTIVE COLOR:F:SOLID:TUMBLER</t>
  </si>
  <si>
    <t>25MT-37</t>
  </si>
  <si>
    <t>TUMBLER PLASTIC CUP 25MT-37 25MT-37:ASSORTIVE COLOR:F:SOLID:TUMBLER</t>
  </si>
  <si>
    <t>2025 H1 FLOOR CSHN B1D20 B2G1</t>
  </si>
  <si>
    <t>CONNEXION</t>
  </si>
  <si>
    <t>CNXFLRCSH</t>
  </si>
  <si>
    <t>FLOOR CUSHION CONNEXION FLOOR CUSHION 51X51 CM CNXFLRCSH:TAUPE GREY:F:SOLID:FLOOR CUSHION</t>
  </si>
  <si>
    <t>BXGY</t>
  </si>
  <si>
    <t xml:space="preserve"> B1D20%/B2G1</t>
  </si>
  <si>
    <t>FLOOR CUSHION CONNEXION FLOOR CUSHION 51X51 CM CNXFLRCSH:LIGHT DENIM:F:SOLID:FLOOR CUSHION</t>
  </si>
  <si>
    <t>FLOOR CUSHION CONNEXION FLOOR CUSHION 51X51 CM CNXFLRCSH:MISTY DARK BROWN:F:SOLID:FLOOR CUSHION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</si>
</sst>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#,###.##000"/>
    <numFmt numFmtId="183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82" fontId="2" fillId="0" borderId="1" xfId="0" applyNumberFormat="1" applyFont="1" applyBorder="1"/>
    <xf numFmtId="9" fontId="0" fillId="0" borderId="1" xfId="0" applyNumberForma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81" fontId="1" fillId="2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83" fontId="0" fillId="0" borderId="1" xfId="1" applyNumberFormat="1" applyBorder="1" applyAlignment="1">
      <alignment horizontal="center" vertical="center"/>
    </xf>
    <xf numFmtId="183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B2" sqref="B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1.6454545454545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9">
        <v>81833</v>
      </c>
      <c r="I2" s="9" t="s">
        <v>17</v>
      </c>
      <c r="J2" s="21">
        <v>53130977</v>
      </c>
      <c r="K2" s="21" t="s">
        <v>18</v>
      </c>
      <c r="L2" s="21" t="s">
        <v>19</v>
      </c>
      <c r="M2" s="19">
        <v>49000</v>
      </c>
      <c r="N2" s="14">
        <v>0.5</v>
      </c>
      <c r="O2" s="20">
        <f t="shared" ref="O2:O6" si="0">M2*(1-N2)</f>
        <v>24500</v>
      </c>
      <c r="P2" s="9" t="s">
        <v>20</v>
      </c>
    </row>
    <row r="3" spans="1:16">
      <c r="A3" s="9" t="s">
        <v>16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9">
        <v>81833</v>
      </c>
      <c r="I3" s="9" t="s">
        <v>17</v>
      </c>
      <c r="J3" s="21">
        <v>53130986</v>
      </c>
      <c r="K3" s="21" t="s">
        <v>18</v>
      </c>
      <c r="L3" s="21" t="s">
        <v>21</v>
      </c>
      <c r="M3" s="19">
        <v>49000</v>
      </c>
      <c r="N3" s="14">
        <v>0.5</v>
      </c>
      <c r="O3" s="20">
        <f t="shared" si="0"/>
        <v>24500</v>
      </c>
      <c r="P3" s="9" t="s">
        <v>20</v>
      </c>
    </row>
    <row r="4" spans="1:16">
      <c r="A4" s="9" t="s">
        <v>16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3</v>
      </c>
      <c r="H4" s="9">
        <v>81833</v>
      </c>
      <c r="I4" s="9" t="s">
        <v>17</v>
      </c>
      <c r="J4" s="21">
        <v>53130995</v>
      </c>
      <c r="K4" s="21" t="s">
        <v>18</v>
      </c>
      <c r="L4" s="21" t="s">
        <v>22</v>
      </c>
      <c r="M4" s="19">
        <v>49000</v>
      </c>
      <c r="N4" s="14">
        <v>0.5</v>
      </c>
      <c r="O4" s="20">
        <f t="shared" si="0"/>
        <v>24500</v>
      </c>
      <c r="P4" s="9" t="s">
        <v>20</v>
      </c>
    </row>
    <row r="5" spans="1:16">
      <c r="A5" s="9" t="s">
        <v>16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3</v>
      </c>
      <c r="H5" s="9">
        <v>81833</v>
      </c>
      <c r="I5" s="9" t="s">
        <v>17</v>
      </c>
      <c r="J5" s="21">
        <v>53131001</v>
      </c>
      <c r="K5" s="21" t="s">
        <v>23</v>
      </c>
      <c r="L5" s="21" t="s">
        <v>24</v>
      </c>
      <c r="M5" s="19">
        <v>59000</v>
      </c>
      <c r="N5" s="14">
        <v>0.5</v>
      </c>
      <c r="O5" s="20">
        <f t="shared" si="0"/>
        <v>29500</v>
      </c>
      <c r="P5" s="9" t="s">
        <v>20</v>
      </c>
    </row>
    <row r="6" spans="1:16">
      <c r="A6" s="9" t="s">
        <v>16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3</v>
      </c>
      <c r="H6" s="9">
        <v>81833</v>
      </c>
      <c r="I6" s="9" t="s">
        <v>17</v>
      </c>
      <c r="J6" s="21">
        <v>53131010</v>
      </c>
      <c r="K6" s="21" t="s">
        <v>23</v>
      </c>
      <c r="L6" s="21" t="s">
        <v>25</v>
      </c>
      <c r="M6" s="19">
        <v>59000</v>
      </c>
      <c r="N6" s="14">
        <v>0.5</v>
      </c>
      <c r="O6" s="20">
        <f t="shared" si="0"/>
        <v>29500</v>
      </c>
      <c r="P6" s="9" t="s">
        <v>20</v>
      </c>
    </row>
  </sheetData>
  <autoFilter xmlns:etc="http://www.wps.cn/officeDocument/2017/etCustomData" ref="A1:P6" etc:filterBottomFollowUsedRange="0">
    <sortState ref="A1:P6">
      <sortCondition ref="I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B2" sqref="B2:C16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26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1</v>
      </c>
      <c r="H2" s="9">
        <v>81824</v>
      </c>
      <c r="I2" s="9" t="s">
        <v>27</v>
      </c>
      <c r="J2" s="21">
        <v>52113247</v>
      </c>
      <c r="K2" s="21" t="s">
        <v>28</v>
      </c>
      <c r="L2" s="21" t="s">
        <v>29</v>
      </c>
      <c r="M2" s="19">
        <v>7900</v>
      </c>
      <c r="N2" s="14">
        <v>0.5</v>
      </c>
      <c r="O2" s="20">
        <f t="shared" ref="O2:O16" si="0">M2*(1-N2)</f>
        <v>3950</v>
      </c>
      <c r="P2" s="9" t="s">
        <v>20</v>
      </c>
    </row>
    <row r="3" spans="1:16">
      <c r="A3" s="9" t="s">
        <v>26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1</v>
      </c>
      <c r="H3" s="9">
        <v>81824</v>
      </c>
      <c r="I3" s="9" t="s">
        <v>27</v>
      </c>
      <c r="J3" s="21">
        <v>52113256</v>
      </c>
      <c r="K3" s="21" t="s">
        <v>30</v>
      </c>
      <c r="L3" s="21" t="s">
        <v>31</v>
      </c>
      <c r="M3" s="19">
        <v>9900</v>
      </c>
      <c r="N3" s="14">
        <v>0.5</v>
      </c>
      <c r="O3" s="20">
        <f t="shared" si="0"/>
        <v>4950</v>
      </c>
      <c r="P3" s="9" t="s">
        <v>20</v>
      </c>
    </row>
    <row r="4" spans="1:16">
      <c r="A4" s="9" t="s">
        <v>26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1</v>
      </c>
      <c r="H4" s="9">
        <v>81824</v>
      </c>
      <c r="I4" s="9" t="s">
        <v>27</v>
      </c>
      <c r="J4" s="21">
        <v>52113265</v>
      </c>
      <c r="K4" s="21" t="s">
        <v>32</v>
      </c>
      <c r="L4" s="21" t="s">
        <v>33</v>
      </c>
      <c r="M4" s="19">
        <v>14900</v>
      </c>
      <c r="N4" s="14">
        <v>0.5</v>
      </c>
      <c r="O4" s="20">
        <f t="shared" si="0"/>
        <v>7450</v>
      </c>
      <c r="P4" s="9" t="s">
        <v>20</v>
      </c>
    </row>
    <row r="5" spans="1:16">
      <c r="A5" s="9" t="s">
        <v>26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1</v>
      </c>
      <c r="H5" s="9">
        <v>81824</v>
      </c>
      <c r="I5" s="9" t="s">
        <v>27</v>
      </c>
      <c r="J5" s="21">
        <v>52113283</v>
      </c>
      <c r="K5" s="21" t="s">
        <v>34</v>
      </c>
      <c r="L5" s="21" t="s">
        <v>35</v>
      </c>
      <c r="M5" s="19">
        <v>27900</v>
      </c>
      <c r="N5" s="14">
        <v>0.5</v>
      </c>
      <c r="O5" s="20">
        <f t="shared" si="0"/>
        <v>13950</v>
      </c>
      <c r="P5" s="9" t="s">
        <v>20</v>
      </c>
    </row>
    <row r="6" spans="1:16">
      <c r="A6" s="9" t="s">
        <v>26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1</v>
      </c>
      <c r="H6" s="9">
        <v>81824</v>
      </c>
      <c r="I6" s="9" t="s">
        <v>27</v>
      </c>
      <c r="J6" s="21">
        <v>52113292</v>
      </c>
      <c r="K6" s="21" t="s">
        <v>36</v>
      </c>
      <c r="L6" s="21" t="s">
        <v>37</v>
      </c>
      <c r="M6" s="19">
        <v>44900</v>
      </c>
      <c r="N6" s="14">
        <v>0.5</v>
      </c>
      <c r="O6" s="20">
        <f t="shared" si="0"/>
        <v>22450</v>
      </c>
      <c r="P6" s="9" t="s">
        <v>20</v>
      </c>
    </row>
    <row r="7" spans="1:16">
      <c r="A7" s="9" t="s">
        <v>26</v>
      </c>
      <c r="B7" s="10">
        <v>46114</v>
      </c>
      <c r="C7" s="10">
        <v>46120</v>
      </c>
      <c r="D7" s="9">
        <v>3359</v>
      </c>
      <c r="E7" s="9">
        <v>340</v>
      </c>
      <c r="F7" s="9">
        <v>6</v>
      </c>
      <c r="G7" s="9">
        <v>1</v>
      </c>
      <c r="H7" s="9">
        <v>81824</v>
      </c>
      <c r="I7" s="9" t="s">
        <v>27</v>
      </c>
      <c r="J7" s="21">
        <v>52113309</v>
      </c>
      <c r="K7" s="21" t="s">
        <v>38</v>
      </c>
      <c r="L7" s="21" t="s">
        <v>39</v>
      </c>
      <c r="M7" s="19">
        <v>9900</v>
      </c>
      <c r="N7" s="14">
        <v>0.5</v>
      </c>
      <c r="O7" s="20">
        <f t="shared" si="0"/>
        <v>4950</v>
      </c>
      <c r="P7" s="9" t="s">
        <v>20</v>
      </c>
    </row>
    <row r="8" spans="1:16">
      <c r="A8" s="9" t="s">
        <v>26</v>
      </c>
      <c r="B8" s="10">
        <v>46114</v>
      </c>
      <c r="C8" s="10">
        <v>46120</v>
      </c>
      <c r="D8" s="9">
        <v>3359</v>
      </c>
      <c r="E8" s="9">
        <v>340</v>
      </c>
      <c r="F8" s="9">
        <v>6</v>
      </c>
      <c r="G8" s="9">
        <v>1</v>
      </c>
      <c r="H8" s="9">
        <v>81824</v>
      </c>
      <c r="I8" s="9" t="s">
        <v>27</v>
      </c>
      <c r="J8" s="21">
        <v>52113327</v>
      </c>
      <c r="K8" s="21" t="s">
        <v>40</v>
      </c>
      <c r="L8" s="21" t="s">
        <v>41</v>
      </c>
      <c r="M8" s="19">
        <v>24900</v>
      </c>
      <c r="N8" s="14">
        <v>0.5</v>
      </c>
      <c r="O8" s="20">
        <f t="shared" si="0"/>
        <v>12450</v>
      </c>
      <c r="P8" s="9" t="s">
        <v>20</v>
      </c>
    </row>
    <row r="9" spans="1:16">
      <c r="A9" s="9" t="s">
        <v>26</v>
      </c>
      <c r="B9" s="10">
        <v>46114</v>
      </c>
      <c r="C9" s="10">
        <v>46120</v>
      </c>
      <c r="D9" s="9">
        <v>3359</v>
      </c>
      <c r="E9" s="9">
        <v>340</v>
      </c>
      <c r="F9" s="9">
        <v>6</v>
      </c>
      <c r="G9" s="9">
        <v>1</v>
      </c>
      <c r="H9" s="9">
        <v>81824</v>
      </c>
      <c r="I9" s="9" t="s">
        <v>27</v>
      </c>
      <c r="J9" s="21">
        <v>52113336</v>
      </c>
      <c r="K9" s="21" t="s">
        <v>42</v>
      </c>
      <c r="L9" s="21" t="s">
        <v>43</v>
      </c>
      <c r="M9" s="19">
        <v>16900</v>
      </c>
      <c r="N9" s="14">
        <v>0.5</v>
      </c>
      <c r="O9" s="20">
        <f t="shared" si="0"/>
        <v>8450</v>
      </c>
      <c r="P9" s="9" t="s">
        <v>20</v>
      </c>
    </row>
    <row r="10" spans="1:16">
      <c r="A10" s="9" t="s">
        <v>26</v>
      </c>
      <c r="B10" s="10">
        <v>46114</v>
      </c>
      <c r="C10" s="10">
        <v>46120</v>
      </c>
      <c r="D10" s="9">
        <v>3359</v>
      </c>
      <c r="E10" s="9">
        <v>340</v>
      </c>
      <c r="F10" s="9">
        <v>6</v>
      </c>
      <c r="G10" s="9">
        <v>1</v>
      </c>
      <c r="H10" s="9">
        <v>81824</v>
      </c>
      <c r="I10" s="9" t="s">
        <v>27</v>
      </c>
      <c r="J10" s="21">
        <v>52113345</v>
      </c>
      <c r="K10" s="21" t="s">
        <v>44</v>
      </c>
      <c r="L10" s="21" t="s">
        <v>45</v>
      </c>
      <c r="M10" s="19">
        <v>17900</v>
      </c>
      <c r="N10" s="14">
        <v>0.5</v>
      </c>
      <c r="O10" s="20">
        <f t="shared" si="0"/>
        <v>8950</v>
      </c>
      <c r="P10" s="9" t="s">
        <v>20</v>
      </c>
    </row>
    <row r="11" spans="1:16">
      <c r="A11" s="9" t="s">
        <v>26</v>
      </c>
      <c r="B11" s="10">
        <v>46114</v>
      </c>
      <c r="C11" s="10">
        <v>46120</v>
      </c>
      <c r="D11" s="9">
        <v>3359</v>
      </c>
      <c r="E11" s="9">
        <v>340</v>
      </c>
      <c r="F11" s="9">
        <v>6</v>
      </c>
      <c r="G11" s="9">
        <v>1</v>
      </c>
      <c r="H11" s="9">
        <v>81824</v>
      </c>
      <c r="I11" s="9" t="s">
        <v>27</v>
      </c>
      <c r="J11" s="21">
        <v>52113363</v>
      </c>
      <c r="K11" s="21" t="s">
        <v>46</v>
      </c>
      <c r="L11" s="21" t="s">
        <v>47</v>
      </c>
      <c r="M11" s="19">
        <v>24500</v>
      </c>
      <c r="N11" s="14">
        <v>0.5</v>
      </c>
      <c r="O11" s="20">
        <f t="shared" si="0"/>
        <v>12250</v>
      </c>
      <c r="P11" s="9" t="s">
        <v>20</v>
      </c>
    </row>
    <row r="12" spans="1:16">
      <c r="A12" s="9" t="s">
        <v>26</v>
      </c>
      <c r="B12" s="10">
        <v>46114</v>
      </c>
      <c r="C12" s="10">
        <v>46120</v>
      </c>
      <c r="D12" s="9">
        <v>3359</v>
      </c>
      <c r="E12" s="9">
        <v>340</v>
      </c>
      <c r="F12" s="9">
        <v>6</v>
      </c>
      <c r="G12" s="9">
        <v>1</v>
      </c>
      <c r="H12" s="9">
        <v>81824</v>
      </c>
      <c r="I12" s="9" t="s">
        <v>27</v>
      </c>
      <c r="J12" s="21">
        <v>52113372</v>
      </c>
      <c r="K12" s="21" t="s">
        <v>48</v>
      </c>
      <c r="L12" s="21" t="s">
        <v>49</v>
      </c>
      <c r="M12" s="19">
        <v>26500</v>
      </c>
      <c r="N12" s="14">
        <v>0.5</v>
      </c>
      <c r="O12" s="20">
        <f t="shared" si="0"/>
        <v>13250</v>
      </c>
      <c r="P12" s="9" t="s">
        <v>20</v>
      </c>
    </row>
    <row r="13" spans="1:16">
      <c r="A13" s="9" t="s">
        <v>26</v>
      </c>
      <c r="B13" s="10">
        <v>46114</v>
      </c>
      <c r="C13" s="10">
        <v>46120</v>
      </c>
      <c r="D13" s="9">
        <v>3359</v>
      </c>
      <c r="E13" s="9">
        <v>340</v>
      </c>
      <c r="F13" s="9">
        <v>6</v>
      </c>
      <c r="G13" s="9">
        <v>1</v>
      </c>
      <c r="H13" s="9">
        <v>81824</v>
      </c>
      <c r="I13" s="9" t="s">
        <v>27</v>
      </c>
      <c r="J13" s="21">
        <v>52113381</v>
      </c>
      <c r="K13" s="21" t="s">
        <v>50</v>
      </c>
      <c r="L13" s="21" t="s">
        <v>51</v>
      </c>
      <c r="M13" s="19">
        <v>24500</v>
      </c>
      <c r="N13" s="14">
        <v>0.5</v>
      </c>
      <c r="O13" s="20">
        <f t="shared" si="0"/>
        <v>12250</v>
      </c>
      <c r="P13" s="9" t="s">
        <v>20</v>
      </c>
    </row>
    <row r="14" spans="1:16">
      <c r="A14" s="9" t="s">
        <v>26</v>
      </c>
      <c r="B14" s="10">
        <v>46114</v>
      </c>
      <c r="C14" s="10">
        <v>46120</v>
      </c>
      <c r="D14" s="9">
        <v>3359</v>
      </c>
      <c r="E14" s="9">
        <v>340</v>
      </c>
      <c r="F14" s="9">
        <v>6</v>
      </c>
      <c r="G14" s="9">
        <v>1</v>
      </c>
      <c r="H14" s="9">
        <v>81824</v>
      </c>
      <c r="I14" s="9" t="s">
        <v>27</v>
      </c>
      <c r="J14" s="21">
        <v>52113390</v>
      </c>
      <c r="K14" s="21" t="s">
        <v>52</v>
      </c>
      <c r="L14" s="21" t="s">
        <v>53</v>
      </c>
      <c r="M14" s="19">
        <v>28500</v>
      </c>
      <c r="N14" s="14">
        <v>0.5</v>
      </c>
      <c r="O14" s="20">
        <f t="shared" si="0"/>
        <v>14250</v>
      </c>
      <c r="P14" s="9" t="s">
        <v>20</v>
      </c>
    </row>
    <row r="15" spans="1:16">
      <c r="A15" s="9" t="s">
        <v>26</v>
      </c>
      <c r="B15" s="10">
        <v>46114</v>
      </c>
      <c r="C15" s="10">
        <v>46120</v>
      </c>
      <c r="D15" s="9">
        <v>3359</v>
      </c>
      <c r="E15" s="9">
        <v>340</v>
      </c>
      <c r="F15" s="9">
        <v>6</v>
      </c>
      <c r="G15" s="9">
        <v>1</v>
      </c>
      <c r="H15" s="9">
        <v>81824</v>
      </c>
      <c r="I15" s="9" t="s">
        <v>27</v>
      </c>
      <c r="J15" s="21">
        <v>52113407</v>
      </c>
      <c r="K15" s="21" t="s">
        <v>54</v>
      </c>
      <c r="L15" s="21" t="s">
        <v>55</v>
      </c>
      <c r="M15" s="19">
        <v>31900</v>
      </c>
      <c r="N15" s="14">
        <v>0.5</v>
      </c>
      <c r="O15" s="20">
        <f t="shared" si="0"/>
        <v>15950</v>
      </c>
      <c r="P15" s="9" t="s">
        <v>20</v>
      </c>
    </row>
    <row r="16" spans="1:16">
      <c r="A16" s="9" t="s">
        <v>26</v>
      </c>
      <c r="B16" s="10">
        <v>46114</v>
      </c>
      <c r="C16" s="10">
        <v>46120</v>
      </c>
      <c r="D16" s="9">
        <v>3359</v>
      </c>
      <c r="E16" s="9">
        <v>340</v>
      </c>
      <c r="F16" s="9">
        <v>6</v>
      </c>
      <c r="G16" s="9">
        <v>1</v>
      </c>
      <c r="H16" s="9">
        <v>81824</v>
      </c>
      <c r="I16" s="9" t="s">
        <v>27</v>
      </c>
      <c r="J16" s="21">
        <v>52113416</v>
      </c>
      <c r="K16" s="21" t="s">
        <v>56</v>
      </c>
      <c r="L16" s="21" t="s">
        <v>57</v>
      </c>
      <c r="M16" s="19">
        <v>27900</v>
      </c>
      <c r="N16" s="14">
        <v>0.5</v>
      </c>
      <c r="O16" s="20">
        <f t="shared" si="0"/>
        <v>13950</v>
      </c>
      <c r="P16" s="9" t="s">
        <v>20</v>
      </c>
    </row>
  </sheetData>
  <autoFilter xmlns:etc="http://www.wps.cn/officeDocument/2017/etCustomData" ref="A1:P16" etc:filterBottomFollowUsedRange="0">
    <sortState ref="A1:P1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zoomScale="55" zoomScaleNormal="55" workbookViewId="0">
      <selection activeCell="B2" sqref="B2:C10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58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59</v>
      </c>
      <c r="J2" s="21">
        <v>52111945</v>
      </c>
      <c r="K2" s="21" t="s">
        <v>60</v>
      </c>
      <c r="L2" s="21" t="s">
        <v>61</v>
      </c>
      <c r="M2" s="19">
        <v>99900</v>
      </c>
      <c r="N2" s="14">
        <v>0.5</v>
      </c>
      <c r="O2" s="20">
        <f t="shared" ref="O2:O10" si="0">M2*(1-N2)</f>
        <v>49950</v>
      </c>
      <c r="P2" s="9" t="s">
        <v>20</v>
      </c>
    </row>
    <row r="3" spans="1:16">
      <c r="A3" s="9" t="s">
        <v>58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59</v>
      </c>
      <c r="J3" s="21">
        <v>53150615</v>
      </c>
      <c r="K3" s="21" t="s">
        <v>62</v>
      </c>
      <c r="L3" s="21" t="s">
        <v>63</v>
      </c>
      <c r="M3" s="19">
        <v>49900</v>
      </c>
      <c r="N3" s="14">
        <v>0.5</v>
      </c>
      <c r="O3" s="20">
        <f t="shared" si="0"/>
        <v>24950</v>
      </c>
      <c r="P3" s="9" t="s">
        <v>20</v>
      </c>
    </row>
    <row r="4" spans="1:16">
      <c r="A4" s="9" t="s">
        <v>58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59</v>
      </c>
      <c r="J4" s="21">
        <v>53150624</v>
      </c>
      <c r="K4" s="21" t="s">
        <v>64</v>
      </c>
      <c r="L4" s="21" t="s">
        <v>65</v>
      </c>
      <c r="M4" s="19">
        <v>49900</v>
      </c>
      <c r="N4" s="14">
        <v>0.5</v>
      </c>
      <c r="O4" s="20">
        <f t="shared" si="0"/>
        <v>24950</v>
      </c>
      <c r="P4" s="9" t="s">
        <v>20</v>
      </c>
    </row>
    <row r="5" spans="1:16">
      <c r="A5" s="9" t="s">
        <v>58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59</v>
      </c>
      <c r="J5" s="21">
        <v>53150633</v>
      </c>
      <c r="K5" s="21" t="s">
        <v>66</v>
      </c>
      <c r="L5" s="21" t="s">
        <v>67</v>
      </c>
      <c r="M5" s="19">
        <v>49900</v>
      </c>
      <c r="N5" s="14">
        <v>0.5</v>
      </c>
      <c r="O5" s="20">
        <f t="shared" si="0"/>
        <v>24950</v>
      </c>
      <c r="P5" s="9" t="s">
        <v>20</v>
      </c>
    </row>
    <row r="6" spans="1:16">
      <c r="A6" s="9" t="s">
        <v>58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59</v>
      </c>
      <c r="J6" s="21">
        <v>53150642</v>
      </c>
      <c r="K6" s="21" t="s">
        <v>68</v>
      </c>
      <c r="L6" s="21" t="s">
        <v>69</v>
      </c>
      <c r="M6" s="19">
        <v>59900</v>
      </c>
      <c r="N6" s="14">
        <v>0.5</v>
      </c>
      <c r="O6" s="20">
        <f t="shared" si="0"/>
        <v>29950</v>
      </c>
      <c r="P6" s="9" t="s">
        <v>20</v>
      </c>
    </row>
    <row r="7" spans="1:16">
      <c r="A7" s="9" t="s">
        <v>58</v>
      </c>
      <c r="B7" s="10">
        <v>46114</v>
      </c>
      <c r="C7" s="10">
        <v>46120</v>
      </c>
      <c r="D7" s="9">
        <v>3359</v>
      </c>
      <c r="E7" s="9">
        <v>340</v>
      </c>
      <c r="F7" s="9">
        <v>6</v>
      </c>
      <c r="G7" s="9">
        <v>3</v>
      </c>
      <c r="H7" s="9">
        <v>81832</v>
      </c>
      <c r="I7" s="9" t="s">
        <v>59</v>
      </c>
      <c r="J7" s="21">
        <v>53150651</v>
      </c>
      <c r="K7" s="21" t="s">
        <v>70</v>
      </c>
      <c r="L7" s="21" t="s">
        <v>71</v>
      </c>
      <c r="M7" s="19">
        <v>54900</v>
      </c>
      <c r="N7" s="14">
        <v>0.5</v>
      </c>
      <c r="O7" s="20">
        <f t="shared" si="0"/>
        <v>27450</v>
      </c>
      <c r="P7" s="9" t="s">
        <v>20</v>
      </c>
    </row>
    <row r="8" spans="1:16">
      <c r="A8" s="9" t="s">
        <v>58</v>
      </c>
      <c r="B8" s="10">
        <v>46114</v>
      </c>
      <c r="C8" s="10">
        <v>46120</v>
      </c>
      <c r="D8" s="9">
        <v>3359</v>
      </c>
      <c r="E8" s="9">
        <v>340</v>
      </c>
      <c r="F8" s="9">
        <v>6</v>
      </c>
      <c r="G8" s="9">
        <v>3</v>
      </c>
      <c r="H8" s="9">
        <v>81832</v>
      </c>
      <c r="I8" s="9" t="s">
        <v>59</v>
      </c>
      <c r="J8" s="21">
        <v>53150660</v>
      </c>
      <c r="K8" s="21" t="s">
        <v>72</v>
      </c>
      <c r="L8" s="21" t="s">
        <v>73</v>
      </c>
      <c r="M8" s="19">
        <v>29900</v>
      </c>
      <c r="N8" s="14">
        <v>0.5</v>
      </c>
      <c r="O8" s="20">
        <f t="shared" si="0"/>
        <v>14950</v>
      </c>
      <c r="P8" s="9" t="s">
        <v>20</v>
      </c>
    </row>
    <row r="9" spans="1:16">
      <c r="A9" s="9" t="s">
        <v>58</v>
      </c>
      <c r="B9" s="10">
        <v>46114</v>
      </c>
      <c r="C9" s="10">
        <v>46120</v>
      </c>
      <c r="D9" s="9">
        <v>3359</v>
      </c>
      <c r="E9" s="9">
        <v>340</v>
      </c>
      <c r="F9" s="9">
        <v>6</v>
      </c>
      <c r="G9" s="9">
        <v>3</v>
      </c>
      <c r="H9" s="9">
        <v>81832</v>
      </c>
      <c r="I9" s="9" t="s">
        <v>59</v>
      </c>
      <c r="J9" s="21">
        <v>54433675</v>
      </c>
      <c r="K9" s="21" t="s">
        <v>74</v>
      </c>
      <c r="L9" s="21" t="s">
        <v>75</v>
      </c>
      <c r="M9" s="19">
        <v>49900</v>
      </c>
      <c r="N9" s="14">
        <v>0.5</v>
      </c>
      <c r="O9" s="20">
        <f t="shared" si="0"/>
        <v>24950</v>
      </c>
      <c r="P9" s="9" t="s">
        <v>20</v>
      </c>
    </row>
    <row r="10" spans="1:16">
      <c r="A10" s="9" t="s">
        <v>58</v>
      </c>
      <c r="B10" s="10">
        <v>46114</v>
      </c>
      <c r="C10" s="10">
        <v>46120</v>
      </c>
      <c r="D10" s="9">
        <v>3359</v>
      </c>
      <c r="E10" s="9">
        <v>340</v>
      </c>
      <c r="F10" s="9">
        <v>6</v>
      </c>
      <c r="G10" s="9">
        <v>3</v>
      </c>
      <c r="H10" s="9">
        <v>81832</v>
      </c>
      <c r="I10" s="9" t="s">
        <v>59</v>
      </c>
      <c r="J10" s="21">
        <v>54433684</v>
      </c>
      <c r="K10" s="21" t="s">
        <v>76</v>
      </c>
      <c r="L10" s="21" t="s">
        <v>77</v>
      </c>
      <c r="M10" s="19">
        <v>34900</v>
      </c>
      <c r="N10" s="14">
        <v>0.5</v>
      </c>
      <c r="O10" s="20">
        <f t="shared" si="0"/>
        <v>17450</v>
      </c>
      <c r="P10" s="9" t="s">
        <v>20</v>
      </c>
    </row>
  </sheetData>
  <autoFilter xmlns:etc="http://www.wps.cn/officeDocument/2017/etCustomData" ref="A1:P10" etc:filterBottomFollowUsedRange="0">
    <sortState ref="A1:P10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zoomScale="55" zoomScaleNormal="55" workbookViewId="0">
      <selection activeCell="B2" sqref="B2:C6"/>
    </sheetView>
  </sheetViews>
  <sheetFormatPr defaultColWidth="8.63636363636364" defaultRowHeight="14.5" outlineLevelRow="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78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79</v>
      </c>
      <c r="J2" s="21">
        <v>51946582</v>
      </c>
      <c r="K2" s="21" t="s">
        <v>80</v>
      </c>
      <c r="L2" s="21" t="s">
        <v>81</v>
      </c>
      <c r="M2" s="19">
        <v>49900</v>
      </c>
      <c r="N2" s="14">
        <v>0.5</v>
      </c>
      <c r="O2" s="20">
        <f t="shared" ref="O2:O6" si="0">M2*(1-N2)</f>
        <v>24950</v>
      </c>
      <c r="P2" s="9" t="s">
        <v>20</v>
      </c>
    </row>
    <row r="3" spans="1:16">
      <c r="A3" s="9" t="s">
        <v>78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79</v>
      </c>
      <c r="J3" s="21">
        <v>51946591</v>
      </c>
      <c r="K3" s="21" t="s">
        <v>82</v>
      </c>
      <c r="L3" s="21" t="s">
        <v>83</v>
      </c>
      <c r="M3" s="19">
        <v>49900</v>
      </c>
      <c r="N3" s="14">
        <v>0.5</v>
      </c>
      <c r="O3" s="20">
        <f t="shared" si="0"/>
        <v>24950</v>
      </c>
      <c r="P3" s="9" t="s">
        <v>20</v>
      </c>
    </row>
    <row r="4" spans="1:16">
      <c r="A4" s="9" t="s">
        <v>78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79</v>
      </c>
      <c r="J4" s="21">
        <v>51946608</v>
      </c>
      <c r="K4" s="21" t="s">
        <v>84</v>
      </c>
      <c r="L4" s="21" t="s">
        <v>85</v>
      </c>
      <c r="M4" s="19">
        <v>159900</v>
      </c>
      <c r="N4" s="14">
        <v>0.5</v>
      </c>
      <c r="O4" s="20">
        <f t="shared" si="0"/>
        <v>79950</v>
      </c>
      <c r="P4" s="9" t="s">
        <v>20</v>
      </c>
    </row>
    <row r="5" spans="1:16">
      <c r="A5" s="9" t="s">
        <v>78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79</v>
      </c>
      <c r="J5" s="21">
        <v>51946617</v>
      </c>
      <c r="K5" s="21" t="s">
        <v>86</v>
      </c>
      <c r="L5" s="21" t="s">
        <v>87</v>
      </c>
      <c r="M5" s="19">
        <v>199900</v>
      </c>
      <c r="N5" s="14">
        <v>0.5</v>
      </c>
      <c r="O5" s="20">
        <f t="shared" si="0"/>
        <v>99950</v>
      </c>
      <c r="P5" s="9" t="s">
        <v>20</v>
      </c>
    </row>
    <row r="6" spans="1:16">
      <c r="A6" s="9" t="s">
        <v>78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79</v>
      </c>
      <c r="J6" s="21">
        <v>51946626</v>
      </c>
      <c r="K6" s="21" t="s">
        <v>88</v>
      </c>
      <c r="L6" s="21" t="s">
        <v>89</v>
      </c>
      <c r="M6" s="19">
        <v>109900</v>
      </c>
      <c r="N6" s="14">
        <v>0.5</v>
      </c>
      <c r="O6" s="20">
        <f t="shared" si="0"/>
        <v>54950</v>
      </c>
      <c r="P6" s="9" t="s">
        <v>20</v>
      </c>
    </row>
  </sheetData>
  <autoFilter xmlns:etc="http://www.wps.cn/officeDocument/2017/etCustomData" ref="A1:P6" etc:filterBottomFollowUsedRange="0">
    <sortState ref="A1:P6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55" zoomScaleNormal="55" workbookViewId="0">
      <selection activeCell="B2" sqref="B2:C1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90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1</v>
      </c>
      <c r="H2" s="9">
        <v>81843</v>
      </c>
      <c r="I2" s="9" t="s">
        <v>91</v>
      </c>
      <c r="J2" s="21">
        <v>54440434</v>
      </c>
      <c r="K2" s="21" t="s">
        <v>92</v>
      </c>
      <c r="L2" s="21" t="s">
        <v>93</v>
      </c>
      <c r="M2" s="19">
        <v>129900</v>
      </c>
      <c r="N2" s="14">
        <v>0.5</v>
      </c>
      <c r="O2" s="20">
        <f t="shared" ref="O2:O15" si="0">M2*(1-N2)</f>
        <v>64950</v>
      </c>
      <c r="P2" s="9" t="s">
        <v>20</v>
      </c>
    </row>
    <row r="3" spans="1:16">
      <c r="A3" s="9" t="s">
        <v>90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1</v>
      </c>
      <c r="H3" s="9">
        <v>81843</v>
      </c>
      <c r="I3" s="9" t="s">
        <v>91</v>
      </c>
      <c r="J3" s="21">
        <v>54440443</v>
      </c>
      <c r="K3" s="21" t="s">
        <v>94</v>
      </c>
      <c r="L3" s="21" t="s">
        <v>95</v>
      </c>
      <c r="M3" s="19">
        <v>179900</v>
      </c>
      <c r="N3" s="14">
        <v>0.5</v>
      </c>
      <c r="O3" s="20">
        <f t="shared" si="0"/>
        <v>89950</v>
      </c>
      <c r="P3" s="9" t="s">
        <v>20</v>
      </c>
    </row>
    <row r="4" spans="1:16">
      <c r="A4" s="9" t="s">
        <v>90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1</v>
      </c>
      <c r="H4" s="9">
        <v>81843</v>
      </c>
      <c r="I4" s="9" t="s">
        <v>91</v>
      </c>
      <c r="J4" s="21">
        <v>54440452</v>
      </c>
      <c r="K4" s="21" t="s">
        <v>96</v>
      </c>
      <c r="L4" s="21" t="s">
        <v>97</v>
      </c>
      <c r="M4" s="19">
        <v>69900</v>
      </c>
      <c r="N4" s="14">
        <v>0.5</v>
      </c>
      <c r="O4" s="20">
        <f t="shared" si="0"/>
        <v>34950</v>
      </c>
      <c r="P4" s="9" t="s">
        <v>20</v>
      </c>
    </row>
    <row r="5" spans="1:16">
      <c r="A5" s="9" t="s">
        <v>90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1</v>
      </c>
      <c r="H5" s="9">
        <v>81843</v>
      </c>
      <c r="I5" s="9" t="s">
        <v>91</v>
      </c>
      <c r="J5" s="21">
        <v>54440461</v>
      </c>
      <c r="K5" s="21" t="s">
        <v>98</v>
      </c>
      <c r="L5" s="21" t="s">
        <v>99</v>
      </c>
      <c r="M5" s="19">
        <v>39900</v>
      </c>
      <c r="N5" s="14">
        <v>0.5</v>
      </c>
      <c r="O5" s="20">
        <f t="shared" si="0"/>
        <v>19950</v>
      </c>
      <c r="P5" s="9" t="s">
        <v>20</v>
      </c>
    </row>
    <row r="6" spans="1:16">
      <c r="A6" s="9" t="s">
        <v>90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1</v>
      </c>
      <c r="H6" s="9">
        <v>81843</v>
      </c>
      <c r="I6" s="9" t="s">
        <v>91</v>
      </c>
      <c r="J6" s="21">
        <v>54440470</v>
      </c>
      <c r="K6" s="21" t="s">
        <v>100</v>
      </c>
      <c r="L6" s="21" t="s">
        <v>101</v>
      </c>
      <c r="M6" s="19">
        <v>39900</v>
      </c>
      <c r="N6" s="14">
        <v>0.5</v>
      </c>
      <c r="O6" s="20">
        <f t="shared" si="0"/>
        <v>19950</v>
      </c>
      <c r="P6" s="9" t="s">
        <v>20</v>
      </c>
    </row>
    <row r="7" spans="1:16">
      <c r="A7" s="9" t="s">
        <v>90</v>
      </c>
      <c r="B7" s="10">
        <v>46114</v>
      </c>
      <c r="C7" s="10">
        <v>46120</v>
      </c>
      <c r="D7" s="9">
        <v>3359</v>
      </c>
      <c r="E7" s="9">
        <v>340</v>
      </c>
      <c r="F7" s="9">
        <v>6</v>
      </c>
      <c r="G7" s="9">
        <v>1</v>
      </c>
      <c r="H7" s="9">
        <v>81843</v>
      </c>
      <c r="I7" s="9" t="s">
        <v>91</v>
      </c>
      <c r="J7" s="21">
        <v>54440489</v>
      </c>
      <c r="K7" s="21" t="s">
        <v>102</v>
      </c>
      <c r="L7" s="21" t="s">
        <v>103</v>
      </c>
      <c r="M7" s="19">
        <v>49900</v>
      </c>
      <c r="N7" s="14">
        <v>0.5</v>
      </c>
      <c r="O7" s="20">
        <f t="shared" si="0"/>
        <v>24950</v>
      </c>
      <c r="P7" s="9" t="s">
        <v>20</v>
      </c>
    </row>
    <row r="8" spans="1:16">
      <c r="A8" s="9" t="s">
        <v>90</v>
      </c>
      <c r="B8" s="10">
        <v>46114</v>
      </c>
      <c r="C8" s="10">
        <v>46120</v>
      </c>
      <c r="D8" s="9">
        <v>3359</v>
      </c>
      <c r="E8" s="9">
        <v>340</v>
      </c>
      <c r="F8" s="9">
        <v>6</v>
      </c>
      <c r="G8" s="9">
        <v>1</v>
      </c>
      <c r="H8" s="9">
        <v>81843</v>
      </c>
      <c r="I8" s="9" t="s">
        <v>91</v>
      </c>
      <c r="J8" s="21">
        <v>54440498</v>
      </c>
      <c r="K8" s="21" t="s">
        <v>104</v>
      </c>
      <c r="L8" s="21" t="s">
        <v>105</v>
      </c>
      <c r="M8" s="19">
        <v>39900</v>
      </c>
      <c r="N8" s="14">
        <v>0.5</v>
      </c>
      <c r="O8" s="20">
        <f t="shared" si="0"/>
        <v>19950</v>
      </c>
      <c r="P8" s="9" t="s">
        <v>20</v>
      </c>
    </row>
    <row r="9" spans="1:16">
      <c r="A9" s="9" t="s">
        <v>90</v>
      </c>
      <c r="B9" s="10">
        <v>46114</v>
      </c>
      <c r="C9" s="10">
        <v>46120</v>
      </c>
      <c r="D9" s="9">
        <v>3359</v>
      </c>
      <c r="E9" s="9">
        <v>340</v>
      </c>
      <c r="F9" s="9">
        <v>6</v>
      </c>
      <c r="G9" s="9">
        <v>1</v>
      </c>
      <c r="H9" s="9">
        <v>81843</v>
      </c>
      <c r="I9" s="9" t="s">
        <v>91</v>
      </c>
      <c r="J9" s="21">
        <v>54440505</v>
      </c>
      <c r="K9" s="21" t="s">
        <v>106</v>
      </c>
      <c r="L9" s="21" t="s">
        <v>107</v>
      </c>
      <c r="M9" s="19">
        <v>39900</v>
      </c>
      <c r="N9" s="14">
        <v>0.5</v>
      </c>
      <c r="O9" s="20">
        <f t="shared" si="0"/>
        <v>19950</v>
      </c>
      <c r="P9" s="9" t="s">
        <v>20</v>
      </c>
    </row>
    <row r="10" spans="1:16">
      <c r="A10" s="9" t="s">
        <v>90</v>
      </c>
      <c r="B10" s="10">
        <v>46114</v>
      </c>
      <c r="C10" s="10">
        <v>46120</v>
      </c>
      <c r="D10" s="9">
        <v>3359</v>
      </c>
      <c r="E10" s="9">
        <v>340</v>
      </c>
      <c r="F10" s="9">
        <v>6</v>
      </c>
      <c r="G10" s="9">
        <v>1</v>
      </c>
      <c r="H10" s="9">
        <v>81843</v>
      </c>
      <c r="I10" s="9" t="s">
        <v>91</v>
      </c>
      <c r="J10" s="21">
        <v>54440514</v>
      </c>
      <c r="K10" s="21" t="s">
        <v>108</v>
      </c>
      <c r="L10" s="21" t="s">
        <v>109</v>
      </c>
      <c r="M10" s="19">
        <v>67900</v>
      </c>
      <c r="N10" s="14">
        <v>0.5</v>
      </c>
      <c r="O10" s="20">
        <f t="shared" si="0"/>
        <v>33950</v>
      </c>
      <c r="P10" s="9" t="s">
        <v>20</v>
      </c>
    </row>
    <row r="11" spans="1:16">
      <c r="A11" s="9" t="s">
        <v>90</v>
      </c>
      <c r="B11" s="10">
        <v>46114</v>
      </c>
      <c r="C11" s="10">
        <v>46120</v>
      </c>
      <c r="D11" s="9">
        <v>3359</v>
      </c>
      <c r="E11" s="9">
        <v>340</v>
      </c>
      <c r="F11" s="9">
        <v>6</v>
      </c>
      <c r="G11" s="9">
        <v>1</v>
      </c>
      <c r="H11" s="9">
        <v>81843</v>
      </c>
      <c r="I11" s="9" t="s">
        <v>91</v>
      </c>
      <c r="J11" s="21">
        <v>54440523</v>
      </c>
      <c r="K11" s="21" t="s">
        <v>110</v>
      </c>
      <c r="L11" s="21" t="s">
        <v>111</v>
      </c>
      <c r="M11" s="19">
        <v>79900</v>
      </c>
      <c r="N11" s="14">
        <v>0.5</v>
      </c>
      <c r="O11" s="20">
        <f t="shared" si="0"/>
        <v>39950</v>
      </c>
      <c r="P11" s="9" t="s">
        <v>20</v>
      </c>
    </row>
    <row r="12" spans="1:16">
      <c r="A12" s="9" t="s">
        <v>90</v>
      </c>
      <c r="B12" s="10">
        <v>46114</v>
      </c>
      <c r="C12" s="10">
        <v>46120</v>
      </c>
      <c r="D12" s="9">
        <v>3359</v>
      </c>
      <c r="E12" s="9">
        <v>340</v>
      </c>
      <c r="F12" s="9">
        <v>6</v>
      </c>
      <c r="G12" s="9">
        <v>1</v>
      </c>
      <c r="H12" s="9">
        <v>81843</v>
      </c>
      <c r="I12" s="9" t="s">
        <v>91</v>
      </c>
      <c r="J12" s="21">
        <v>54440532</v>
      </c>
      <c r="K12" s="21" t="s">
        <v>112</v>
      </c>
      <c r="L12" s="21" t="s">
        <v>113</v>
      </c>
      <c r="M12" s="19">
        <v>99900</v>
      </c>
      <c r="N12" s="14">
        <v>0.5</v>
      </c>
      <c r="O12" s="20">
        <f t="shared" si="0"/>
        <v>49950</v>
      </c>
      <c r="P12" s="9" t="s">
        <v>20</v>
      </c>
    </row>
    <row r="13" spans="1:16">
      <c r="A13" s="9" t="s">
        <v>90</v>
      </c>
      <c r="B13" s="10">
        <v>46114</v>
      </c>
      <c r="C13" s="10">
        <v>46120</v>
      </c>
      <c r="D13" s="9">
        <v>3359</v>
      </c>
      <c r="E13" s="9">
        <v>340</v>
      </c>
      <c r="F13" s="9">
        <v>6</v>
      </c>
      <c r="G13" s="9">
        <v>1</v>
      </c>
      <c r="H13" s="9">
        <v>81843</v>
      </c>
      <c r="I13" s="9" t="s">
        <v>91</v>
      </c>
      <c r="J13" s="21">
        <v>54440541</v>
      </c>
      <c r="K13" s="21" t="s">
        <v>114</v>
      </c>
      <c r="L13" s="21" t="s">
        <v>115</v>
      </c>
      <c r="M13" s="19">
        <v>69900</v>
      </c>
      <c r="N13" s="14">
        <v>0.5</v>
      </c>
      <c r="O13" s="20">
        <f t="shared" si="0"/>
        <v>34950</v>
      </c>
      <c r="P13" s="9" t="s">
        <v>20</v>
      </c>
    </row>
    <row r="14" spans="1:16">
      <c r="A14" s="9" t="s">
        <v>90</v>
      </c>
      <c r="B14" s="10">
        <v>46114</v>
      </c>
      <c r="C14" s="10">
        <v>46120</v>
      </c>
      <c r="D14" s="9">
        <v>3359</v>
      </c>
      <c r="E14" s="9">
        <v>340</v>
      </c>
      <c r="F14" s="9">
        <v>6</v>
      </c>
      <c r="G14" s="9">
        <v>1</v>
      </c>
      <c r="H14" s="9">
        <v>81843</v>
      </c>
      <c r="I14" s="9" t="s">
        <v>91</v>
      </c>
      <c r="J14" s="21">
        <v>54440550</v>
      </c>
      <c r="K14" s="21" t="s">
        <v>116</v>
      </c>
      <c r="L14" s="21" t="s">
        <v>117</v>
      </c>
      <c r="M14" s="19">
        <v>84900</v>
      </c>
      <c r="N14" s="14">
        <v>0.5</v>
      </c>
      <c r="O14" s="20">
        <f t="shared" si="0"/>
        <v>42450</v>
      </c>
      <c r="P14" s="9" t="s">
        <v>20</v>
      </c>
    </row>
    <row r="15" spans="1:16">
      <c r="A15" s="9" t="s">
        <v>90</v>
      </c>
      <c r="B15" s="10">
        <v>46114</v>
      </c>
      <c r="C15" s="10">
        <v>46120</v>
      </c>
      <c r="D15" s="9">
        <v>3359</v>
      </c>
      <c r="E15" s="9">
        <v>340</v>
      </c>
      <c r="F15" s="9">
        <v>6</v>
      </c>
      <c r="G15" s="9">
        <v>1</v>
      </c>
      <c r="H15" s="9">
        <v>81843</v>
      </c>
      <c r="I15" s="9" t="s">
        <v>91</v>
      </c>
      <c r="J15" s="21">
        <v>54440569</v>
      </c>
      <c r="K15" s="21" t="s">
        <v>118</v>
      </c>
      <c r="L15" s="21" t="s">
        <v>119</v>
      </c>
      <c r="M15" s="19">
        <v>99900</v>
      </c>
      <c r="N15" s="14">
        <v>0.5</v>
      </c>
      <c r="O15" s="20">
        <f t="shared" si="0"/>
        <v>49950</v>
      </c>
      <c r="P15" s="9" t="s">
        <v>20</v>
      </c>
    </row>
  </sheetData>
  <autoFilter xmlns:etc="http://www.wps.cn/officeDocument/2017/etCustomData" ref="A1:P15" etc:filterBottomFollowUsedRange="0">
    <sortState ref="A1:P1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zoomScale="55" zoomScaleNormal="55" workbookViewId="0">
      <selection activeCell="B2" sqref="B2:C25"/>
    </sheetView>
  </sheetViews>
  <sheetFormatPr defaultColWidth="8.63636363636364" defaultRowHeight="14.5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120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121</v>
      </c>
      <c r="J2" s="21">
        <v>52104211</v>
      </c>
      <c r="K2" s="21" t="s">
        <v>122</v>
      </c>
      <c r="L2" s="21" t="s">
        <v>123</v>
      </c>
      <c r="M2" s="19">
        <v>24900</v>
      </c>
      <c r="N2" s="14">
        <v>0.5</v>
      </c>
      <c r="O2" s="20">
        <f t="shared" ref="O2:O25" si="0">M2*(1-N2)</f>
        <v>12450</v>
      </c>
      <c r="P2" s="9" t="s">
        <v>20</v>
      </c>
    </row>
    <row r="3" spans="1:16">
      <c r="A3" s="9" t="s">
        <v>120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121</v>
      </c>
      <c r="J3" s="21">
        <v>52104220</v>
      </c>
      <c r="K3" s="21" t="s">
        <v>124</v>
      </c>
      <c r="L3" s="21" t="s">
        <v>125</v>
      </c>
      <c r="M3" s="19">
        <v>19900</v>
      </c>
      <c r="N3" s="14">
        <v>0.5</v>
      </c>
      <c r="O3" s="20">
        <f t="shared" si="0"/>
        <v>9950</v>
      </c>
      <c r="P3" s="9" t="s">
        <v>20</v>
      </c>
    </row>
    <row r="4" spans="1:16">
      <c r="A4" s="9" t="s">
        <v>120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3</v>
      </c>
      <c r="H4" s="9">
        <v>81832</v>
      </c>
      <c r="I4" s="9" t="s">
        <v>121</v>
      </c>
      <c r="J4" s="21">
        <v>52104239</v>
      </c>
      <c r="K4" s="21" t="s">
        <v>126</v>
      </c>
      <c r="L4" s="21" t="s">
        <v>127</v>
      </c>
      <c r="M4" s="19">
        <v>24900</v>
      </c>
      <c r="N4" s="14">
        <v>0.5</v>
      </c>
      <c r="O4" s="20">
        <f t="shared" si="0"/>
        <v>12450</v>
      </c>
      <c r="P4" s="9" t="s">
        <v>20</v>
      </c>
    </row>
    <row r="5" spans="1:16">
      <c r="A5" s="9" t="s">
        <v>120</v>
      </c>
      <c r="B5" s="10">
        <v>46114</v>
      </c>
      <c r="C5" s="10">
        <v>46120</v>
      </c>
      <c r="D5" s="9">
        <v>3359</v>
      </c>
      <c r="E5" s="9">
        <v>340</v>
      </c>
      <c r="F5" s="9">
        <v>6</v>
      </c>
      <c r="G5" s="9">
        <v>3</v>
      </c>
      <c r="H5" s="9">
        <v>81832</v>
      </c>
      <c r="I5" s="9" t="s">
        <v>121</v>
      </c>
      <c r="J5" s="21">
        <v>52104248</v>
      </c>
      <c r="K5" s="21" t="s">
        <v>128</v>
      </c>
      <c r="L5" s="21" t="s">
        <v>129</v>
      </c>
      <c r="M5" s="19">
        <v>22900</v>
      </c>
      <c r="N5" s="14">
        <v>0.5</v>
      </c>
      <c r="O5" s="20">
        <f t="shared" si="0"/>
        <v>11450</v>
      </c>
      <c r="P5" s="9" t="s">
        <v>20</v>
      </c>
    </row>
    <row r="6" spans="1:16">
      <c r="A6" s="9" t="s">
        <v>120</v>
      </c>
      <c r="B6" s="10">
        <v>46114</v>
      </c>
      <c r="C6" s="10">
        <v>46120</v>
      </c>
      <c r="D6" s="9">
        <v>3359</v>
      </c>
      <c r="E6" s="9">
        <v>340</v>
      </c>
      <c r="F6" s="9">
        <v>6</v>
      </c>
      <c r="G6" s="9">
        <v>3</v>
      </c>
      <c r="H6" s="9">
        <v>81832</v>
      </c>
      <c r="I6" s="9" t="s">
        <v>121</v>
      </c>
      <c r="J6" s="21">
        <v>52104257</v>
      </c>
      <c r="K6" s="21" t="s">
        <v>130</v>
      </c>
      <c r="L6" s="21" t="s">
        <v>131</v>
      </c>
      <c r="M6" s="19">
        <v>29900</v>
      </c>
      <c r="N6" s="14">
        <v>0.5</v>
      </c>
      <c r="O6" s="20">
        <f t="shared" si="0"/>
        <v>14950</v>
      </c>
      <c r="P6" s="9" t="s">
        <v>20</v>
      </c>
    </row>
    <row r="7" spans="1:16">
      <c r="A7" s="9" t="s">
        <v>120</v>
      </c>
      <c r="B7" s="10">
        <v>46114</v>
      </c>
      <c r="C7" s="10">
        <v>46120</v>
      </c>
      <c r="D7" s="9">
        <v>3359</v>
      </c>
      <c r="E7" s="9">
        <v>340</v>
      </c>
      <c r="F7" s="9">
        <v>6</v>
      </c>
      <c r="G7" s="9">
        <v>3</v>
      </c>
      <c r="H7" s="9">
        <v>81832</v>
      </c>
      <c r="I7" s="9" t="s">
        <v>121</v>
      </c>
      <c r="J7" s="21">
        <v>52104266</v>
      </c>
      <c r="K7" s="21" t="s">
        <v>132</v>
      </c>
      <c r="L7" s="21" t="s">
        <v>133</v>
      </c>
      <c r="M7" s="19">
        <v>37900</v>
      </c>
      <c r="N7" s="14">
        <v>0.5</v>
      </c>
      <c r="O7" s="20">
        <f t="shared" si="0"/>
        <v>18950</v>
      </c>
      <c r="P7" s="9" t="s">
        <v>20</v>
      </c>
    </row>
    <row r="8" spans="1:16">
      <c r="A8" s="9" t="s">
        <v>120</v>
      </c>
      <c r="B8" s="10">
        <v>46114</v>
      </c>
      <c r="C8" s="10">
        <v>46120</v>
      </c>
      <c r="D8" s="9">
        <v>3359</v>
      </c>
      <c r="E8" s="9">
        <v>340</v>
      </c>
      <c r="F8" s="9">
        <v>6</v>
      </c>
      <c r="G8" s="9">
        <v>3</v>
      </c>
      <c r="H8" s="9">
        <v>81832</v>
      </c>
      <c r="I8" s="9" t="s">
        <v>121</v>
      </c>
      <c r="J8" s="21">
        <v>52104275</v>
      </c>
      <c r="K8" s="21" t="s">
        <v>134</v>
      </c>
      <c r="L8" s="21" t="s">
        <v>135</v>
      </c>
      <c r="M8" s="19">
        <v>30900</v>
      </c>
      <c r="N8" s="14">
        <v>0.5</v>
      </c>
      <c r="O8" s="20">
        <f t="shared" si="0"/>
        <v>15450</v>
      </c>
      <c r="P8" s="9" t="s">
        <v>20</v>
      </c>
    </row>
    <row r="9" spans="1:16">
      <c r="A9" s="9" t="s">
        <v>120</v>
      </c>
      <c r="B9" s="10">
        <v>46114</v>
      </c>
      <c r="C9" s="10">
        <v>46120</v>
      </c>
      <c r="D9" s="9">
        <v>3359</v>
      </c>
      <c r="E9" s="9">
        <v>340</v>
      </c>
      <c r="F9" s="9">
        <v>6</v>
      </c>
      <c r="G9" s="9">
        <v>3</v>
      </c>
      <c r="H9" s="9">
        <v>81832</v>
      </c>
      <c r="I9" s="9" t="s">
        <v>121</v>
      </c>
      <c r="J9" s="21">
        <v>52104284</v>
      </c>
      <c r="K9" s="21" t="s">
        <v>136</v>
      </c>
      <c r="L9" s="21" t="s">
        <v>137</v>
      </c>
      <c r="M9" s="19">
        <v>29900</v>
      </c>
      <c r="N9" s="14">
        <v>0.5</v>
      </c>
      <c r="O9" s="20">
        <f t="shared" si="0"/>
        <v>14950</v>
      </c>
      <c r="P9" s="9" t="s">
        <v>20</v>
      </c>
    </row>
    <row r="10" spans="1:16">
      <c r="A10" s="9" t="s">
        <v>120</v>
      </c>
      <c r="B10" s="10">
        <v>46114</v>
      </c>
      <c r="C10" s="10">
        <v>46120</v>
      </c>
      <c r="D10" s="9">
        <v>3359</v>
      </c>
      <c r="E10" s="9">
        <v>340</v>
      </c>
      <c r="F10" s="9">
        <v>6</v>
      </c>
      <c r="G10" s="9">
        <v>3</v>
      </c>
      <c r="H10" s="9">
        <v>81832</v>
      </c>
      <c r="I10" s="9" t="s">
        <v>121</v>
      </c>
      <c r="J10" s="21">
        <v>52104293</v>
      </c>
      <c r="K10" s="21" t="s">
        <v>138</v>
      </c>
      <c r="L10" s="21" t="s">
        <v>139</v>
      </c>
      <c r="M10" s="19">
        <v>22900</v>
      </c>
      <c r="N10" s="14">
        <v>0.5</v>
      </c>
      <c r="O10" s="20">
        <f t="shared" si="0"/>
        <v>11450</v>
      </c>
      <c r="P10" s="9" t="s">
        <v>20</v>
      </c>
    </row>
    <row r="11" spans="1:16">
      <c r="A11" s="9" t="s">
        <v>120</v>
      </c>
      <c r="B11" s="10">
        <v>46114</v>
      </c>
      <c r="C11" s="10">
        <v>46120</v>
      </c>
      <c r="D11" s="9">
        <v>3359</v>
      </c>
      <c r="E11" s="9">
        <v>340</v>
      </c>
      <c r="F11" s="9">
        <v>6</v>
      </c>
      <c r="G11" s="9">
        <v>3</v>
      </c>
      <c r="H11" s="9">
        <v>81832</v>
      </c>
      <c r="I11" s="9" t="s">
        <v>121</v>
      </c>
      <c r="J11" s="21">
        <v>52104300</v>
      </c>
      <c r="K11" s="21" t="s">
        <v>140</v>
      </c>
      <c r="L11" s="21" t="s">
        <v>141</v>
      </c>
      <c r="M11" s="19">
        <v>37900</v>
      </c>
      <c r="N11" s="14">
        <v>0.5</v>
      </c>
      <c r="O11" s="20">
        <f t="shared" si="0"/>
        <v>18950</v>
      </c>
      <c r="P11" s="9" t="s">
        <v>20</v>
      </c>
    </row>
    <row r="12" spans="1:16">
      <c r="A12" s="9" t="s">
        <v>120</v>
      </c>
      <c r="B12" s="10">
        <v>46114</v>
      </c>
      <c r="C12" s="10">
        <v>46120</v>
      </c>
      <c r="D12" s="9">
        <v>3359</v>
      </c>
      <c r="E12" s="9">
        <v>340</v>
      </c>
      <c r="F12" s="9">
        <v>6</v>
      </c>
      <c r="G12" s="9">
        <v>3</v>
      </c>
      <c r="H12" s="9">
        <v>81832</v>
      </c>
      <c r="I12" s="9" t="s">
        <v>121</v>
      </c>
      <c r="J12" s="21">
        <v>52104319</v>
      </c>
      <c r="K12" s="21" t="s">
        <v>142</v>
      </c>
      <c r="L12" s="21" t="s">
        <v>143</v>
      </c>
      <c r="M12" s="19">
        <v>37900</v>
      </c>
      <c r="N12" s="14">
        <v>0.5</v>
      </c>
      <c r="O12" s="20">
        <f t="shared" si="0"/>
        <v>18950</v>
      </c>
      <c r="P12" s="9" t="s">
        <v>20</v>
      </c>
    </row>
    <row r="13" spans="1:16">
      <c r="A13" s="9" t="s">
        <v>120</v>
      </c>
      <c r="B13" s="10">
        <v>46114</v>
      </c>
      <c r="C13" s="10">
        <v>46120</v>
      </c>
      <c r="D13" s="9">
        <v>3359</v>
      </c>
      <c r="E13" s="9">
        <v>340</v>
      </c>
      <c r="F13" s="9">
        <v>6</v>
      </c>
      <c r="G13" s="9">
        <v>3</v>
      </c>
      <c r="H13" s="9">
        <v>81832</v>
      </c>
      <c r="I13" s="9" t="s">
        <v>121</v>
      </c>
      <c r="J13" s="21">
        <v>52104328</v>
      </c>
      <c r="K13" s="21" t="s">
        <v>144</v>
      </c>
      <c r="L13" s="21" t="s">
        <v>145</v>
      </c>
      <c r="M13" s="19">
        <v>37900</v>
      </c>
      <c r="N13" s="14">
        <v>0.5</v>
      </c>
      <c r="O13" s="20">
        <f t="shared" si="0"/>
        <v>18950</v>
      </c>
      <c r="P13" s="9" t="s">
        <v>20</v>
      </c>
    </row>
    <row r="14" spans="1:16">
      <c r="A14" s="9" t="s">
        <v>120</v>
      </c>
      <c r="B14" s="10">
        <v>46114</v>
      </c>
      <c r="C14" s="10">
        <v>46120</v>
      </c>
      <c r="D14" s="9">
        <v>3359</v>
      </c>
      <c r="E14" s="9">
        <v>340</v>
      </c>
      <c r="F14" s="9">
        <v>6</v>
      </c>
      <c r="G14" s="9">
        <v>3</v>
      </c>
      <c r="H14" s="9">
        <v>81832</v>
      </c>
      <c r="I14" s="9" t="s">
        <v>121</v>
      </c>
      <c r="J14" s="21">
        <v>52104337</v>
      </c>
      <c r="K14" s="21" t="s">
        <v>146</v>
      </c>
      <c r="L14" s="21" t="s">
        <v>147</v>
      </c>
      <c r="M14" s="19">
        <v>32900</v>
      </c>
      <c r="N14" s="14">
        <v>0.5</v>
      </c>
      <c r="O14" s="20">
        <f t="shared" si="0"/>
        <v>16450</v>
      </c>
      <c r="P14" s="9" t="s">
        <v>20</v>
      </c>
    </row>
    <row r="15" spans="1:16">
      <c r="A15" s="9" t="s">
        <v>120</v>
      </c>
      <c r="B15" s="10">
        <v>46114</v>
      </c>
      <c r="C15" s="10">
        <v>46120</v>
      </c>
      <c r="D15" s="9">
        <v>3359</v>
      </c>
      <c r="E15" s="9">
        <v>340</v>
      </c>
      <c r="F15" s="9">
        <v>6</v>
      </c>
      <c r="G15" s="9">
        <v>3</v>
      </c>
      <c r="H15" s="9">
        <v>81832</v>
      </c>
      <c r="I15" s="9" t="s">
        <v>121</v>
      </c>
      <c r="J15" s="21">
        <v>52104346</v>
      </c>
      <c r="K15" s="21" t="s">
        <v>148</v>
      </c>
      <c r="L15" s="21" t="s">
        <v>149</v>
      </c>
      <c r="M15" s="19">
        <v>26900</v>
      </c>
      <c r="N15" s="14">
        <v>0.5</v>
      </c>
      <c r="O15" s="20">
        <f t="shared" si="0"/>
        <v>13450</v>
      </c>
      <c r="P15" s="9" t="s">
        <v>20</v>
      </c>
    </row>
    <row r="16" spans="1:16">
      <c r="A16" s="9" t="s">
        <v>120</v>
      </c>
      <c r="B16" s="10">
        <v>46114</v>
      </c>
      <c r="C16" s="10">
        <v>46120</v>
      </c>
      <c r="D16" s="9">
        <v>3359</v>
      </c>
      <c r="E16" s="9">
        <v>340</v>
      </c>
      <c r="F16" s="9">
        <v>6</v>
      </c>
      <c r="G16" s="9">
        <v>3</v>
      </c>
      <c r="H16" s="9">
        <v>81832</v>
      </c>
      <c r="I16" s="9" t="s">
        <v>121</v>
      </c>
      <c r="J16" s="21">
        <v>52104355</v>
      </c>
      <c r="K16" s="21" t="s">
        <v>150</v>
      </c>
      <c r="L16" s="21" t="s">
        <v>151</v>
      </c>
      <c r="M16" s="19">
        <v>14900</v>
      </c>
      <c r="N16" s="14">
        <v>0.5</v>
      </c>
      <c r="O16" s="20">
        <f t="shared" si="0"/>
        <v>7450</v>
      </c>
      <c r="P16" s="9" t="s">
        <v>20</v>
      </c>
    </row>
    <row r="17" spans="1:16">
      <c r="A17" s="9" t="s">
        <v>120</v>
      </c>
      <c r="B17" s="10">
        <v>46114</v>
      </c>
      <c r="C17" s="10">
        <v>46120</v>
      </c>
      <c r="D17" s="9">
        <v>3359</v>
      </c>
      <c r="E17" s="9">
        <v>340</v>
      </c>
      <c r="F17" s="9">
        <v>6</v>
      </c>
      <c r="G17" s="9">
        <v>3</v>
      </c>
      <c r="H17" s="9">
        <v>81832</v>
      </c>
      <c r="I17" s="9" t="s">
        <v>121</v>
      </c>
      <c r="J17" s="21">
        <v>52104364</v>
      </c>
      <c r="K17" s="21" t="s">
        <v>152</v>
      </c>
      <c r="L17" s="21" t="s">
        <v>153</v>
      </c>
      <c r="M17" s="19">
        <v>21900</v>
      </c>
      <c r="N17" s="14">
        <v>0.5</v>
      </c>
      <c r="O17" s="20">
        <f t="shared" si="0"/>
        <v>10950</v>
      </c>
      <c r="P17" s="9" t="s">
        <v>20</v>
      </c>
    </row>
    <row r="18" spans="1:16">
      <c r="A18" s="9" t="s">
        <v>120</v>
      </c>
      <c r="B18" s="10">
        <v>46114</v>
      </c>
      <c r="C18" s="10">
        <v>46120</v>
      </c>
      <c r="D18" s="9">
        <v>3359</v>
      </c>
      <c r="E18" s="9">
        <v>340</v>
      </c>
      <c r="F18" s="9">
        <v>6</v>
      </c>
      <c r="G18" s="9">
        <v>3</v>
      </c>
      <c r="H18" s="9">
        <v>81832</v>
      </c>
      <c r="I18" s="9" t="s">
        <v>121</v>
      </c>
      <c r="J18" s="21">
        <v>53150697</v>
      </c>
      <c r="K18" s="21" t="s">
        <v>154</v>
      </c>
      <c r="L18" s="21" t="s">
        <v>155</v>
      </c>
      <c r="M18" s="19">
        <v>69900</v>
      </c>
      <c r="N18" s="14">
        <v>0.5</v>
      </c>
      <c r="O18" s="20">
        <f t="shared" si="0"/>
        <v>34950</v>
      </c>
      <c r="P18" s="9" t="s">
        <v>20</v>
      </c>
    </row>
    <row r="19" spans="1:16">
      <c r="A19" s="9" t="s">
        <v>120</v>
      </c>
      <c r="B19" s="10">
        <v>46114</v>
      </c>
      <c r="C19" s="10">
        <v>46120</v>
      </c>
      <c r="D19" s="9">
        <v>3359</v>
      </c>
      <c r="E19" s="9">
        <v>340</v>
      </c>
      <c r="F19" s="9">
        <v>6</v>
      </c>
      <c r="G19" s="9">
        <v>3</v>
      </c>
      <c r="H19" s="9">
        <v>81832</v>
      </c>
      <c r="I19" s="9" t="s">
        <v>121</v>
      </c>
      <c r="J19" s="21">
        <v>53150704</v>
      </c>
      <c r="K19" s="21" t="s">
        <v>156</v>
      </c>
      <c r="L19" s="21" t="s">
        <v>157</v>
      </c>
      <c r="M19" s="19">
        <v>49900</v>
      </c>
      <c r="N19" s="14">
        <v>0.5</v>
      </c>
      <c r="O19" s="20">
        <f t="shared" si="0"/>
        <v>24950</v>
      </c>
      <c r="P19" s="9" t="s">
        <v>20</v>
      </c>
    </row>
    <row r="20" spans="1:16">
      <c r="A20" s="9" t="s">
        <v>120</v>
      </c>
      <c r="B20" s="10">
        <v>46114</v>
      </c>
      <c r="C20" s="10">
        <v>46120</v>
      </c>
      <c r="D20" s="9">
        <v>3359</v>
      </c>
      <c r="E20" s="9">
        <v>340</v>
      </c>
      <c r="F20" s="9">
        <v>6</v>
      </c>
      <c r="G20" s="9">
        <v>3</v>
      </c>
      <c r="H20" s="9">
        <v>81832</v>
      </c>
      <c r="I20" s="9" t="s">
        <v>121</v>
      </c>
      <c r="J20" s="21">
        <v>53150713</v>
      </c>
      <c r="K20" s="21" t="s">
        <v>158</v>
      </c>
      <c r="L20" s="21" t="s">
        <v>159</v>
      </c>
      <c r="M20" s="19">
        <v>36900</v>
      </c>
      <c r="N20" s="14">
        <v>0.5</v>
      </c>
      <c r="O20" s="20">
        <f t="shared" si="0"/>
        <v>18450</v>
      </c>
      <c r="P20" s="9" t="s">
        <v>20</v>
      </c>
    </row>
    <row r="21" spans="1:16">
      <c r="A21" s="9" t="s">
        <v>120</v>
      </c>
      <c r="B21" s="10">
        <v>46114</v>
      </c>
      <c r="C21" s="10">
        <v>46120</v>
      </c>
      <c r="D21" s="9">
        <v>3359</v>
      </c>
      <c r="E21" s="9">
        <v>340</v>
      </c>
      <c r="F21" s="9">
        <v>6</v>
      </c>
      <c r="G21" s="9">
        <v>3</v>
      </c>
      <c r="H21" s="9">
        <v>81832</v>
      </c>
      <c r="I21" s="9" t="s">
        <v>121</v>
      </c>
      <c r="J21" s="21">
        <v>53150722</v>
      </c>
      <c r="K21" s="21" t="s">
        <v>160</v>
      </c>
      <c r="L21" s="21" t="s">
        <v>161</v>
      </c>
      <c r="M21" s="19">
        <v>29900</v>
      </c>
      <c r="N21" s="14">
        <v>0.5</v>
      </c>
      <c r="O21" s="20">
        <f t="shared" si="0"/>
        <v>14950</v>
      </c>
      <c r="P21" s="9" t="s">
        <v>20</v>
      </c>
    </row>
    <row r="22" spans="1:16">
      <c r="A22" s="9" t="s">
        <v>120</v>
      </c>
      <c r="B22" s="10">
        <v>46114</v>
      </c>
      <c r="C22" s="10">
        <v>46120</v>
      </c>
      <c r="D22" s="9">
        <v>3359</v>
      </c>
      <c r="E22" s="9">
        <v>340</v>
      </c>
      <c r="F22" s="9">
        <v>6</v>
      </c>
      <c r="G22" s="9">
        <v>3</v>
      </c>
      <c r="H22" s="9">
        <v>81832</v>
      </c>
      <c r="I22" s="9" t="s">
        <v>121</v>
      </c>
      <c r="J22" s="21">
        <v>53150731</v>
      </c>
      <c r="K22" s="21" t="s">
        <v>162</v>
      </c>
      <c r="L22" s="21" t="s">
        <v>163</v>
      </c>
      <c r="M22" s="19">
        <v>19900</v>
      </c>
      <c r="N22" s="14">
        <v>0.5</v>
      </c>
      <c r="O22" s="20">
        <f t="shared" si="0"/>
        <v>9950</v>
      </c>
      <c r="P22" s="9" t="s">
        <v>20</v>
      </c>
    </row>
    <row r="23" spans="1:16">
      <c r="A23" s="9" t="s">
        <v>120</v>
      </c>
      <c r="B23" s="10">
        <v>46114</v>
      </c>
      <c r="C23" s="10">
        <v>46120</v>
      </c>
      <c r="D23" s="9">
        <v>3359</v>
      </c>
      <c r="E23" s="9">
        <v>340</v>
      </c>
      <c r="F23" s="9">
        <v>6</v>
      </c>
      <c r="G23" s="9">
        <v>3</v>
      </c>
      <c r="H23" s="9">
        <v>81832</v>
      </c>
      <c r="I23" s="9" t="s">
        <v>121</v>
      </c>
      <c r="J23" s="21">
        <v>53150740</v>
      </c>
      <c r="K23" s="21" t="s">
        <v>164</v>
      </c>
      <c r="L23" s="21" t="s">
        <v>165</v>
      </c>
      <c r="M23" s="19">
        <v>29900</v>
      </c>
      <c r="N23" s="14">
        <v>0.5</v>
      </c>
      <c r="O23" s="20">
        <f t="shared" si="0"/>
        <v>14950</v>
      </c>
      <c r="P23" s="9" t="s">
        <v>20</v>
      </c>
    </row>
    <row r="24" spans="1:16">
      <c r="A24" s="9" t="s">
        <v>120</v>
      </c>
      <c r="B24" s="10">
        <v>46114</v>
      </c>
      <c r="C24" s="10">
        <v>46120</v>
      </c>
      <c r="D24" s="9">
        <v>3359</v>
      </c>
      <c r="E24" s="9">
        <v>340</v>
      </c>
      <c r="F24" s="9">
        <v>6</v>
      </c>
      <c r="G24" s="9">
        <v>3</v>
      </c>
      <c r="H24" s="9">
        <v>81832</v>
      </c>
      <c r="I24" s="9" t="s">
        <v>121</v>
      </c>
      <c r="J24" s="21">
        <v>54433657</v>
      </c>
      <c r="K24" s="21" t="s">
        <v>166</v>
      </c>
      <c r="L24" s="21" t="s">
        <v>167</v>
      </c>
      <c r="M24" s="19">
        <v>34900</v>
      </c>
      <c r="N24" s="14">
        <v>0.5</v>
      </c>
      <c r="O24" s="20">
        <f t="shared" si="0"/>
        <v>17450</v>
      </c>
      <c r="P24" s="9" t="s">
        <v>20</v>
      </c>
    </row>
    <row r="25" spans="1:16">
      <c r="A25" s="9" t="s">
        <v>120</v>
      </c>
      <c r="B25" s="10">
        <v>46114</v>
      </c>
      <c r="C25" s="10">
        <v>46120</v>
      </c>
      <c r="D25" s="9">
        <v>3359</v>
      </c>
      <c r="E25" s="9">
        <v>340</v>
      </c>
      <c r="F25" s="9">
        <v>6</v>
      </c>
      <c r="G25" s="9">
        <v>3</v>
      </c>
      <c r="H25" s="9">
        <v>81832</v>
      </c>
      <c r="I25" s="9" t="s">
        <v>121</v>
      </c>
      <c r="J25" s="21">
        <v>54433666</v>
      </c>
      <c r="K25" s="21" t="s">
        <v>168</v>
      </c>
      <c r="L25" s="21" t="s">
        <v>169</v>
      </c>
      <c r="M25" s="19">
        <v>29900</v>
      </c>
      <c r="N25" s="14">
        <v>0.5</v>
      </c>
      <c r="O25" s="20">
        <f t="shared" si="0"/>
        <v>14950</v>
      </c>
      <c r="P25" s="9" t="s">
        <v>20</v>
      </c>
    </row>
  </sheetData>
  <autoFilter xmlns:etc="http://www.wps.cn/officeDocument/2017/etCustomData" ref="A1:P25" etc:filterBottomFollowUsedRange="0">
    <sortState ref="A1:P25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55" zoomScaleNormal="55" workbookViewId="0">
      <selection activeCell="B2" sqref="B2:C4"/>
    </sheetView>
  </sheetViews>
  <sheetFormatPr defaultColWidth="8.63636363636364" defaultRowHeight="14.5" outlineLevelRow="3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170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9">
        <v>81832</v>
      </c>
      <c r="I2" s="9" t="s">
        <v>171</v>
      </c>
      <c r="J2" s="21">
        <v>52130184</v>
      </c>
      <c r="K2" s="21" t="s">
        <v>172</v>
      </c>
      <c r="L2" s="21" t="s">
        <v>173</v>
      </c>
      <c r="M2" s="19">
        <v>25900</v>
      </c>
      <c r="N2" s="14">
        <v>0.5</v>
      </c>
      <c r="O2" s="20">
        <f>M2*(1-N2)</f>
        <v>12950</v>
      </c>
      <c r="P2" s="9" t="s">
        <v>20</v>
      </c>
    </row>
    <row r="3" spans="1:16">
      <c r="A3" s="9" t="s">
        <v>170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9">
        <v>81832</v>
      </c>
      <c r="I3" s="9" t="s">
        <v>171</v>
      </c>
      <c r="J3" s="21">
        <v>52130193</v>
      </c>
      <c r="K3" s="21" t="s">
        <v>174</v>
      </c>
      <c r="L3" s="21" t="s">
        <v>175</v>
      </c>
      <c r="M3" s="19">
        <v>41900</v>
      </c>
      <c r="N3" s="14">
        <v>0.5</v>
      </c>
      <c r="O3" s="20">
        <f>M3*(1-N3)</f>
        <v>20950</v>
      </c>
      <c r="P3" s="9" t="s">
        <v>20</v>
      </c>
    </row>
    <row r="4" spans="1:16">
      <c r="A4" s="9" t="s">
        <v>170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1</v>
      </c>
      <c r="H4" s="9">
        <v>81832</v>
      </c>
      <c r="I4" s="9" t="s">
        <v>171</v>
      </c>
      <c r="J4" s="21">
        <v>52130200</v>
      </c>
      <c r="K4" s="21" t="s">
        <v>176</v>
      </c>
      <c r="L4" s="21" t="s">
        <v>177</v>
      </c>
      <c r="M4" s="19">
        <v>18900</v>
      </c>
      <c r="N4" s="14">
        <v>0.5</v>
      </c>
      <c r="O4" s="20">
        <f>M4*(1-N4)</f>
        <v>9450</v>
      </c>
      <c r="P4" s="9" t="s">
        <v>20</v>
      </c>
    </row>
  </sheetData>
  <autoFilter xmlns:etc="http://www.wps.cn/officeDocument/2017/etCustomData" ref="A1:P4" etc:filterBottomFollowUsedRange="0">
    <sortState ref="A1:P4">
      <sortCondition ref="I1:I76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L36" sqref="L36"/>
    </sheetView>
  </sheetViews>
  <sheetFormatPr defaultColWidth="8.63636363636364" defaultRowHeight="14.5" outlineLevelRow="1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84.2909090909091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178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1</v>
      </c>
      <c r="H2" s="9">
        <v>81843</v>
      </c>
      <c r="I2" s="9" t="s">
        <v>91</v>
      </c>
      <c r="J2" s="21">
        <v>54440578</v>
      </c>
      <c r="K2" s="21" t="s">
        <v>179</v>
      </c>
      <c r="L2" s="21" t="s">
        <v>180</v>
      </c>
      <c r="M2" s="19">
        <v>39900</v>
      </c>
      <c r="N2" s="14">
        <v>0.5</v>
      </c>
      <c r="O2" s="20">
        <f>M2*N2</f>
        <v>19950</v>
      </c>
      <c r="P2" s="9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zoomScale="55" zoomScaleNormal="55" workbookViewId="0">
      <selection activeCell="B2" sqref="B2:C3"/>
    </sheetView>
  </sheetViews>
  <sheetFormatPr defaultColWidth="8.63636363636364" defaultRowHeight="14.5" outlineLevelRow="2"/>
  <cols>
    <col min="1" max="1" width="27.2727272727273" style="1" customWidth="1"/>
    <col min="2" max="2" width="18.3454545454545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3.3818181818182" style="1" customWidth="1"/>
    <col min="12" max="12" width="67.7636363636364" style="1" customWidth="1"/>
    <col min="13" max="13" width="17.1909090909091" style="3" customWidth="1"/>
    <col min="14" max="14" width="14.7090909090909" style="4" customWidth="1"/>
    <col min="15" max="15" width="16.1909090909091" style="3" customWidth="1"/>
    <col min="16" max="16" width="19.5" style="1" customWidth="1"/>
    <col min="17" max="16384" width="8.63636363636364" style="1"/>
  </cols>
  <sheetData>
    <row r="1" ht="30.75" customHeight="1" spans="1:16">
      <c r="A1" s="16" t="s">
        <v>0</v>
      </c>
      <c r="B1" s="17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181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3</v>
      </c>
      <c r="H2" s="11">
        <v>81778</v>
      </c>
      <c r="I2" s="9" t="s">
        <v>91</v>
      </c>
      <c r="J2" s="18">
        <v>55254607</v>
      </c>
      <c r="K2" s="18" t="s">
        <v>182</v>
      </c>
      <c r="L2" s="18" t="s">
        <v>183</v>
      </c>
      <c r="M2" s="19">
        <v>59900</v>
      </c>
      <c r="N2" s="14">
        <v>0.5</v>
      </c>
      <c r="O2" s="20">
        <f>M2*(1-N2)</f>
        <v>29950</v>
      </c>
      <c r="P2" s="14" t="s">
        <v>20</v>
      </c>
    </row>
    <row r="3" spans="1:16">
      <c r="A3" s="9" t="s">
        <v>181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3</v>
      </c>
      <c r="H3" s="11">
        <v>81778</v>
      </c>
      <c r="I3" s="9" t="s">
        <v>91</v>
      </c>
      <c r="J3" s="18">
        <v>55254616</v>
      </c>
      <c r="K3" s="18" t="s">
        <v>184</v>
      </c>
      <c r="L3" s="18" t="s">
        <v>185</v>
      </c>
      <c r="M3" s="19">
        <v>59900</v>
      </c>
      <c r="N3" s="14">
        <v>0.5</v>
      </c>
      <c r="O3" s="20">
        <f>M3*(1-N3)</f>
        <v>29950</v>
      </c>
      <c r="P3" s="14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zoomScale="55" zoomScaleNormal="55" workbookViewId="0">
      <selection activeCell="B2" sqref="B2:C4"/>
    </sheetView>
  </sheetViews>
  <sheetFormatPr defaultColWidth="8.63636363636364" defaultRowHeight="14.5" outlineLevelRow="3"/>
  <cols>
    <col min="1" max="1" width="35.5454545454545" style="1" customWidth="1"/>
    <col min="2" max="2" width="16.0909090909091" style="2" customWidth="1"/>
    <col min="3" max="3" width="13.3636363636364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9272727272727" style="1" customWidth="1"/>
    <col min="13" max="13" width="20.9090909090909" style="3" customWidth="1"/>
    <col min="14" max="14" width="22" style="4" customWidth="1"/>
    <col min="15" max="15" width="22" style="3" customWidth="1"/>
    <col min="16" max="16" width="22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186</v>
      </c>
      <c r="B2" s="10">
        <v>46114</v>
      </c>
      <c r="C2" s="10">
        <v>46120</v>
      </c>
      <c r="D2" s="9">
        <v>3359</v>
      </c>
      <c r="E2" s="9">
        <v>340</v>
      </c>
      <c r="F2" s="9">
        <v>6</v>
      </c>
      <c r="G2" s="9">
        <v>1</v>
      </c>
      <c r="H2" s="11">
        <v>81681</v>
      </c>
      <c r="I2" s="9" t="s">
        <v>187</v>
      </c>
      <c r="J2" s="12">
        <v>54518842</v>
      </c>
      <c r="K2" s="12" t="s">
        <v>188</v>
      </c>
      <c r="L2" s="12" t="s">
        <v>189</v>
      </c>
      <c r="M2" s="13">
        <v>129900</v>
      </c>
      <c r="N2" s="14" t="s">
        <v>190</v>
      </c>
      <c r="O2" s="15" t="s">
        <v>191</v>
      </c>
      <c r="P2" s="14" t="s">
        <v>190</v>
      </c>
    </row>
    <row r="3" spans="1:16">
      <c r="A3" s="9" t="s">
        <v>186</v>
      </c>
      <c r="B3" s="10">
        <v>46114</v>
      </c>
      <c r="C3" s="10">
        <v>46120</v>
      </c>
      <c r="D3" s="9">
        <v>3359</v>
      </c>
      <c r="E3" s="9">
        <v>340</v>
      </c>
      <c r="F3" s="9">
        <v>6</v>
      </c>
      <c r="G3" s="9">
        <v>1</v>
      </c>
      <c r="H3" s="11">
        <v>81681</v>
      </c>
      <c r="I3" s="9" t="s">
        <v>187</v>
      </c>
      <c r="J3" s="12">
        <v>54518833</v>
      </c>
      <c r="K3" s="12" t="s">
        <v>188</v>
      </c>
      <c r="L3" s="12" t="s">
        <v>192</v>
      </c>
      <c r="M3" s="13">
        <v>129900</v>
      </c>
      <c r="N3" s="14" t="s">
        <v>190</v>
      </c>
      <c r="O3" s="15" t="s">
        <v>191</v>
      </c>
      <c r="P3" s="14" t="s">
        <v>190</v>
      </c>
    </row>
    <row r="4" spans="1:16">
      <c r="A4" s="9" t="s">
        <v>186</v>
      </c>
      <c r="B4" s="10">
        <v>46114</v>
      </c>
      <c r="C4" s="10">
        <v>46120</v>
      </c>
      <c r="D4" s="9">
        <v>3359</v>
      </c>
      <c r="E4" s="9">
        <v>340</v>
      </c>
      <c r="F4" s="9">
        <v>6</v>
      </c>
      <c r="G4" s="9">
        <v>1</v>
      </c>
      <c r="H4" s="11">
        <v>81681</v>
      </c>
      <c r="I4" s="9" t="s">
        <v>187</v>
      </c>
      <c r="J4" s="12">
        <v>54518824</v>
      </c>
      <c r="K4" s="12" t="s">
        <v>188</v>
      </c>
      <c r="L4" s="12" t="s">
        <v>193</v>
      </c>
      <c r="M4" s="13">
        <v>129900</v>
      </c>
      <c r="N4" s="14" t="s">
        <v>190</v>
      </c>
      <c r="O4" s="15" t="s">
        <v>191</v>
      </c>
      <c r="P4" s="14" t="s">
        <v>190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2025 H1 BONBOX ALL D50</vt:lpstr>
      <vt:lpstr>2025 H1 GREENLEAF ALL D50</vt:lpstr>
      <vt:lpstr>2025 H1 HOMECO LIVING ALL D50</vt:lpstr>
      <vt:lpstr>2025 H1 LUNGO ALL D50</vt:lpstr>
      <vt:lpstr>2025 H1 MATAHARI ALL D50</vt:lpstr>
      <vt:lpstr>2025 H1 TECHNOPLAST ALL D50</vt:lpstr>
      <vt:lpstr>2025 H1 WIGGLE ALL D50</vt:lpstr>
      <vt:lpstr>2025 H1 CLC SP29.9K</vt:lpstr>
      <vt:lpstr>2025 H2 TUMBLER D50</vt:lpstr>
      <vt:lpstr>2025 H2 FLOOR CSHN B1D20 B2G1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2026-03-31T07:03:18Z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55B40A1038D14A9591088A47F34946F5_13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