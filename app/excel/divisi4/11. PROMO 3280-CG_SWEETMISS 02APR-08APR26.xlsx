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8E87F773-E1F9-44F1-81CD-480506AC4198}" xr6:coauthVersionLast="47" xr6:coauthVersionMax="47" xr10:uidLastSave="{00000000-0000-0000-0000-000000000000}"/>
  <bookViews>
    <workbookView xWindow="-120" yWindow="-120" windowWidth="20730" windowHeight="11160" tabRatio="846" activeTab="1" xr2:uid="{00000000-000D-0000-FFFF-FFFF00000000}"/>
  </bookViews>
  <sheets>
    <sheet name="2019 ALL D95" sheetId="10" r:id="rId1"/>
    <sheet name="2020-2021 ALL D90" sheetId="8" r:id="rId2"/>
    <sheet name="2022 ALL D90" sheetId="9" r:id="rId3"/>
    <sheet name="2023 ALL D90" sheetId="35" r:id="rId4"/>
    <sheet name="2024 JAN-JUN D75" sheetId="37" r:id="rId5"/>
    <sheet name="2024 JUL-OCT D75" sheetId="38" r:id="rId6"/>
    <sheet name="2024 NOV-DEC D75" sheetId="33" r:id="rId7"/>
    <sheet name="2025 H1 D80" sheetId="31" r:id="rId8"/>
    <sheet name="BAMUS 2025 D80" sheetId="36" r:id="rId9"/>
  </sheets>
  <definedNames>
    <definedName name="_xlnm._FilterDatabase" localSheetId="0" hidden="1">'2019 ALL D95'!$A$1:$P$1</definedName>
    <definedName name="_xlnm._FilterDatabase" localSheetId="1" hidden="1">'2020-2021 ALL D90'!$A$1:$P$1</definedName>
    <definedName name="_xlnm._FilterDatabase" localSheetId="2" hidden="1">'2022 ALL D90'!$A$1:$P$589</definedName>
    <definedName name="_xlnm._FilterDatabase" localSheetId="3" hidden="1">'2023 ALL D90'!$A$1:$P$1</definedName>
    <definedName name="_xlnm._FilterDatabase" localSheetId="7" hidden="1">'2025 H1 D80'!$A$1:$P$54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0" l="1"/>
  <c r="C2" i="35"/>
  <c r="B2" i="35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O3" i="35"/>
  <c r="O4" i="35"/>
  <c r="O5" i="35"/>
  <c r="O6" i="35"/>
  <c r="O7" i="35"/>
  <c r="O8" i="35"/>
  <c r="O9" i="35"/>
  <c r="O10" i="35"/>
  <c r="O11" i="35"/>
  <c r="O12" i="35"/>
  <c r="O13" i="35"/>
  <c r="O14" i="35"/>
  <c r="O15" i="35"/>
  <c r="O16" i="35"/>
  <c r="O17" i="35"/>
  <c r="O18" i="35"/>
  <c r="O19" i="35"/>
  <c r="O20" i="35"/>
  <c r="O21" i="35"/>
  <c r="O22" i="35"/>
  <c r="O23" i="35"/>
  <c r="O24" i="35"/>
  <c r="O25" i="35"/>
  <c r="O26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0" i="35"/>
  <c r="O121" i="35"/>
  <c r="O122" i="35"/>
  <c r="O123" i="35"/>
  <c r="O124" i="35"/>
  <c r="O125" i="35"/>
  <c r="O126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142" i="35"/>
  <c r="O143" i="35"/>
  <c r="O144" i="35"/>
  <c r="O145" i="35"/>
  <c r="O146" i="35"/>
  <c r="O147" i="35"/>
  <c r="O148" i="35"/>
  <c r="O149" i="35"/>
  <c r="O150" i="35"/>
  <c r="O151" i="35"/>
  <c r="O152" i="35"/>
  <c r="O153" i="35"/>
  <c r="O154" i="35"/>
  <c r="O155" i="35"/>
  <c r="O156" i="35"/>
  <c r="O157" i="35"/>
  <c r="O158" i="35"/>
  <c r="O159" i="35"/>
  <c r="O160" i="35"/>
  <c r="O161" i="35"/>
  <c r="O162" i="35"/>
  <c r="O163" i="35"/>
  <c r="O164" i="35"/>
  <c r="O165" i="35"/>
  <c r="O166" i="35"/>
  <c r="O167" i="35"/>
  <c r="O168" i="35"/>
  <c r="O169" i="35"/>
  <c r="O170" i="35"/>
  <c r="O171" i="35"/>
  <c r="O172" i="35"/>
  <c r="O173" i="35"/>
  <c r="O174" i="35"/>
  <c r="O175" i="35"/>
  <c r="O176" i="35"/>
  <c r="O177" i="35"/>
  <c r="O178" i="35"/>
  <c r="O179" i="35"/>
  <c r="O180" i="35"/>
  <c r="O181" i="35"/>
  <c r="O182" i="35"/>
  <c r="O183" i="35"/>
  <c r="O184" i="35"/>
  <c r="O185" i="35"/>
  <c r="O186" i="35"/>
  <c r="O187" i="35"/>
  <c r="O188" i="35"/>
  <c r="O189" i="35"/>
  <c r="O190" i="35"/>
  <c r="O191" i="35"/>
  <c r="O192" i="35"/>
  <c r="O193" i="35"/>
  <c r="O194" i="35"/>
  <c r="O195" i="35"/>
  <c r="O196" i="35"/>
  <c r="O197" i="35"/>
  <c r="O198" i="35"/>
  <c r="O199" i="35"/>
  <c r="O200" i="35"/>
  <c r="O201" i="35"/>
  <c r="O202" i="35"/>
  <c r="O203" i="35"/>
  <c r="O204" i="35"/>
  <c r="O205" i="35"/>
  <c r="O206" i="35"/>
  <c r="O207" i="35"/>
  <c r="O208" i="35"/>
  <c r="O209" i="35"/>
  <c r="O210" i="35"/>
  <c r="O211" i="35"/>
  <c r="O212" i="35"/>
  <c r="O213" i="35"/>
  <c r="O214" i="35"/>
  <c r="O215" i="35"/>
  <c r="O216" i="35"/>
  <c r="O217" i="35"/>
  <c r="O218" i="35"/>
  <c r="O219" i="35"/>
  <c r="O220" i="35"/>
  <c r="O221" i="35"/>
  <c r="O222" i="35"/>
  <c r="O223" i="35"/>
  <c r="O224" i="35"/>
  <c r="O225" i="35"/>
  <c r="O226" i="35"/>
  <c r="O227" i="35"/>
  <c r="O228" i="35"/>
  <c r="O229" i="35"/>
  <c r="O230" i="35"/>
  <c r="O231" i="35"/>
  <c r="O232" i="35"/>
  <c r="O233" i="35"/>
  <c r="O234" i="35"/>
  <c r="O235" i="35"/>
  <c r="O236" i="35"/>
  <c r="O237" i="35"/>
  <c r="O238" i="35"/>
  <c r="O239" i="35"/>
  <c r="O240" i="35"/>
  <c r="O241" i="35"/>
  <c r="O242" i="35"/>
  <c r="O243" i="35"/>
  <c r="O244" i="35"/>
  <c r="O245" i="35"/>
  <c r="O246" i="35"/>
  <c r="O247" i="35"/>
  <c r="O248" i="35"/>
  <c r="O249" i="35"/>
  <c r="O250" i="35"/>
  <c r="O251" i="35"/>
  <c r="O252" i="35"/>
  <c r="O253" i="35"/>
  <c r="O254" i="35"/>
  <c r="O255" i="35"/>
  <c r="O256" i="35"/>
  <c r="O257" i="35"/>
  <c r="O258" i="35"/>
  <c r="O259" i="35"/>
  <c r="O260" i="35"/>
  <c r="O261" i="35"/>
  <c r="O262" i="35"/>
  <c r="O263" i="35"/>
  <c r="O264" i="35"/>
  <c r="O265" i="35"/>
  <c r="O266" i="35"/>
  <c r="O267" i="35"/>
  <c r="O268" i="35"/>
  <c r="O269" i="35"/>
  <c r="O270" i="35"/>
  <c r="O271" i="35"/>
  <c r="O272" i="35"/>
  <c r="O273" i="35"/>
  <c r="O274" i="35"/>
  <c r="O275" i="35"/>
  <c r="O276" i="35"/>
  <c r="O277" i="35"/>
  <c r="O278" i="35"/>
  <c r="O279" i="35"/>
  <c r="O280" i="35"/>
  <c r="O281" i="35"/>
  <c r="O282" i="35"/>
  <c r="O283" i="35"/>
  <c r="O284" i="35"/>
  <c r="O285" i="35"/>
  <c r="O286" i="35"/>
  <c r="O287" i="35"/>
  <c r="O288" i="35"/>
  <c r="O289" i="35"/>
  <c r="O290" i="35"/>
  <c r="O291" i="35"/>
  <c r="O292" i="35"/>
  <c r="O293" i="35"/>
  <c r="O294" i="35"/>
  <c r="O295" i="35"/>
  <c r="O296" i="35"/>
  <c r="O297" i="35"/>
  <c r="O298" i="35"/>
  <c r="O299" i="35"/>
  <c r="O300" i="35"/>
  <c r="O301" i="35"/>
  <c r="O302" i="35"/>
  <c r="O303" i="35"/>
  <c r="O304" i="35"/>
  <c r="O305" i="35"/>
  <c r="O306" i="35"/>
  <c r="O307" i="35"/>
  <c r="O308" i="35"/>
  <c r="O309" i="35"/>
  <c r="O310" i="35"/>
  <c r="O311" i="35"/>
  <c r="O312" i="35"/>
  <c r="O313" i="35"/>
  <c r="O314" i="35"/>
  <c r="O315" i="35"/>
  <c r="O316" i="35"/>
  <c r="O317" i="35"/>
  <c r="O318" i="35"/>
  <c r="O319" i="35"/>
  <c r="O320" i="35"/>
  <c r="O321" i="35"/>
  <c r="O322" i="35"/>
  <c r="O323" i="35"/>
  <c r="O324" i="35"/>
  <c r="O325" i="35"/>
  <c r="O326" i="35"/>
  <c r="O327" i="35"/>
  <c r="O328" i="35"/>
  <c r="O329" i="35"/>
  <c r="O330" i="35"/>
  <c r="O331" i="35"/>
  <c r="O332" i="35"/>
  <c r="O333" i="35"/>
  <c r="O334" i="35"/>
  <c r="O335" i="35"/>
  <c r="O336" i="35"/>
  <c r="O337" i="35"/>
  <c r="O338" i="35"/>
  <c r="O339" i="35"/>
  <c r="O340" i="35"/>
  <c r="O341" i="35"/>
  <c r="O342" i="35"/>
  <c r="O343" i="35"/>
  <c r="O344" i="35"/>
  <c r="O345" i="35"/>
  <c r="O346" i="35"/>
  <c r="O347" i="35"/>
  <c r="O348" i="35"/>
  <c r="O349" i="35"/>
  <c r="O350" i="35"/>
  <c r="O351" i="35"/>
  <c r="O352" i="35"/>
  <c r="O353" i="35"/>
  <c r="O354" i="35"/>
  <c r="O355" i="35"/>
  <c r="O356" i="35"/>
  <c r="O357" i="35"/>
  <c r="O358" i="35"/>
  <c r="O359" i="35"/>
  <c r="O360" i="35"/>
  <c r="O361" i="35"/>
  <c r="O362" i="35"/>
  <c r="O363" i="35"/>
  <c r="O364" i="35"/>
  <c r="O365" i="35"/>
  <c r="O366" i="35"/>
  <c r="O367" i="35"/>
  <c r="O368" i="35"/>
  <c r="O369" i="35"/>
  <c r="O370" i="35"/>
  <c r="O371" i="35"/>
  <c r="O372" i="35"/>
  <c r="O373" i="35"/>
  <c r="O374" i="35"/>
  <c r="O375" i="35"/>
  <c r="O376" i="35"/>
  <c r="O377" i="35"/>
  <c r="O378" i="35"/>
  <c r="O379" i="35"/>
  <c r="O380" i="35"/>
  <c r="O381" i="35"/>
  <c r="O382" i="35"/>
  <c r="O383" i="35"/>
  <c r="O384" i="35"/>
  <c r="O385" i="35"/>
  <c r="O386" i="35"/>
  <c r="O387" i="35"/>
  <c r="O388" i="35"/>
  <c r="O389" i="35"/>
  <c r="O390" i="35"/>
  <c r="O391" i="35"/>
  <c r="O392" i="35"/>
  <c r="O393" i="35"/>
  <c r="O394" i="35"/>
  <c r="O395" i="35"/>
  <c r="O396" i="35"/>
  <c r="O397" i="35"/>
  <c r="O398" i="35"/>
  <c r="O399" i="35"/>
  <c r="O400" i="35"/>
  <c r="O401" i="35"/>
  <c r="O402" i="35"/>
  <c r="O403" i="35"/>
  <c r="O404" i="35"/>
  <c r="O405" i="35"/>
  <c r="O406" i="35"/>
  <c r="O407" i="35"/>
  <c r="O408" i="35"/>
  <c r="O409" i="35"/>
  <c r="O410" i="35"/>
  <c r="O411" i="35"/>
  <c r="O412" i="35"/>
  <c r="O413" i="35"/>
  <c r="O414" i="35"/>
  <c r="O415" i="35"/>
  <c r="O416" i="35"/>
  <c r="O417" i="35"/>
  <c r="O418" i="35"/>
  <c r="O419" i="35"/>
  <c r="O420" i="35"/>
  <c r="O421" i="35"/>
  <c r="O422" i="35"/>
  <c r="O423" i="35"/>
  <c r="O424" i="35"/>
  <c r="O425" i="35"/>
  <c r="O426" i="35"/>
  <c r="O427" i="35"/>
  <c r="O428" i="35"/>
  <c r="O429" i="35"/>
  <c r="O430" i="35"/>
  <c r="O431" i="35"/>
  <c r="O432" i="35"/>
  <c r="O433" i="35"/>
  <c r="O434" i="35"/>
  <c r="O435" i="35"/>
  <c r="O436" i="35"/>
  <c r="O437" i="35"/>
  <c r="O438" i="35"/>
  <c r="O439" i="35"/>
  <c r="O440" i="35"/>
  <c r="O441" i="35"/>
  <c r="O442" i="35"/>
  <c r="O443" i="35"/>
  <c r="O444" i="35"/>
  <c r="O445" i="35"/>
  <c r="O446" i="35"/>
  <c r="O447" i="35"/>
  <c r="O448" i="35"/>
  <c r="O449" i="35"/>
  <c r="O450" i="35"/>
  <c r="O451" i="35"/>
  <c r="O452" i="35"/>
  <c r="O453" i="35"/>
  <c r="O454" i="35"/>
  <c r="O455" i="35"/>
  <c r="O456" i="35"/>
  <c r="O457" i="35"/>
  <c r="O458" i="35"/>
  <c r="O459" i="35"/>
  <c r="O460" i="35"/>
  <c r="O461" i="35"/>
  <c r="O462" i="35"/>
  <c r="O463" i="35"/>
  <c r="O464" i="35"/>
  <c r="O465" i="35"/>
  <c r="O466" i="35"/>
  <c r="O467" i="35"/>
  <c r="O468" i="35"/>
  <c r="O469" i="35"/>
  <c r="O470" i="35"/>
  <c r="O471" i="35"/>
  <c r="O472" i="35"/>
  <c r="O473" i="35"/>
  <c r="O474" i="35"/>
  <c r="O475" i="35"/>
  <c r="O476" i="35"/>
  <c r="O477" i="35"/>
  <c r="O478" i="35"/>
  <c r="O479" i="35"/>
  <c r="O480" i="35"/>
  <c r="O481" i="35"/>
  <c r="O482" i="35"/>
  <c r="O483" i="35"/>
  <c r="O484" i="35"/>
  <c r="O485" i="35"/>
  <c r="O486" i="35"/>
  <c r="O487" i="35"/>
  <c r="O488" i="35"/>
  <c r="O489" i="35"/>
  <c r="O490" i="35"/>
  <c r="O491" i="35"/>
  <c r="O492" i="35"/>
  <c r="O493" i="35"/>
  <c r="O494" i="35"/>
  <c r="O495" i="35"/>
  <c r="O496" i="35"/>
  <c r="O497" i="35"/>
  <c r="O498" i="35"/>
  <c r="O499" i="35"/>
  <c r="O500" i="35"/>
  <c r="O501" i="35"/>
  <c r="O502" i="35"/>
  <c r="O503" i="35"/>
  <c r="O504" i="35"/>
  <c r="O505" i="35"/>
  <c r="O506" i="35"/>
  <c r="O507" i="35"/>
  <c r="O508" i="35"/>
  <c r="O509" i="35"/>
  <c r="O510" i="35"/>
  <c r="O511" i="35"/>
  <c r="O512" i="35"/>
  <c r="O513" i="35"/>
  <c r="O514" i="35"/>
  <c r="O515" i="35"/>
  <c r="O516" i="35"/>
  <c r="O517" i="35"/>
  <c r="O518" i="35"/>
  <c r="O519" i="35"/>
  <c r="O520" i="35"/>
  <c r="O521" i="35"/>
  <c r="O522" i="35"/>
  <c r="O523" i="35"/>
  <c r="O524" i="35"/>
  <c r="O525" i="35"/>
  <c r="O526" i="35"/>
  <c r="O527" i="35"/>
  <c r="O528" i="35"/>
  <c r="O529" i="35"/>
  <c r="O530" i="35"/>
  <c r="O531" i="35"/>
  <c r="O532" i="35"/>
  <c r="O533" i="35"/>
  <c r="O534" i="35"/>
  <c r="O535" i="35"/>
  <c r="O536" i="35"/>
  <c r="O537" i="35"/>
  <c r="O538" i="35"/>
  <c r="O539" i="35"/>
  <c r="O540" i="35"/>
  <c r="O541" i="35"/>
  <c r="O542" i="35"/>
  <c r="O543" i="35"/>
  <c r="O544" i="35"/>
  <c r="O545" i="35"/>
  <c r="O546" i="35"/>
  <c r="O547" i="35"/>
  <c r="O548" i="35"/>
  <c r="O549" i="35"/>
  <c r="O550" i="35"/>
  <c r="O551" i="35"/>
  <c r="O552" i="35"/>
  <c r="O553" i="35"/>
  <c r="O554" i="35"/>
  <c r="O555" i="35"/>
  <c r="O556" i="35"/>
  <c r="O557" i="35"/>
  <c r="O558" i="35"/>
  <c r="O559" i="35"/>
  <c r="O560" i="35"/>
  <c r="O561" i="35"/>
  <c r="O562" i="35"/>
  <c r="O563" i="35"/>
  <c r="O564" i="35"/>
  <c r="O565" i="35"/>
  <c r="O566" i="35"/>
  <c r="O567" i="35"/>
  <c r="O568" i="35"/>
  <c r="O569" i="35"/>
  <c r="O570" i="35"/>
  <c r="O571" i="35"/>
  <c r="O572" i="35"/>
  <c r="O573" i="35"/>
  <c r="O574" i="35"/>
  <c r="O575" i="35"/>
  <c r="O576" i="35"/>
  <c r="O577" i="35"/>
  <c r="O578" i="35"/>
  <c r="O579" i="35"/>
  <c r="O580" i="35"/>
  <c r="O581" i="35"/>
  <c r="O582" i="35"/>
  <c r="O583" i="35"/>
  <c r="O584" i="35"/>
  <c r="O585" i="35"/>
  <c r="O586" i="35"/>
  <c r="O587" i="35"/>
  <c r="O588" i="35"/>
  <c r="O589" i="35"/>
  <c r="O590" i="35"/>
  <c r="O591" i="35"/>
  <c r="O592" i="35"/>
  <c r="O593" i="35"/>
  <c r="O594" i="35"/>
  <c r="O595" i="35"/>
  <c r="O596" i="35"/>
  <c r="O597" i="35"/>
  <c r="O598" i="35"/>
  <c r="O599" i="35"/>
  <c r="O600" i="35"/>
  <c r="O601" i="35"/>
  <c r="O602" i="35"/>
  <c r="O603" i="35"/>
  <c r="O604" i="35"/>
  <c r="O605" i="35"/>
  <c r="O606" i="35"/>
  <c r="O607" i="35"/>
  <c r="O608" i="35"/>
  <c r="O609" i="35"/>
  <c r="O610" i="35"/>
  <c r="O611" i="35"/>
  <c r="O612" i="35"/>
  <c r="O613" i="35"/>
  <c r="O614" i="35"/>
  <c r="O615" i="35"/>
  <c r="O616" i="35"/>
  <c r="O617" i="35"/>
  <c r="O618" i="35"/>
  <c r="O619" i="35"/>
  <c r="O620" i="35"/>
  <c r="O621" i="35"/>
  <c r="O622" i="35"/>
  <c r="O623" i="35"/>
  <c r="O624" i="35"/>
  <c r="O625" i="35"/>
  <c r="O626" i="35"/>
  <c r="O627" i="35"/>
  <c r="O628" i="35"/>
  <c r="O629" i="35"/>
  <c r="O630" i="35"/>
  <c r="O631" i="35"/>
  <c r="O632" i="35"/>
  <c r="O633" i="35"/>
  <c r="O634" i="35"/>
  <c r="O635" i="35"/>
  <c r="O636" i="35"/>
  <c r="O637" i="35"/>
  <c r="O638" i="35"/>
  <c r="O639" i="35"/>
  <c r="O640" i="35"/>
  <c r="O641" i="35"/>
  <c r="O642" i="35"/>
  <c r="O643" i="35"/>
  <c r="O644" i="35"/>
  <c r="O645" i="35"/>
  <c r="O646" i="35"/>
  <c r="O647" i="35"/>
  <c r="O648" i="35"/>
  <c r="O649" i="35"/>
  <c r="O650" i="35"/>
  <c r="O651" i="35"/>
  <c r="O652" i="35"/>
  <c r="O653" i="35"/>
  <c r="O654" i="35"/>
  <c r="O655" i="35"/>
  <c r="O656" i="35"/>
  <c r="O657" i="35"/>
  <c r="O658" i="35"/>
  <c r="O659" i="35"/>
  <c r="O660" i="35"/>
  <c r="O661" i="35"/>
  <c r="O662" i="35"/>
  <c r="O663" i="35"/>
  <c r="O664" i="35"/>
  <c r="O665" i="35"/>
  <c r="O666" i="35"/>
  <c r="O667" i="35"/>
  <c r="O668" i="35"/>
  <c r="O669" i="35"/>
  <c r="O670" i="35"/>
  <c r="O671" i="35"/>
  <c r="O672" i="35"/>
  <c r="O673" i="35"/>
  <c r="O674" i="35"/>
  <c r="O675" i="35"/>
  <c r="O676" i="35"/>
  <c r="O677" i="35"/>
  <c r="O678" i="35"/>
  <c r="O679" i="35"/>
  <c r="O680" i="35"/>
  <c r="O681" i="35"/>
  <c r="O682" i="35"/>
  <c r="O683" i="35"/>
  <c r="O684" i="35"/>
  <c r="O685" i="35"/>
  <c r="O686" i="35"/>
  <c r="O687" i="35"/>
  <c r="O688" i="35"/>
  <c r="O689" i="35"/>
  <c r="O690" i="35"/>
  <c r="O691" i="35"/>
  <c r="O692" i="35"/>
  <c r="O693" i="35"/>
  <c r="O694" i="35"/>
  <c r="O695" i="35"/>
  <c r="O696" i="35"/>
  <c r="O697" i="35"/>
  <c r="O698" i="35"/>
  <c r="O699" i="35"/>
  <c r="O700" i="35"/>
  <c r="O701" i="35"/>
  <c r="O2" i="35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2" i="9"/>
  <c r="A3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2" i="8"/>
  <c r="B2" i="36"/>
  <c r="A3" i="33"/>
  <c r="O3" i="33"/>
  <c r="O4" i="33"/>
  <c r="O5" i="33"/>
  <c r="O6" i="33"/>
  <c r="O7" i="33"/>
  <c r="O8" i="33"/>
  <c r="O9" i="33"/>
  <c r="O10" i="33"/>
  <c r="O11" i="33"/>
  <c r="O12" i="33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O51" i="33"/>
  <c r="O52" i="33"/>
  <c r="O53" i="33"/>
  <c r="O54" i="33"/>
  <c r="O55" i="33"/>
  <c r="O56" i="33"/>
  <c r="O57" i="33"/>
  <c r="O58" i="33"/>
  <c r="O59" i="33"/>
  <c r="O60" i="33"/>
  <c r="O61" i="33"/>
  <c r="O2" i="33"/>
  <c r="O3" i="38"/>
  <c r="O4" i="38"/>
  <c r="O5" i="38"/>
  <c r="O6" i="38"/>
  <c r="O7" i="38"/>
  <c r="O8" i="38"/>
  <c r="O9" i="38"/>
  <c r="O10" i="38"/>
  <c r="O11" i="38"/>
  <c r="O12" i="38"/>
  <c r="O13" i="38"/>
  <c r="O14" i="38"/>
  <c r="O15" i="38"/>
  <c r="O16" i="38"/>
  <c r="O17" i="38"/>
  <c r="O18" i="38"/>
  <c r="O19" i="38"/>
  <c r="O20" i="38"/>
  <c r="O21" i="38"/>
  <c r="O22" i="38"/>
  <c r="O23" i="38"/>
  <c r="O24" i="38"/>
  <c r="O25" i="38"/>
  <c r="O26" i="38"/>
  <c r="O27" i="38"/>
  <c r="O28" i="38"/>
  <c r="O29" i="38"/>
  <c r="O30" i="38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57" i="38"/>
  <c r="O58" i="38"/>
  <c r="O59" i="38"/>
  <c r="O60" i="38"/>
  <c r="O61" i="38"/>
  <c r="O62" i="38"/>
  <c r="O63" i="38"/>
  <c r="O64" i="38"/>
  <c r="O65" i="38"/>
  <c r="O66" i="38"/>
  <c r="O67" i="38"/>
  <c r="O68" i="38"/>
  <c r="O69" i="38"/>
  <c r="O70" i="38"/>
  <c r="O71" i="38"/>
  <c r="O72" i="38"/>
  <c r="O73" i="38"/>
  <c r="O74" i="38"/>
  <c r="O75" i="38"/>
  <c r="O76" i="38"/>
  <c r="O77" i="38"/>
  <c r="O78" i="38"/>
  <c r="O79" i="38"/>
  <c r="O80" i="38"/>
  <c r="O81" i="38"/>
  <c r="O82" i="38"/>
  <c r="O83" i="38"/>
  <c r="O84" i="38"/>
  <c r="O85" i="38"/>
  <c r="O86" i="38"/>
  <c r="O87" i="38"/>
  <c r="O88" i="38"/>
  <c r="O89" i="38"/>
  <c r="O90" i="38"/>
  <c r="O91" i="38"/>
  <c r="O92" i="38"/>
  <c r="O93" i="38"/>
  <c r="O94" i="38"/>
  <c r="O95" i="38"/>
  <c r="O96" i="38"/>
  <c r="O97" i="38"/>
  <c r="O98" i="38"/>
  <c r="O99" i="38"/>
  <c r="O100" i="38"/>
  <c r="O101" i="38"/>
  <c r="O102" i="38"/>
  <c r="O103" i="38"/>
  <c r="O104" i="38"/>
  <c r="O105" i="38"/>
  <c r="O106" i="38"/>
  <c r="O107" i="38"/>
  <c r="O108" i="38"/>
  <c r="O109" i="38"/>
  <c r="O2" i="38"/>
  <c r="O3" i="37"/>
  <c r="O4" i="37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66" i="37"/>
  <c r="O67" i="37"/>
  <c r="O68" i="37"/>
  <c r="O69" i="37"/>
  <c r="O70" i="37"/>
  <c r="O71" i="37"/>
  <c r="O72" i="37"/>
  <c r="O73" i="37"/>
  <c r="O74" i="37"/>
  <c r="O75" i="37"/>
  <c r="O76" i="37"/>
  <c r="O77" i="37"/>
  <c r="O78" i="37"/>
  <c r="O79" i="37"/>
  <c r="O80" i="37"/>
  <c r="O81" i="37"/>
  <c r="O82" i="37"/>
  <c r="O83" i="37"/>
  <c r="O84" i="37"/>
  <c r="O85" i="37"/>
  <c r="O86" i="37"/>
  <c r="O87" i="37"/>
  <c r="O88" i="37"/>
  <c r="O89" i="37"/>
  <c r="O90" i="37"/>
  <c r="O91" i="37"/>
  <c r="O92" i="37"/>
  <c r="O93" i="37"/>
  <c r="O94" i="37"/>
  <c r="O95" i="37"/>
  <c r="O96" i="37"/>
  <c r="O97" i="37"/>
  <c r="O98" i="37"/>
  <c r="O99" i="37"/>
  <c r="O100" i="37"/>
  <c r="O101" i="37"/>
  <c r="O102" i="37"/>
  <c r="O103" i="37"/>
  <c r="O104" i="37"/>
  <c r="O105" i="37"/>
  <c r="O106" i="37"/>
  <c r="O107" i="37"/>
  <c r="O108" i="37"/>
  <c r="O109" i="37"/>
  <c r="O110" i="37"/>
  <c r="O111" i="37"/>
  <c r="O112" i="37"/>
  <c r="O113" i="37"/>
  <c r="O114" i="37"/>
  <c r="O115" i="37"/>
  <c r="O116" i="37"/>
  <c r="O117" i="37"/>
  <c r="O118" i="37"/>
  <c r="O119" i="37"/>
  <c r="O120" i="37"/>
  <c r="O121" i="37"/>
  <c r="O122" i="37"/>
  <c r="O123" i="37"/>
  <c r="O124" i="37"/>
  <c r="O125" i="37"/>
  <c r="O126" i="37"/>
  <c r="O127" i="37"/>
  <c r="O128" i="37"/>
  <c r="O129" i="37"/>
  <c r="O130" i="37"/>
  <c r="O131" i="37"/>
  <c r="O132" i="37"/>
  <c r="O133" i="37"/>
  <c r="O134" i="37"/>
  <c r="O135" i="37"/>
  <c r="O136" i="37"/>
  <c r="O137" i="37"/>
  <c r="O138" i="37"/>
  <c r="O139" i="37"/>
  <c r="O140" i="37"/>
  <c r="O141" i="37"/>
  <c r="O142" i="37"/>
  <c r="O143" i="37"/>
  <c r="O144" i="37"/>
  <c r="O145" i="37"/>
  <c r="O146" i="37"/>
  <c r="O147" i="37"/>
  <c r="O148" i="37"/>
  <c r="O149" i="37"/>
  <c r="O150" i="37"/>
  <c r="O151" i="37"/>
  <c r="O152" i="37"/>
  <c r="O153" i="37"/>
  <c r="O154" i="37"/>
  <c r="O155" i="37"/>
  <c r="O156" i="37"/>
  <c r="O157" i="37"/>
  <c r="O158" i="37"/>
  <c r="O159" i="37"/>
  <c r="O160" i="37"/>
  <c r="O161" i="37"/>
  <c r="O162" i="37"/>
  <c r="O163" i="37"/>
  <c r="O164" i="37"/>
  <c r="O165" i="37"/>
  <c r="O166" i="37"/>
  <c r="O167" i="37"/>
  <c r="O168" i="37"/>
  <c r="O169" i="37"/>
  <c r="O170" i="37"/>
  <c r="O171" i="37"/>
  <c r="O172" i="37"/>
  <c r="O173" i="37"/>
  <c r="O174" i="37"/>
  <c r="O175" i="37"/>
  <c r="O176" i="37"/>
  <c r="O177" i="37"/>
  <c r="O178" i="37"/>
  <c r="O179" i="37"/>
  <c r="O180" i="37"/>
  <c r="O181" i="37"/>
  <c r="O182" i="37"/>
  <c r="O183" i="37"/>
  <c r="O184" i="37"/>
  <c r="O185" i="37"/>
  <c r="O186" i="37"/>
  <c r="O187" i="37"/>
  <c r="O188" i="37"/>
  <c r="O189" i="37"/>
  <c r="O190" i="37"/>
  <c r="O191" i="37"/>
  <c r="O192" i="37"/>
  <c r="O193" i="37"/>
  <c r="O194" i="37"/>
  <c r="O195" i="37"/>
  <c r="O196" i="37"/>
  <c r="O197" i="37"/>
  <c r="O198" i="37"/>
  <c r="O199" i="37"/>
  <c r="O200" i="37"/>
  <c r="O201" i="37"/>
  <c r="O202" i="37"/>
  <c r="O203" i="37"/>
  <c r="O204" i="37"/>
  <c r="O205" i="37"/>
  <c r="O206" i="37"/>
  <c r="O207" i="37"/>
  <c r="O208" i="37"/>
  <c r="O209" i="37"/>
  <c r="O210" i="37"/>
  <c r="O211" i="37"/>
  <c r="O212" i="37"/>
  <c r="O213" i="37"/>
  <c r="O214" i="37"/>
  <c r="O215" i="37"/>
  <c r="O216" i="37"/>
  <c r="O217" i="37"/>
  <c r="O218" i="37"/>
  <c r="O219" i="37"/>
  <c r="O220" i="37"/>
  <c r="O221" i="37"/>
  <c r="O222" i="37"/>
  <c r="O223" i="37"/>
  <c r="O224" i="37"/>
  <c r="O225" i="37"/>
  <c r="O226" i="37"/>
  <c r="O227" i="37"/>
  <c r="O228" i="37"/>
  <c r="O229" i="37"/>
  <c r="O230" i="37"/>
  <c r="O231" i="37"/>
  <c r="O232" i="37"/>
  <c r="O233" i="37"/>
  <c r="O234" i="37"/>
  <c r="O235" i="37"/>
  <c r="O236" i="37"/>
  <c r="O237" i="37"/>
  <c r="O238" i="37"/>
  <c r="O239" i="37"/>
  <c r="O240" i="37"/>
  <c r="O241" i="37"/>
  <c r="O242" i="37"/>
  <c r="O243" i="37"/>
  <c r="O244" i="37"/>
  <c r="O245" i="37"/>
  <c r="O246" i="37"/>
  <c r="O247" i="37"/>
  <c r="O248" i="37"/>
  <c r="O249" i="37"/>
  <c r="O250" i="37"/>
  <c r="O251" i="37"/>
  <c r="O252" i="37"/>
  <c r="O253" i="37"/>
  <c r="O254" i="37"/>
  <c r="O255" i="37"/>
  <c r="O256" i="37"/>
  <c r="O257" i="37"/>
  <c r="O258" i="37"/>
  <c r="O259" i="37"/>
  <c r="O260" i="37"/>
  <c r="O261" i="37"/>
  <c r="O262" i="37"/>
  <c r="O263" i="37"/>
  <c r="O264" i="37"/>
  <c r="O265" i="37"/>
  <c r="O266" i="37"/>
  <c r="O267" i="37"/>
  <c r="O268" i="37"/>
  <c r="O269" i="37"/>
  <c r="O270" i="37"/>
  <c r="O271" i="37"/>
  <c r="O272" i="37"/>
  <c r="O273" i="37"/>
  <c r="O274" i="37"/>
  <c r="O275" i="37"/>
  <c r="O276" i="37"/>
  <c r="O277" i="37"/>
  <c r="O278" i="37"/>
  <c r="O279" i="37"/>
  <c r="O280" i="37"/>
  <c r="O281" i="37"/>
  <c r="O282" i="37"/>
  <c r="O283" i="37"/>
  <c r="O284" i="37"/>
  <c r="O285" i="37"/>
  <c r="O286" i="37"/>
  <c r="O287" i="37"/>
  <c r="O288" i="37"/>
  <c r="O289" i="37"/>
  <c r="O290" i="37"/>
  <c r="O291" i="37"/>
  <c r="O292" i="37"/>
  <c r="O293" i="37"/>
  <c r="O294" i="37"/>
  <c r="O295" i="37"/>
  <c r="O296" i="37"/>
  <c r="O297" i="37"/>
  <c r="O298" i="37"/>
  <c r="O299" i="37"/>
  <c r="O300" i="37"/>
  <c r="O301" i="37"/>
  <c r="O302" i="37"/>
  <c r="O303" i="37"/>
  <c r="O304" i="37"/>
  <c r="O305" i="37"/>
  <c r="O306" i="37"/>
  <c r="O307" i="37"/>
  <c r="O308" i="37"/>
  <c r="O309" i="37"/>
  <c r="O310" i="37"/>
  <c r="O311" i="37"/>
  <c r="O312" i="37"/>
  <c r="O313" i="37"/>
  <c r="O314" i="37"/>
  <c r="O315" i="37"/>
  <c r="O316" i="37"/>
  <c r="O317" i="37"/>
  <c r="O318" i="37"/>
  <c r="O319" i="37"/>
  <c r="O320" i="37"/>
  <c r="O321" i="37"/>
  <c r="O322" i="37"/>
  <c r="O323" i="37"/>
  <c r="O324" i="37"/>
  <c r="O325" i="37"/>
  <c r="O326" i="37"/>
  <c r="O327" i="37"/>
  <c r="O328" i="37"/>
  <c r="O329" i="37"/>
  <c r="O330" i="37"/>
  <c r="O331" i="37"/>
  <c r="O2" i="37"/>
  <c r="O3" i="36"/>
  <c r="O4" i="36"/>
  <c r="O5" i="36"/>
  <c r="O6" i="36"/>
  <c r="O7" i="36"/>
  <c r="O8" i="36"/>
  <c r="O9" i="36"/>
  <c r="O10" i="36"/>
  <c r="O11" i="36"/>
  <c r="O12" i="36"/>
  <c r="O13" i="36"/>
  <c r="O14" i="36"/>
  <c r="O15" i="36"/>
  <c r="O16" i="36"/>
  <c r="O17" i="36"/>
  <c r="O18" i="36"/>
  <c r="O19" i="36"/>
  <c r="O20" i="36"/>
  <c r="O21" i="36"/>
  <c r="O22" i="36"/>
  <c r="O23" i="36"/>
  <c r="O24" i="36"/>
  <c r="O25" i="36"/>
  <c r="O26" i="36"/>
  <c r="O27" i="36"/>
  <c r="O28" i="36"/>
  <c r="O29" i="36"/>
  <c r="O30" i="36"/>
  <c r="O31" i="36"/>
  <c r="O32" i="36"/>
  <c r="O33" i="36"/>
  <c r="O34" i="36"/>
  <c r="O35" i="36"/>
  <c r="O36" i="36"/>
  <c r="O37" i="36"/>
  <c r="O38" i="36"/>
  <c r="O39" i="36"/>
  <c r="O40" i="36"/>
  <c r="O41" i="36"/>
  <c r="O42" i="36"/>
  <c r="O43" i="36"/>
  <c r="O44" i="36"/>
  <c r="O45" i="36"/>
  <c r="O46" i="36"/>
  <c r="O47" i="36"/>
  <c r="O48" i="36"/>
  <c r="O49" i="36"/>
  <c r="O50" i="36"/>
  <c r="O51" i="36"/>
  <c r="O52" i="36"/>
  <c r="O53" i="36"/>
  <c r="O54" i="36"/>
  <c r="O55" i="36"/>
  <c r="O56" i="36"/>
  <c r="O57" i="36"/>
  <c r="O58" i="36"/>
  <c r="O59" i="36"/>
  <c r="O60" i="36"/>
  <c r="O61" i="36"/>
  <c r="O62" i="36"/>
  <c r="O63" i="36"/>
  <c r="O64" i="36"/>
  <c r="O65" i="36"/>
  <c r="O66" i="36"/>
  <c r="O67" i="36"/>
  <c r="O68" i="36"/>
  <c r="O69" i="36"/>
  <c r="O70" i="36"/>
  <c r="O71" i="36"/>
  <c r="O72" i="36"/>
  <c r="O73" i="36"/>
  <c r="O74" i="36"/>
  <c r="O75" i="36"/>
  <c r="O76" i="36"/>
  <c r="O77" i="36"/>
  <c r="O78" i="36"/>
  <c r="O79" i="36"/>
  <c r="O80" i="36"/>
  <c r="O81" i="36"/>
  <c r="O82" i="36"/>
  <c r="O83" i="36"/>
  <c r="O84" i="36"/>
  <c r="O85" i="36"/>
  <c r="O86" i="36"/>
  <c r="O87" i="36"/>
  <c r="O88" i="36"/>
  <c r="O89" i="36"/>
  <c r="O90" i="36"/>
  <c r="O91" i="36"/>
  <c r="O92" i="36"/>
  <c r="O93" i="36"/>
  <c r="O94" i="36"/>
  <c r="O95" i="36"/>
  <c r="O96" i="36"/>
  <c r="O97" i="36"/>
  <c r="O98" i="36"/>
  <c r="O99" i="36"/>
  <c r="O100" i="36"/>
  <c r="O101" i="36"/>
  <c r="O102" i="36"/>
  <c r="O103" i="36"/>
  <c r="O104" i="36"/>
  <c r="O105" i="36"/>
  <c r="O106" i="36"/>
  <c r="O107" i="36"/>
  <c r="O108" i="36"/>
  <c r="O109" i="36"/>
  <c r="O110" i="36"/>
  <c r="O111" i="36"/>
  <c r="O112" i="36"/>
  <c r="O113" i="36"/>
  <c r="O114" i="36"/>
  <c r="O115" i="36"/>
  <c r="O116" i="36"/>
  <c r="O117" i="36"/>
  <c r="O118" i="36"/>
  <c r="O119" i="36"/>
  <c r="O120" i="36"/>
  <c r="O121" i="36"/>
  <c r="O122" i="36"/>
  <c r="O123" i="36"/>
  <c r="O124" i="36"/>
  <c r="O125" i="36"/>
  <c r="O126" i="36"/>
  <c r="O127" i="36"/>
  <c r="O128" i="36"/>
  <c r="O129" i="36"/>
  <c r="O130" i="36"/>
  <c r="O131" i="36"/>
  <c r="O132" i="36"/>
  <c r="O133" i="36"/>
  <c r="O134" i="36"/>
  <c r="O135" i="36"/>
  <c r="O136" i="36"/>
  <c r="O137" i="36"/>
  <c r="O138" i="36"/>
  <c r="O139" i="36"/>
  <c r="O140" i="36"/>
  <c r="O141" i="36"/>
  <c r="O142" i="36"/>
  <c r="O143" i="36"/>
  <c r="O144" i="36"/>
  <c r="O145" i="36"/>
  <c r="O146" i="36"/>
  <c r="O147" i="36"/>
  <c r="O148" i="36"/>
  <c r="O149" i="36"/>
  <c r="O150" i="36"/>
  <c r="O151" i="36"/>
  <c r="O152" i="36"/>
  <c r="O153" i="36"/>
  <c r="O154" i="36"/>
  <c r="O155" i="36"/>
  <c r="O156" i="36"/>
  <c r="O157" i="36"/>
  <c r="O158" i="36"/>
  <c r="O159" i="36"/>
  <c r="O160" i="36"/>
  <c r="O161" i="36"/>
  <c r="O162" i="36"/>
  <c r="O163" i="36"/>
  <c r="O2" i="36"/>
  <c r="O66" i="31"/>
  <c r="O4" i="3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6" i="31"/>
  <c r="O27" i="31"/>
  <c r="O28" i="31"/>
  <c r="O29" i="31"/>
  <c r="O30" i="31"/>
  <c r="O31" i="31"/>
  <c r="O32" i="31"/>
  <c r="O33" i="31"/>
  <c r="O34" i="31"/>
  <c r="O35" i="31"/>
  <c r="O36" i="31"/>
  <c r="O37" i="31"/>
  <c r="O38" i="31"/>
  <c r="O39" i="31"/>
  <c r="O40" i="31"/>
  <c r="O41" i="31"/>
  <c r="O42" i="31"/>
  <c r="O43" i="31"/>
  <c r="O44" i="31"/>
  <c r="O45" i="31"/>
  <c r="O46" i="31"/>
  <c r="O47" i="31"/>
  <c r="O48" i="31"/>
  <c r="O49" i="31"/>
  <c r="O50" i="31"/>
  <c r="O51" i="31"/>
  <c r="O52" i="31"/>
  <c r="O53" i="31"/>
  <c r="O54" i="31"/>
  <c r="O55" i="31"/>
  <c r="O56" i="31"/>
  <c r="O57" i="31"/>
  <c r="O58" i="31"/>
  <c r="O59" i="31"/>
  <c r="O60" i="31"/>
  <c r="O61" i="31"/>
  <c r="O62" i="31"/>
  <c r="O63" i="31"/>
  <c r="O64" i="31"/>
  <c r="O65" i="31"/>
  <c r="O3" i="31"/>
  <c r="O2" i="31"/>
  <c r="P3" i="31"/>
  <c r="N3" i="31"/>
  <c r="N4" i="31" s="1"/>
  <c r="N5" i="31" s="1"/>
  <c r="N6" i="31" s="1"/>
  <c r="N7" i="31" s="1"/>
  <c r="N8" i="31" s="1"/>
  <c r="N9" i="31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N37" i="31" s="1"/>
  <c r="N38" i="31" s="1"/>
  <c r="N39" i="31" s="1"/>
  <c r="N40" i="31" s="1"/>
  <c r="N41" i="31" s="1"/>
  <c r="N42" i="31" s="1"/>
  <c r="N43" i="31" s="1"/>
  <c r="N44" i="31" s="1"/>
  <c r="N45" i="31" s="1"/>
  <c r="N46" i="31" s="1"/>
  <c r="N47" i="31" s="1"/>
  <c r="N48" i="31" s="1"/>
  <c r="N49" i="31" s="1"/>
  <c r="N50" i="31" s="1"/>
  <c r="N51" i="31" s="1"/>
  <c r="N52" i="31" s="1"/>
  <c r="N53" i="31" s="1"/>
  <c r="N54" i="31" s="1"/>
  <c r="N55" i="31" s="1"/>
  <c r="N56" i="31" s="1"/>
  <c r="N57" i="31" s="1"/>
  <c r="N58" i="31" s="1"/>
  <c r="N59" i="31" s="1"/>
  <c r="N60" i="31" s="1"/>
  <c r="N61" i="31" s="1"/>
  <c r="N62" i="31" s="1"/>
  <c r="N63" i="31" s="1"/>
  <c r="N64" i="31" s="1"/>
  <c r="N65" i="31" s="1"/>
  <c r="N66" i="31" s="1"/>
  <c r="N5" i="33"/>
  <c r="N6" i="33" s="1"/>
  <c r="N7" i="33" s="1"/>
  <c r="N8" i="33" s="1"/>
  <c r="N9" i="33" s="1"/>
  <c r="N10" i="33" s="1"/>
  <c r="N11" i="33" s="1"/>
  <c r="N12" i="33" s="1"/>
  <c r="N13" i="33" s="1"/>
  <c r="N14" i="33" s="1"/>
  <c r="N15" i="33" s="1"/>
  <c r="N16" i="33" s="1"/>
  <c r="N17" i="33" s="1"/>
  <c r="N18" i="33" s="1"/>
  <c r="N19" i="33" s="1"/>
  <c r="N20" i="33" s="1"/>
  <c r="N21" i="33" s="1"/>
  <c r="N22" i="33" s="1"/>
  <c r="N23" i="33" s="1"/>
  <c r="N24" i="33" s="1"/>
  <c r="N25" i="33" s="1"/>
  <c r="N26" i="33" s="1"/>
  <c r="N27" i="33" s="1"/>
  <c r="N28" i="33" s="1"/>
  <c r="N29" i="33" s="1"/>
  <c r="N30" i="33" s="1"/>
  <c r="N31" i="33" s="1"/>
  <c r="N32" i="33" s="1"/>
  <c r="N33" i="33" s="1"/>
  <c r="N34" i="33" s="1"/>
  <c r="N35" i="33" s="1"/>
  <c r="N36" i="33" s="1"/>
  <c r="N37" i="33" s="1"/>
  <c r="N38" i="33" s="1"/>
  <c r="N39" i="33" s="1"/>
  <c r="N40" i="33" s="1"/>
  <c r="N41" i="33" s="1"/>
  <c r="N42" i="33" s="1"/>
  <c r="N43" i="33" s="1"/>
  <c r="N44" i="33" s="1"/>
  <c r="N45" i="33" s="1"/>
  <c r="N46" i="33" s="1"/>
  <c r="N47" i="33" s="1"/>
  <c r="N48" i="33" s="1"/>
  <c r="N49" i="33" s="1"/>
  <c r="N50" i="33" s="1"/>
  <c r="N51" i="33" s="1"/>
  <c r="N52" i="33" s="1"/>
  <c r="N53" i="33" s="1"/>
  <c r="N54" i="33" s="1"/>
  <c r="N55" i="33" s="1"/>
  <c r="N56" i="33" s="1"/>
  <c r="N57" i="33" s="1"/>
  <c r="N58" i="33" s="1"/>
  <c r="N59" i="33" s="1"/>
  <c r="N60" i="33" s="1"/>
  <c r="N61" i="33" s="1"/>
  <c r="P5" i="33"/>
  <c r="P6" i="33" s="1"/>
  <c r="P7" i="33" s="1"/>
  <c r="P8" i="33" s="1"/>
  <c r="P9" i="33" s="1"/>
  <c r="P10" i="33" s="1"/>
  <c r="P11" i="33" s="1"/>
  <c r="P12" i="33" s="1"/>
  <c r="P13" i="33" s="1"/>
  <c r="P14" i="33" s="1"/>
  <c r="P15" i="33" s="1"/>
  <c r="P16" i="33" s="1"/>
  <c r="P17" i="33" s="1"/>
  <c r="P18" i="33" s="1"/>
  <c r="P19" i="33" s="1"/>
  <c r="P20" i="33" s="1"/>
  <c r="P21" i="33" s="1"/>
  <c r="P22" i="33" s="1"/>
  <c r="P23" i="33" s="1"/>
  <c r="P24" i="33" s="1"/>
  <c r="P25" i="33" s="1"/>
  <c r="P26" i="33" s="1"/>
  <c r="P27" i="33" s="1"/>
  <c r="P28" i="33" s="1"/>
  <c r="P29" i="33" s="1"/>
  <c r="P30" i="33" s="1"/>
  <c r="P31" i="33" s="1"/>
  <c r="P32" i="33" s="1"/>
  <c r="P33" i="33" s="1"/>
  <c r="P34" i="33" s="1"/>
  <c r="P35" i="33" s="1"/>
  <c r="P36" i="33" s="1"/>
  <c r="P37" i="33" s="1"/>
  <c r="P38" i="33" s="1"/>
  <c r="P39" i="33" s="1"/>
  <c r="P40" i="33" s="1"/>
  <c r="P41" i="33" s="1"/>
  <c r="P42" i="33" s="1"/>
  <c r="P43" i="33" s="1"/>
  <c r="P44" i="33" s="1"/>
  <c r="P45" i="33" s="1"/>
  <c r="P46" i="33" s="1"/>
  <c r="P47" i="33" s="1"/>
  <c r="P48" i="33" s="1"/>
  <c r="P49" i="33" s="1"/>
  <c r="P50" i="33" s="1"/>
  <c r="P51" i="33" s="1"/>
  <c r="P52" i="33" s="1"/>
  <c r="P53" i="33" s="1"/>
  <c r="P54" i="33" s="1"/>
  <c r="P55" i="33" s="1"/>
  <c r="P56" i="33" s="1"/>
  <c r="P57" i="33" s="1"/>
  <c r="P58" i="33" s="1"/>
  <c r="P59" i="33" s="1"/>
  <c r="P60" i="33" s="1"/>
  <c r="P61" i="33" s="1"/>
  <c r="P3" i="33"/>
  <c r="P4" i="33" s="1"/>
  <c r="N3" i="33"/>
  <c r="N4" i="33" s="1"/>
  <c r="N4" i="38"/>
  <c r="N5" i="38" s="1"/>
  <c r="N6" i="38" s="1"/>
  <c r="N7" i="38" s="1"/>
  <c r="N8" i="38" s="1"/>
  <c r="N9" i="38" s="1"/>
  <c r="N10" i="38" s="1"/>
  <c r="N11" i="38" s="1"/>
  <c r="N12" i="38" s="1"/>
  <c r="N13" i="38" s="1"/>
  <c r="N14" i="38" s="1"/>
  <c r="N15" i="38" s="1"/>
  <c r="N16" i="38" s="1"/>
  <c r="N17" i="38" s="1"/>
  <c r="N18" i="38" s="1"/>
  <c r="N19" i="38" s="1"/>
  <c r="N20" i="38" s="1"/>
  <c r="N21" i="38" s="1"/>
  <c r="N22" i="38" s="1"/>
  <c r="N23" i="38" s="1"/>
  <c r="N24" i="38" s="1"/>
  <c r="N25" i="38" s="1"/>
  <c r="N26" i="38" s="1"/>
  <c r="N27" i="38" s="1"/>
  <c r="N28" i="38" s="1"/>
  <c r="N29" i="38" s="1"/>
  <c r="N30" i="38" s="1"/>
  <c r="N31" i="38" s="1"/>
  <c r="N32" i="38" s="1"/>
  <c r="N33" i="38" s="1"/>
  <c r="N34" i="38" s="1"/>
  <c r="N35" i="38" s="1"/>
  <c r="N36" i="38" s="1"/>
  <c r="N37" i="38" s="1"/>
  <c r="N38" i="38" s="1"/>
  <c r="N39" i="38" s="1"/>
  <c r="N40" i="38" s="1"/>
  <c r="N41" i="38" s="1"/>
  <c r="N42" i="38" s="1"/>
  <c r="N43" i="38" s="1"/>
  <c r="N44" i="38" s="1"/>
  <c r="N45" i="38" s="1"/>
  <c r="N46" i="38" s="1"/>
  <c r="N47" i="38" s="1"/>
  <c r="N48" i="38" s="1"/>
  <c r="N49" i="38" s="1"/>
  <c r="N50" i="38" s="1"/>
  <c r="N51" i="38" s="1"/>
  <c r="N52" i="38" s="1"/>
  <c r="N53" i="38" s="1"/>
  <c r="N54" i="38" s="1"/>
  <c r="N55" i="38" s="1"/>
  <c r="N56" i="38" s="1"/>
  <c r="N57" i="38" s="1"/>
  <c r="N58" i="38" s="1"/>
  <c r="N59" i="38" s="1"/>
  <c r="N60" i="38" s="1"/>
  <c r="N61" i="38" s="1"/>
  <c r="N62" i="38" s="1"/>
  <c r="N63" i="38" s="1"/>
  <c r="N64" i="38" s="1"/>
  <c r="N65" i="38" s="1"/>
  <c r="N66" i="38" s="1"/>
  <c r="N67" i="38" s="1"/>
  <c r="N68" i="38" s="1"/>
  <c r="N69" i="38" s="1"/>
  <c r="N70" i="38" s="1"/>
  <c r="N71" i="38" s="1"/>
  <c r="N72" i="38" s="1"/>
  <c r="N73" i="38" s="1"/>
  <c r="N74" i="38" s="1"/>
  <c r="N75" i="38" s="1"/>
  <c r="N76" i="38" s="1"/>
  <c r="N77" i="38" s="1"/>
  <c r="N78" i="38" s="1"/>
  <c r="N79" i="38" s="1"/>
  <c r="N80" i="38" s="1"/>
  <c r="N81" i="38" s="1"/>
  <c r="N82" i="38" s="1"/>
  <c r="N83" i="38" s="1"/>
  <c r="N84" i="38" s="1"/>
  <c r="N85" i="38" s="1"/>
  <c r="N86" i="38" s="1"/>
  <c r="N87" i="38" s="1"/>
  <c r="N88" i="38" s="1"/>
  <c r="N89" i="38" s="1"/>
  <c r="N90" i="38" s="1"/>
  <c r="N91" i="38" s="1"/>
  <c r="N92" i="38" s="1"/>
  <c r="N93" i="38" s="1"/>
  <c r="N94" i="38" s="1"/>
  <c r="N95" i="38" s="1"/>
  <c r="N96" i="38" s="1"/>
  <c r="N97" i="38" s="1"/>
  <c r="N98" i="38" s="1"/>
  <c r="N99" i="38" s="1"/>
  <c r="N100" i="38" s="1"/>
  <c r="N101" i="38" s="1"/>
  <c r="N102" i="38" s="1"/>
  <c r="N103" i="38" s="1"/>
  <c r="N104" i="38" s="1"/>
  <c r="N105" i="38" s="1"/>
  <c r="N106" i="38" s="1"/>
  <c r="N107" i="38" s="1"/>
  <c r="N108" i="38" s="1"/>
  <c r="N109" i="38" s="1"/>
  <c r="P4" i="38"/>
  <c r="P5" i="38" s="1"/>
  <c r="P6" i="38" s="1"/>
  <c r="P7" i="38" s="1"/>
  <c r="P8" i="38" s="1"/>
  <c r="P9" i="38" s="1"/>
  <c r="P10" i="38" s="1"/>
  <c r="P11" i="38" s="1"/>
  <c r="P12" i="38" s="1"/>
  <c r="P13" i="38" s="1"/>
  <c r="P14" i="38" s="1"/>
  <c r="P15" i="38" s="1"/>
  <c r="P16" i="38" s="1"/>
  <c r="P17" i="38" s="1"/>
  <c r="P18" i="38" s="1"/>
  <c r="P19" i="38" s="1"/>
  <c r="P20" i="38" s="1"/>
  <c r="P21" i="38" s="1"/>
  <c r="P22" i="38" s="1"/>
  <c r="P23" i="38" s="1"/>
  <c r="P24" i="38" s="1"/>
  <c r="P25" i="38" s="1"/>
  <c r="P26" i="38" s="1"/>
  <c r="P27" i="38" s="1"/>
  <c r="P28" i="38" s="1"/>
  <c r="P29" i="38" s="1"/>
  <c r="P30" i="38" s="1"/>
  <c r="P31" i="38" s="1"/>
  <c r="P32" i="38" s="1"/>
  <c r="P33" i="38" s="1"/>
  <c r="P34" i="38" s="1"/>
  <c r="P35" i="38" s="1"/>
  <c r="P36" i="38" s="1"/>
  <c r="P37" i="38" s="1"/>
  <c r="P38" i="38" s="1"/>
  <c r="P39" i="38" s="1"/>
  <c r="P40" i="38" s="1"/>
  <c r="P41" i="38" s="1"/>
  <c r="P42" i="38" s="1"/>
  <c r="P43" i="38" s="1"/>
  <c r="P44" i="38" s="1"/>
  <c r="P45" i="38" s="1"/>
  <c r="P46" i="38" s="1"/>
  <c r="P47" i="38" s="1"/>
  <c r="P48" i="38" s="1"/>
  <c r="P49" i="38" s="1"/>
  <c r="P50" i="38" s="1"/>
  <c r="P51" i="38" s="1"/>
  <c r="P52" i="38" s="1"/>
  <c r="P53" i="38" s="1"/>
  <c r="P54" i="38" s="1"/>
  <c r="P55" i="38" s="1"/>
  <c r="P56" i="38" s="1"/>
  <c r="P57" i="38" s="1"/>
  <c r="P58" i="38" s="1"/>
  <c r="P59" i="38" s="1"/>
  <c r="P60" i="38" s="1"/>
  <c r="P61" i="38" s="1"/>
  <c r="P62" i="38" s="1"/>
  <c r="P63" i="38" s="1"/>
  <c r="P64" i="38" s="1"/>
  <c r="P65" i="38" s="1"/>
  <c r="P66" i="38" s="1"/>
  <c r="P67" i="38" s="1"/>
  <c r="P68" i="38" s="1"/>
  <c r="P69" i="38" s="1"/>
  <c r="P70" i="38" s="1"/>
  <c r="P71" i="38" s="1"/>
  <c r="P72" i="38" s="1"/>
  <c r="P73" i="38" s="1"/>
  <c r="P74" i="38" s="1"/>
  <c r="P75" i="38" s="1"/>
  <c r="P76" i="38" s="1"/>
  <c r="P77" i="38" s="1"/>
  <c r="P78" i="38" s="1"/>
  <c r="P79" i="38" s="1"/>
  <c r="P80" i="38" s="1"/>
  <c r="P81" i="38" s="1"/>
  <c r="P82" i="38" s="1"/>
  <c r="P83" i="38" s="1"/>
  <c r="P84" i="38" s="1"/>
  <c r="P85" i="38" s="1"/>
  <c r="P86" i="38" s="1"/>
  <c r="P87" i="38" s="1"/>
  <c r="P88" i="38" s="1"/>
  <c r="P89" i="38" s="1"/>
  <c r="P90" i="38" s="1"/>
  <c r="P91" i="38" s="1"/>
  <c r="P92" i="38" s="1"/>
  <c r="P93" i="38" s="1"/>
  <c r="P94" i="38" s="1"/>
  <c r="P95" i="38" s="1"/>
  <c r="P96" i="38" s="1"/>
  <c r="P97" i="38" s="1"/>
  <c r="P98" i="38" s="1"/>
  <c r="P99" i="38" s="1"/>
  <c r="P100" i="38" s="1"/>
  <c r="P101" i="38" s="1"/>
  <c r="P102" i="38" s="1"/>
  <c r="P103" i="38" s="1"/>
  <c r="P104" i="38" s="1"/>
  <c r="P105" i="38" s="1"/>
  <c r="P106" i="38" s="1"/>
  <c r="P107" i="38" s="1"/>
  <c r="P108" i="38" s="1"/>
  <c r="P109" i="38" s="1"/>
  <c r="P3" i="38"/>
  <c r="N3" i="38"/>
  <c r="C2" i="36"/>
  <c r="C2" i="31"/>
  <c r="B2" i="31"/>
  <c r="C2" i="33"/>
  <c r="C3" i="33" s="1"/>
  <c r="C4" i="33" s="1"/>
  <c r="C5" i="33" s="1"/>
  <c r="C6" i="33" s="1"/>
  <c r="C7" i="33" s="1"/>
  <c r="C8" i="33" s="1"/>
  <c r="C9" i="33" s="1"/>
  <c r="C10" i="33" s="1"/>
  <c r="C11" i="33" s="1"/>
  <c r="C12" i="33" s="1"/>
  <c r="C13" i="33" s="1"/>
  <c r="C14" i="33" s="1"/>
  <c r="C15" i="33" s="1"/>
  <c r="C16" i="33" s="1"/>
  <c r="C17" i="33" s="1"/>
  <c r="C18" i="33" s="1"/>
  <c r="C19" i="33" s="1"/>
  <c r="C20" i="33" s="1"/>
  <c r="C21" i="33" s="1"/>
  <c r="C22" i="33" s="1"/>
  <c r="C23" i="33" s="1"/>
  <c r="C24" i="33" s="1"/>
  <c r="C25" i="33" s="1"/>
  <c r="C26" i="33" s="1"/>
  <c r="C27" i="33" s="1"/>
  <c r="C28" i="33" s="1"/>
  <c r="C29" i="33" s="1"/>
  <c r="C30" i="33" s="1"/>
  <c r="C31" i="33" s="1"/>
  <c r="C32" i="33" s="1"/>
  <c r="C33" i="33" s="1"/>
  <c r="C34" i="33" s="1"/>
  <c r="C35" i="33" s="1"/>
  <c r="C36" i="33" s="1"/>
  <c r="C37" i="33" s="1"/>
  <c r="C38" i="33" s="1"/>
  <c r="C39" i="33" s="1"/>
  <c r="C40" i="33" s="1"/>
  <c r="C41" i="33" s="1"/>
  <c r="C42" i="33" s="1"/>
  <c r="C43" i="33" s="1"/>
  <c r="C44" i="33" s="1"/>
  <c r="C45" i="33" s="1"/>
  <c r="C46" i="33" s="1"/>
  <c r="C47" i="33" s="1"/>
  <c r="C48" i="33" s="1"/>
  <c r="C49" i="33" s="1"/>
  <c r="C50" i="33" s="1"/>
  <c r="C51" i="33" s="1"/>
  <c r="C52" i="33" s="1"/>
  <c r="C53" i="33" s="1"/>
  <c r="C54" i="33" s="1"/>
  <c r="C55" i="33" s="1"/>
  <c r="C56" i="33" s="1"/>
  <c r="C57" i="33" s="1"/>
  <c r="C58" i="33" s="1"/>
  <c r="C59" i="33" s="1"/>
  <c r="C60" i="33" s="1"/>
  <c r="C61" i="33" s="1"/>
  <c r="B2" i="33"/>
  <c r="B3" i="33" s="1"/>
  <c r="B4" i="33" s="1"/>
  <c r="B5" i="33" s="1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B48" i="33" s="1"/>
  <c r="B49" i="33" s="1"/>
  <c r="B50" i="33" s="1"/>
  <c r="B51" i="33" s="1"/>
  <c r="B52" i="33" s="1"/>
  <c r="B53" i="33" s="1"/>
  <c r="B54" i="33" s="1"/>
  <c r="B55" i="33" s="1"/>
  <c r="B56" i="33" s="1"/>
  <c r="B57" i="33" s="1"/>
  <c r="B58" i="33" s="1"/>
  <c r="B59" i="33" s="1"/>
  <c r="B60" i="33" s="1"/>
  <c r="B61" i="33" s="1"/>
  <c r="C2" i="38"/>
  <c r="C3" i="38" s="1"/>
  <c r="C4" i="38" s="1"/>
  <c r="C5" i="38" s="1"/>
  <c r="C6" i="38" s="1"/>
  <c r="C7" i="38" s="1"/>
  <c r="C8" i="38" s="1"/>
  <c r="C9" i="38" s="1"/>
  <c r="C10" i="38" s="1"/>
  <c r="C11" i="38" s="1"/>
  <c r="C12" i="38" s="1"/>
  <c r="C13" i="38" s="1"/>
  <c r="C14" i="38" s="1"/>
  <c r="C15" i="38" s="1"/>
  <c r="C16" i="38" s="1"/>
  <c r="C17" i="38" s="1"/>
  <c r="C18" i="38" s="1"/>
  <c r="C19" i="38" s="1"/>
  <c r="C20" i="38" s="1"/>
  <c r="C21" i="38" s="1"/>
  <c r="C22" i="38" s="1"/>
  <c r="C23" i="38" s="1"/>
  <c r="C24" i="38" s="1"/>
  <c r="C25" i="38" s="1"/>
  <c r="C26" i="38" s="1"/>
  <c r="C27" i="38" s="1"/>
  <c r="C28" i="38" s="1"/>
  <c r="C29" i="38" s="1"/>
  <c r="C30" i="38" s="1"/>
  <c r="C31" i="38" s="1"/>
  <c r="C32" i="38" s="1"/>
  <c r="C33" i="38" s="1"/>
  <c r="C34" i="38" s="1"/>
  <c r="C35" i="38" s="1"/>
  <c r="C36" i="38" s="1"/>
  <c r="C37" i="38" s="1"/>
  <c r="C38" i="38" s="1"/>
  <c r="C39" i="38" s="1"/>
  <c r="C40" i="38" s="1"/>
  <c r="C41" i="38" s="1"/>
  <c r="C42" i="38" s="1"/>
  <c r="C43" i="38" s="1"/>
  <c r="C44" i="38" s="1"/>
  <c r="C45" i="38" s="1"/>
  <c r="C46" i="38" s="1"/>
  <c r="C47" i="38" s="1"/>
  <c r="C48" i="38" s="1"/>
  <c r="C49" i="38" s="1"/>
  <c r="C50" i="38" s="1"/>
  <c r="C51" i="38" s="1"/>
  <c r="C52" i="38" s="1"/>
  <c r="C53" i="38" s="1"/>
  <c r="C54" i="38" s="1"/>
  <c r="C55" i="38" s="1"/>
  <c r="C56" i="38" s="1"/>
  <c r="C57" i="38" s="1"/>
  <c r="C58" i="38" s="1"/>
  <c r="C59" i="38" s="1"/>
  <c r="C60" i="38" s="1"/>
  <c r="C61" i="38" s="1"/>
  <c r="C62" i="38" s="1"/>
  <c r="C63" i="38" s="1"/>
  <c r="C64" i="38" s="1"/>
  <c r="C65" i="38" s="1"/>
  <c r="C66" i="38" s="1"/>
  <c r="C67" i="38" s="1"/>
  <c r="C68" i="38" s="1"/>
  <c r="C69" i="38" s="1"/>
  <c r="C70" i="38" s="1"/>
  <c r="C71" i="38" s="1"/>
  <c r="C72" i="38" s="1"/>
  <c r="C73" i="38" s="1"/>
  <c r="C74" i="38" s="1"/>
  <c r="C75" i="38" s="1"/>
  <c r="C76" i="38" s="1"/>
  <c r="C77" i="38" s="1"/>
  <c r="C78" i="38" s="1"/>
  <c r="C79" i="38" s="1"/>
  <c r="C80" i="38" s="1"/>
  <c r="C81" i="38" s="1"/>
  <c r="C82" i="38" s="1"/>
  <c r="C83" i="38" s="1"/>
  <c r="C84" i="38" s="1"/>
  <c r="C85" i="38" s="1"/>
  <c r="C86" i="38" s="1"/>
  <c r="C87" i="38" s="1"/>
  <c r="C88" i="38" s="1"/>
  <c r="C89" i="38" s="1"/>
  <c r="C90" i="38" s="1"/>
  <c r="C91" i="38" s="1"/>
  <c r="C92" i="38" s="1"/>
  <c r="C93" i="38" s="1"/>
  <c r="C94" i="38" s="1"/>
  <c r="C95" i="38" s="1"/>
  <c r="C96" i="38" s="1"/>
  <c r="C97" i="38" s="1"/>
  <c r="C98" i="38" s="1"/>
  <c r="C99" i="38" s="1"/>
  <c r="C100" i="38" s="1"/>
  <c r="C101" i="38" s="1"/>
  <c r="C102" i="38" s="1"/>
  <c r="C103" i="38" s="1"/>
  <c r="C104" i="38" s="1"/>
  <c r="C105" i="38" s="1"/>
  <c r="C106" i="38" s="1"/>
  <c r="C107" i="38" s="1"/>
  <c r="C108" i="38" s="1"/>
  <c r="C109" i="38" s="1"/>
  <c r="B2" i="38"/>
  <c r="B3" i="38" s="1"/>
  <c r="B4" i="38" s="1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B33" i="38" s="1"/>
  <c r="B34" i="38" s="1"/>
  <c r="B35" i="38" s="1"/>
  <c r="B36" i="38" s="1"/>
  <c r="B37" i="38" s="1"/>
  <c r="B38" i="38" s="1"/>
  <c r="B39" i="38" s="1"/>
  <c r="B40" i="38" s="1"/>
  <c r="B41" i="38" s="1"/>
  <c r="B42" i="38" s="1"/>
  <c r="B43" i="38" s="1"/>
  <c r="B44" i="38" s="1"/>
  <c r="B45" i="38" s="1"/>
  <c r="B46" i="38" s="1"/>
  <c r="B47" i="38" s="1"/>
  <c r="B48" i="38" s="1"/>
  <c r="B49" i="38" s="1"/>
  <c r="B50" i="38" s="1"/>
  <c r="B51" i="38" s="1"/>
  <c r="B52" i="38" s="1"/>
  <c r="B53" i="38" s="1"/>
  <c r="B54" i="38" s="1"/>
  <c r="B55" i="38" s="1"/>
  <c r="B56" i="38" s="1"/>
  <c r="B57" i="38" s="1"/>
  <c r="B58" i="38" s="1"/>
  <c r="B59" i="38" s="1"/>
  <c r="B60" i="38" s="1"/>
  <c r="B61" i="38" s="1"/>
  <c r="B62" i="38" s="1"/>
  <c r="B63" i="38" s="1"/>
  <c r="B64" i="38" s="1"/>
  <c r="B65" i="38" s="1"/>
  <c r="B66" i="38" s="1"/>
  <c r="B67" i="38" s="1"/>
  <c r="B68" i="38" s="1"/>
  <c r="B69" i="38" s="1"/>
  <c r="B70" i="38" s="1"/>
  <c r="B71" i="38" s="1"/>
  <c r="B72" i="38" s="1"/>
  <c r="B73" i="38" s="1"/>
  <c r="B74" i="38" s="1"/>
  <c r="B75" i="38" s="1"/>
  <c r="B76" i="38" s="1"/>
  <c r="B77" i="38" s="1"/>
  <c r="B78" i="38" s="1"/>
  <c r="B79" i="38" s="1"/>
  <c r="B80" i="38" s="1"/>
  <c r="B81" i="38" s="1"/>
  <c r="B82" i="38" s="1"/>
  <c r="B83" i="38" s="1"/>
  <c r="B84" i="38" s="1"/>
  <c r="B85" i="38" s="1"/>
  <c r="B86" i="38" s="1"/>
  <c r="B87" i="38" s="1"/>
  <c r="B88" i="38" s="1"/>
  <c r="B89" i="38" s="1"/>
  <c r="B90" i="38" s="1"/>
  <c r="B91" i="38" s="1"/>
  <c r="B92" i="38" s="1"/>
  <c r="B93" i="38" s="1"/>
  <c r="B94" i="38" s="1"/>
  <c r="B95" i="38" s="1"/>
  <c r="B96" i="38" s="1"/>
  <c r="B97" i="38" s="1"/>
  <c r="B98" i="38" s="1"/>
  <c r="B99" i="38" s="1"/>
  <c r="B100" i="38" s="1"/>
  <c r="B101" i="38" s="1"/>
  <c r="B102" i="38" s="1"/>
  <c r="B103" i="38" s="1"/>
  <c r="B104" i="38" s="1"/>
  <c r="B105" i="38" s="1"/>
  <c r="B106" i="38" s="1"/>
  <c r="B107" i="38" s="1"/>
  <c r="B108" i="38" s="1"/>
  <c r="B109" i="38" s="1"/>
  <c r="C2" i="37"/>
  <c r="C3" i="37" s="1"/>
  <c r="C4" i="37" s="1"/>
  <c r="C5" i="37" s="1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C37" i="37" s="1"/>
  <c r="C38" i="37" s="1"/>
  <c r="C39" i="37" s="1"/>
  <c r="C40" i="37" s="1"/>
  <c r="C41" i="37" s="1"/>
  <c r="C42" i="37" s="1"/>
  <c r="C43" i="37" s="1"/>
  <c r="C44" i="37" s="1"/>
  <c r="C45" i="37" s="1"/>
  <c r="C46" i="37" s="1"/>
  <c r="C47" i="37" s="1"/>
  <c r="C48" i="37" s="1"/>
  <c r="C49" i="37" s="1"/>
  <c r="C50" i="37" s="1"/>
  <c r="C51" i="37" s="1"/>
  <c r="C52" i="37" s="1"/>
  <c r="C53" i="37" s="1"/>
  <c r="C54" i="37" s="1"/>
  <c r="C55" i="37" s="1"/>
  <c r="C56" i="37" s="1"/>
  <c r="C57" i="37" s="1"/>
  <c r="C58" i="37" s="1"/>
  <c r="C59" i="37" s="1"/>
  <c r="C60" i="37" s="1"/>
  <c r="C61" i="37" s="1"/>
  <c r="C62" i="37" s="1"/>
  <c r="C63" i="37" s="1"/>
  <c r="C64" i="37" s="1"/>
  <c r="C65" i="37" s="1"/>
  <c r="C66" i="37" s="1"/>
  <c r="C67" i="37" s="1"/>
  <c r="C68" i="37" s="1"/>
  <c r="C69" i="37" s="1"/>
  <c r="C70" i="37" s="1"/>
  <c r="C71" i="37" s="1"/>
  <c r="C72" i="37" s="1"/>
  <c r="C73" i="37" s="1"/>
  <c r="C74" i="37" s="1"/>
  <c r="C75" i="37" s="1"/>
  <c r="C76" i="37" s="1"/>
  <c r="C77" i="37" s="1"/>
  <c r="C78" i="37" s="1"/>
  <c r="C79" i="37" s="1"/>
  <c r="C80" i="37" s="1"/>
  <c r="C81" i="37" s="1"/>
  <c r="C82" i="37" s="1"/>
  <c r="C83" i="37" s="1"/>
  <c r="C84" i="37" s="1"/>
  <c r="C85" i="37" s="1"/>
  <c r="C86" i="37" s="1"/>
  <c r="C87" i="37" s="1"/>
  <c r="C88" i="37" s="1"/>
  <c r="C89" i="37" s="1"/>
  <c r="C90" i="37" s="1"/>
  <c r="C91" i="37" s="1"/>
  <c r="C92" i="37" s="1"/>
  <c r="C93" i="37" s="1"/>
  <c r="C94" i="37" s="1"/>
  <c r="C95" i="37" s="1"/>
  <c r="C96" i="37" s="1"/>
  <c r="C97" i="37" s="1"/>
  <c r="C98" i="37" s="1"/>
  <c r="C99" i="37" s="1"/>
  <c r="C100" i="37" s="1"/>
  <c r="C101" i="37" s="1"/>
  <c r="C102" i="37" s="1"/>
  <c r="C103" i="37" s="1"/>
  <c r="C104" i="37" s="1"/>
  <c r="C105" i="37" s="1"/>
  <c r="C106" i="37" s="1"/>
  <c r="C107" i="37" s="1"/>
  <c r="C108" i="37" s="1"/>
  <c r="C109" i="37" s="1"/>
  <c r="C110" i="37" s="1"/>
  <c r="C111" i="37" s="1"/>
  <c r="C112" i="37" s="1"/>
  <c r="C113" i="37" s="1"/>
  <c r="C114" i="37" s="1"/>
  <c r="C115" i="37" s="1"/>
  <c r="C116" i="37" s="1"/>
  <c r="C117" i="37" s="1"/>
  <c r="C118" i="37" s="1"/>
  <c r="C119" i="37" s="1"/>
  <c r="C120" i="37" s="1"/>
  <c r="C121" i="37" s="1"/>
  <c r="C122" i="37" s="1"/>
  <c r="C123" i="37" s="1"/>
  <c r="C124" i="37" s="1"/>
  <c r="C125" i="37" s="1"/>
  <c r="C126" i="37" s="1"/>
  <c r="C127" i="37" s="1"/>
  <c r="C128" i="37" s="1"/>
  <c r="C129" i="37" s="1"/>
  <c r="C130" i="37" s="1"/>
  <c r="C131" i="37" s="1"/>
  <c r="C132" i="37" s="1"/>
  <c r="C133" i="37" s="1"/>
  <c r="C134" i="37" s="1"/>
  <c r="C135" i="37" s="1"/>
  <c r="C136" i="37" s="1"/>
  <c r="C137" i="37" s="1"/>
  <c r="C138" i="37" s="1"/>
  <c r="C139" i="37" s="1"/>
  <c r="C140" i="37" s="1"/>
  <c r="C141" i="37" s="1"/>
  <c r="C142" i="37" s="1"/>
  <c r="C143" i="37" s="1"/>
  <c r="C144" i="37" s="1"/>
  <c r="C145" i="37" s="1"/>
  <c r="C146" i="37" s="1"/>
  <c r="C147" i="37" s="1"/>
  <c r="C148" i="37" s="1"/>
  <c r="C149" i="37" s="1"/>
  <c r="C150" i="37" s="1"/>
  <c r="C151" i="37" s="1"/>
  <c r="C152" i="37" s="1"/>
  <c r="C153" i="37" s="1"/>
  <c r="C154" i="37" s="1"/>
  <c r="C155" i="37" s="1"/>
  <c r="C156" i="37" s="1"/>
  <c r="C157" i="37" s="1"/>
  <c r="C158" i="37" s="1"/>
  <c r="C159" i="37" s="1"/>
  <c r="C160" i="37" s="1"/>
  <c r="C161" i="37" s="1"/>
  <c r="C162" i="37" s="1"/>
  <c r="C163" i="37" s="1"/>
  <c r="C164" i="37" s="1"/>
  <c r="C165" i="37" s="1"/>
  <c r="C166" i="37" s="1"/>
  <c r="C167" i="37" s="1"/>
  <c r="C168" i="37" s="1"/>
  <c r="C169" i="37" s="1"/>
  <c r="C170" i="37" s="1"/>
  <c r="C171" i="37" s="1"/>
  <c r="C172" i="37" s="1"/>
  <c r="C173" i="37" s="1"/>
  <c r="C174" i="37" s="1"/>
  <c r="C175" i="37" s="1"/>
  <c r="C176" i="37" s="1"/>
  <c r="C177" i="37" s="1"/>
  <c r="C178" i="37" s="1"/>
  <c r="C179" i="37" s="1"/>
  <c r="C180" i="37" s="1"/>
  <c r="C181" i="37" s="1"/>
  <c r="C182" i="37" s="1"/>
  <c r="C183" i="37" s="1"/>
  <c r="C184" i="37" s="1"/>
  <c r="C185" i="37" s="1"/>
  <c r="C186" i="37" s="1"/>
  <c r="C187" i="37" s="1"/>
  <c r="C188" i="37" s="1"/>
  <c r="C189" i="37" s="1"/>
  <c r="C190" i="37" s="1"/>
  <c r="C191" i="37" s="1"/>
  <c r="C192" i="37" s="1"/>
  <c r="C193" i="37" s="1"/>
  <c r="C194" i="37" s="1"/>
  <c r="C195" i="37" s="1"/>
  <c r="C196" i="37" s="1"/>
  <c r="C197" i="37" s="1"/>
  <c r="C198" i="37" s="1"/>
  <c r="C199" i="37" s="1"/>
  <c r="C200" i="37" s="1"/>
  <c r="C201" i="37" s="1"/>
  <c r="C202" i="37" s="1"/>
  <c r="C203" i="37" s="1"/>
  <c r="C204" i="37" s="1"/>
  <c r="C205" i="37" s="1"/>
  <c r="C206" i="37" s="1"/>
  <c r="C207" i="37" s="1"/>
  <c r="C208" i="37" s="1"/>
  <c r="C209" i="37" s="1"/>
  <c r="C210" i="37" s="1"/>
  <c r="C211" i="37" s="1"/>
  <c r="C212" i="37" s="1"/>
  <c r="C213" i="37" s="1"/>
  <c r="C214" i="37" s="1"/>
  <c r="C215" i="37" s="1"/>
  <c r="C216" i="37" s="1"/>
  <c r="C217" i="37" s="1"/>
  <c r="C218" i="37" s="1"/>
  <c r="C219" i="37" s="1"/>
  <c r="C220" i="37" s="1"/>
  <c r="C221" i="37" s="1"/>
  <c r="C222" i="37" s="1"/>
  <c r="C223" i="37" s="1"/>
  <c r="C224" i="37" s="1"/>
  <c r="C225" i="37" s="1"/>
  <c r="C226" i="37" s="1"/>
  <c r="C227" i="37" s="1"/>
  <c r="C228" i="37" s="1"/>
  <c r="C229" i="37" s="1"/>
  <c r="C230" i="37" s="1"/>
  <c r="C231" i="37" s="1"/>
  <c r="C232" i="37" s="1"/>
  <c r="C233" i="37" s="1"/>
  <c r="C234" i="37" s="1"/>
  <c r="C235" i="37" s="1"/>
  <c r="C236" i="37" s="1"/>
  <c r="C237" i="37" s="1"/>
  <c r="C238" i="37" s="1"/>
  <c r="C239" i="37" s="1"/>
  <c r="C240" i="37" s="1"/>
  <c r="C241" i="37" s="1"/>
  <c r="C242" i="37" s="1"/>
  <c r="C243" i="37" s="1"/>
  <c r="C244" i="37" s="1"/>
  <c r="C245" i="37" s="1"/>
  <c r="C246" i="37" s="1"/>
  <c r="C247" i="37" s="1"/>
  <c r="C248" i="37" s="1"/>
  <c r="C249" i="37" s="1"/>
  <c r="C250" i="37" s="1"/>
  <c r="C251" i="37" s="1"/>
  <c r="C252" i="37" s="1"/>
  <c r="C253" i="37" s="1"/>
  <c r="C254" i="37" s="1"/>
  <c r="C255" i="37" s="1"/>
  <c r="C256" i="37" s="1"/>
  <c r="C257" i="37" s="1"/>
  <c r="C258" i="37" s="1"/>
  <c r="C259" i="37" s="1"/>
  <c r="C260" i="37" s="1"/>
  <c r="C261" i="37" s="1"/>
  <c r="C262" i="37" s="1"/>
  <c r="C263" i="37" s="1"/>
  <c r="C264" i="37" s="1"/>
  <c r="C265" i="37" s="1"/>
  <c r="C266" i="37" s="1"/>
  <c r="C267" i="37" s="1"/>
  <c r="C268" i="37" s="1"/>
  <c r="C269" i="37" s="1"/>
  <c r="C270" i="37" s="1"/>
  <c r="C271" i="37" s="1"/>
  <c r="C272" i="37" s="1"/>
  <c r="C273" i="37" s="1"/>
  <c r="C274" i="37" s="1"/>
  <c r="C275" i="37" s="1"/>
  <c r="C276" i="37" s="1"/>
  <c r="C277" i="37" s="1"/>
  <c r="C278" i="37" s="1"/>
  <c r="C279" i="37" s="1"/>
  <c r="C280" i="37" s="1"/>
  <c r="C281" i="37" s="1"/>
  <c r="C282" i="37" s="1"/>
  <c r="C283" i="37" s="1"/>
  <c r="C284" i="37" s="1"/>
  <c r="C285" i="37" s="1"/>
  <c r="C286" i="37" s="1"/>
  <c r="C287" i="37" s="1"/>
  <c r="C288" i="37" s="1"/>
  <c r="C289" i="37" s="1"/>
  <c r="C290" i="37" s="1"/>
  <c r="C291" i="37" s="1"/>
  <c r="C292" i="37" s="1"/>
  <c r="C293" i="37" s="1"/>
  <c r="C294" i="37" s="1"/>
  <c r="C295" i="37" s="1"/>
  <c r="C296" i="37" s="1"/>
  <c r="C297" i="37" s="1"/>
  <c r="C298" i="37" s="1"/>
  <c r="C299" i="37" s="1"/>
  <c r="C300" i="37" s="1"/>
  <c r="C301" i="37" s="1"/>
  <c r="C302" i="37" s="1"/>
  <c r="C303" i="37" s="1"/>
  <c r="C304" i="37" s="1"/>
  <c r="C305" i="37" s="1"/>
  <c r="C306" i="37" s="1"/>
  <c r="C307" i="37" s="1"/>
  <c r="C308" i="37" s="1"/>
  <c r="C309" i="37" s="1"/>
  <c r="C310" i="37" s="1"/>
  <c r="C311" i="37" s="1"/>
  <c r="C312" i="37" s="1"/>
  <c r="C313" i="37" s="1"/>
  <c r="C314" i="37" s="1"/>
  <c r="C315" i="37" s="1"/>
  <c r="C316" i="37" s="1"/>
  <c r="C317" i="37" s="1"/>
  <c r="C318" i="37" s="1"/>
  <c r="C319" i="37" s="1"/>
  <c r="C320" i="37" s="1"/>
  <c r="C321" i="37" s="1"/>
  <c r="C322" i="37" s="1"/>
  <c r="C323" i="37" s="1"/>
  <c r="C324" i="37" s="1"/>
  <c r="C325" i="37" s="1"/>
  <c r="C326" i="37" s="1"/>
  <c r="C327" i="37" s="1"/>
  <c r="C328" i="37" s="1"/>
  <c r="C329" i="37" s="1"/>
  <c r="C330" i="37" s="1"/>
  <c r="C331" i="37" s="1"/>
  <c r="B2" i="37"/>
  <c r="B3" i="37" s="1"/>
  <c r="B4" i="37" s="1"/>
  <c r="B5" i="37" s="1"/>
  <c r="B6" i="37" s="1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B305" i="37" s="1"/>
  <c r="B306" i="37" s="1"/>
  <c r="B307" i="37" s="1"/>
  <c r="B308" i="37" s="1"/>
  <c r="B309" i="37" s="1"/>
  <c r="B310" i="37" s="1"/>
  <c r="B311" i="37" s="1"/>
  <c r="B312" i="37" s="1"/>
  <c r="B313" i="37" s="1"/>
  <c r="B314" i="37" s="1"/>
  <c r="B315" i="37" s="1"/>
  <c r="B316" i="37" s="1"/>
  <c r="B317" i="37" s="1"/>
  <c r="B318" i="37" s="1"/>
  <c r="B319" i="37" s="1"/>
  <c r="B320" i="37" s="1"/>
  <c r="B321" i="37" s="1"/>
  <c r="B322" i="37" s="1"/>
  <c r="B323" i="37" s="1"/>
  <c r="B324" i="37" s="1"/>
  <c r="B325" i="37" s="1"/>
  <c r="B326" i="37" s="1"/>
  <c r="B327" i="37" s="1"/>
  <c r="B328" i="37" s="1"/>
  <c r="B329" i="37" s="1"/>
  <c r="B330" i="37" s="1"/>
  <c r="B331" i="37" s="1"/>
  <c r="C3" i="35"/>
  <c r="C4" i="35" s="1"/>
  <c r="C5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50" i="35" s="1"/>
  <c r="C51" i="35" s="1"/>
  <c r="C52" i="35" s="1"/>
  <c r="C53" i="35" s="1"/>
  <c r="C54" i="35" s="1"/>
  <c r="C55" i="35" s="1"/>
  <c r="C56" i="35" s="1"/>
  <c r="C57" i="35" s="1"/>
  <c r="C58" i="35" s="1"/>
  <c r="C59" i="35" s="1"/>
  <c r="C60" i="35" s="1"/>
  <c r="C61" i="35" s="1"/>
  <c r="C62" i="35" s="1"/>
  <c r="C63" i="35" s="1"/>
  <c r="C64" i="35" s="1"/>
  <c r="C65" i="35" s="1"/>
  <c r="C66" i="35" s="1"/>
  <c r="C67" i="35" s="1"/>
  <c r="C68" i="35" s="1"/>
  <c r="C69" i="35" s="1"/>
  <c r="C70" i="35" s="1"/>
  <c r="C71" i="35" s="1"/>
  <c r="C72" i="35" s="1"/>
  <c r="C73" i="35" s="1"/>
  <c r="C74" i="35" s="1"/>
  <c r="C75" i="35" s="1"/>
  <c r="C76" i="35" s="1"/>
  <c r="C77" i="35" s="1"/>
  <c r="C78" i="35" s="1"/>
  <c r="C79" i="35" s="1"/>
  <c r="C80" i="35" s="1"/>
  <c r="C81" i="35" s="1"/>
  <c r="C82" i="35" s="1"/>
  <c r="C83" i="35" s="1"/>
  <c r="C84" i="35" s="1"/>
  <c r="C85" i="35" s="1"/>
  <c r="C86" i="35" s="1"/>
  <c r="C87" i="35" s="1"/>
  <c r="C88" i="35" s="1"/>
  <c r="C89" i="35" s="1"/>
  <c r="C90" i="35" s="1"/>
  <c r="C91" i="35" s="1"/>
  <c r="C92" i="35" s="1"/>
  <c r="C93" i="35" s="1"/>
  <c r="C94" i="35" s="1"/>
  <c r="C95" i="35" s="1"/>
  <c r="C96" i="35" s="1"/>
  <c r="C97" i="35" s="1"/>
  <c r="C98" i="35" s="1"/>
  <c r="C99" i="35" s="1"/>
  <c r="C100" i="35" s="1"/>
  <c r="C101" i="35" s="1"/>
  <c r="C102" i="35" s="1"/>
  <c r="C103" i="35" s="1"/>
  <c r="C104" i="35" s="1"/>
  <c r="C105" i="35" s="1"/>
  <c r="C106" i="35" s="1"/>
  <c r="C107" i="35" s="1"/>
  <c r="C108" i="35" s="1"/>
  <c r="C109" i="35" s="1"/>
  <c r="C110" i="35" s="1"/>
  <c r="C111" i="35" s="1"/>
  <c r="C112" i="35" s="1"/>
  <c r="C113" i="35" s="1"/>
  <c r="C114" i="35" s="1"/>
  <c r="C115" i="35" s="1"/>
  <c r="C116" i="35" s="1"/>
  <c r="C117" i="35" s="1"/>
  <c r="C118" i="35" s="1"/>
  <c r="C119" i="35" s="1"/>
  <c r="C120" i="35" s="1"/>
  <c r="C121" i="35" s="1"/>
  <c r="C122" i="35" s="1"/>
  <c r="C123" i="35" s="1"/>
  <c r="C124" i="35" s="1"/>
  <c r="C125" i="35" s="1"/>
  <c r="C126" i="35" s="1"/>
  <c r="C127" i="35" s="1"/>
  <c r="C128" i="35" s="1"/>
  <c r="C129" i="35" s="1"/>
  <c r="C130" i="35" s="1"/>
  <c r="C131" i="35" s="1"/>
  <c r="C132" i="35" s="1"/>
  <c r="C133" i="35" s="1"/>
  <c r="C134" i="35" s="1"/>
  <c r="C135" i="35" s="1"/>
  <c r="C136" i="35" s="1"/>
  <c r="C137" i="35" s="1"/>
  <c r="C138" i="35" s="1"/>
  <c r="C139" i="35" s="1"/>
  <c r="C140" i="35" s="1"/>
  <c r="C141" i="35" s="1"/>
  <c r="C142" i="35" s="1"/>
  <c r="C143" i="35" s="1"/>
  <c r="C144" i="35" s="1"/>
  <c r="C145" i="35" s="1"/>
  <c r="C146" i="35" s="1"/>
  <c r="C147" i="35" s="1"/>
  <c r="C148" i="35" s="1"/>
  <c r="C149" i="35" s="1"/>
  <c r="C150" i="35" s="1"/>
  <c r="C151" i="35" s="1"/>
  <c r="C152" i="35" s="1"/>
  <c r="C153" i="35" s="1"/>
  <c r="C154" i="35" s="1"/>
  <c r="C155" i="35" s="1"/>
  <c r="C156" i="35" s="1"/>
  <c r="C157" i="35" s="1"/>
  <c r="C158" i="35" s="1"/>
  <c r="C159" i="35" s="1"/>
  <c r="C160" i="35" s="1"/>
  <c r="C161" i="35" s="1"/>
  <c r="C162" i="35" s="1"/>
  <c r="C163" i="35" s="1"/>
  <c r="C164" i="35" s="1"/>
  <c r="C165" i="35" s="1"/>
  <c r="C166" i="35" s="1"/>
  <c r="C167" i="35" s="1"/>
  <c r="C168" i="35" s="1"/>
  <c r="C169" i="35" s="1"/>
  <c r="C170" i="35" s="1"/>
  <c r="C171" i="35" s="1"/>
  <c r="C172" i="35" s="1"/>
  <c r="C173" i="35" s="1"/>
  <c r="C174" i="35" s="1"/>
  <c r="C175" i="35" s="1"/>
  <c r="C176" i="35" s="1"/>
  <c r="C177" i="35" s="1"/>
  <c r="C178" i="35" s="1"/>
  <c r="C179" i="35" s="1"/>
  <c r="C180" i="35" s="1"/>
  <c r="C181" i="35" s="1"/>
  <c r="C182" i="35" s="1"/>
  <c r="C183" i="35" s="1"/>
  <c r="C184" i="35" s="1"/>
  <c r="C185" i="35" s="1"/>
  <c r="C186" i="35" s="1"/>
  <c r="C187" i="35" s="1"/>
  <c r="C188" i="35" s="1"/>
  <c r="C189" i="35" s="1"/>
  <c r="C190" i="35" s="1"/>
  <c r="C191" i="35" s="1"/>
  <c r="C192" i="35" s="1"/>
  <c r="C193" i="35" s="1"/>
  <c r="C194" i="35" s="1"/>
  <c r="C195" i="35" s="1"/>
  <c r="C196" i="35" s="1"/>
  <c r="C197" i="35" s="1"/>
  <c r="C198" i="35" s="1"/>
  <c r="C199" i="35" s="1"/>
  <c r="C200" i="35" s="1"/>
  <c r="C201" i="35" s="1"/>
  <c r="C202" i="35" s="1"/>
  <c r="C203" i="35" s="1"/>
  <c r="C204" i="35" s="1"/>
  <c r="C205" i="35" s="1"/>
  <c r="C206" i="35" s="1"/>
  <c r="C207" i="35" s="1"/>
  <c r="C208" i="35" s="1"/>
  <c r="C209" i="35" s="1"/>
  <c r="C210" i="35" s="1"/>
  <c r="C211" i="35" s="1"/>
  <c r="C212" i="35" s="1"/>
  <c r="C213" i="35" s="1"/>
  <c r="C214" i="35" s="1"/>
  <c r="C215" i="35" s="1"/>
  <c r="C216" i="35" s="1"/>
  <c r="C217" i="35" s="1"/>
  <c r="C218" i="35" s="1"/>
  <c r="C219" i="35" s="1"/>
  <c r="C220" i="35" s="1"/>
  <c r="C221" i="35" s="1"/>
  <c r="C222" i="35" s="1"/>
  <c r="C223" i="35" s="1"/>
  <c r="C224" i="35" s="1"/>
  <c r="C225" i="35" s="1"/>
  <c r="C226" i="35" s="1"/>
  <c r="C227" i="35" s="1"/>
  <c r="C228" i="35" s="1"/>
  <c r="C229" i="35" s="1"/>
  <c r="C230" i="35" s="1"/>
  <c r="C231" i="35" s="1"/>
  <c r="C232" i="35" s="1"/>
  <c r="C233" i="35" s="1"/>
  <c r="C234" i="35" s="1"/>
  <c r="C235" i="35" s="1"/>
  <c r="C236" i="35" s="1"/>
  <c r="C237" i="35" s="1"/>
  <c r="C238" i="35" s="1"/>
  <c r="C239" i="35" s="1"/>
  <c r="C240" i="35" s="1"/>
  <c r="C241" i="35" s="1"/>
  <c r="C242" i="35" s="1"/>
  <c r="C243" i="35" s="1"/>
  <c r="C244" i="35" s="1"/>
  <c r="C245" i="35" s="1"/>
  <c r="C246" i="35" s="1"/>
  <c r="C247" i="35" s="1"/>
  <c r="C248" i="35" s="1"/>
  <c r="C249" i="35" s="1"/>
  <c r="C250" i="35" s="1"/>
  <c r="C251" i="35" s="1"/>
  <c r="C252" i="35" s="1"/>
  <c r="C253" i="35" s="1"/>
  <c r="C254" i="35" s="1"/>
  <c r="C255" i="35" s="1"/>
  <c r="C256" i="35" s="1"/>
  <c r="C257" i="35" s="1"/>
  <c r="C258" i="35" s="1"/>
  <c r="C259" i="35" s="1"/>
  <c r="C260" i="35" s="1"/>
  <c r="C261" i="35" s="1"/>
  <c r="C262" i="35" s="1"/>
  <c r="C263" i="35" s="1"/>
  <c r="C264" i="35" s="1"/>
  <c r="C265" i="35" s="1"/>
  <c r="C266" i="35" s="1"/>
  <c r="C267" i="35" s="1"/>
  <c r="C268" i="35" s="1"/>
  <c r="C269" i="35" s="1"/>
  <c r="C270" i="35" s="1"/>
  <c r="C271" i="35" s="1"/>
  <c r="C272" i="35" s="1"/>
  <c r="C273" i="35" s="1"/>
  <c r="C274" i="35" s="1"/>
  <c r="C275" i="35" s="1"/>
  <c r="C276" i="35" s="1"/>
  <c r="C277" i="35" s="1"/>
  <c r="C278" i="35" s="1"/>
  <c r="C279" i="35" s="1"/>
  <c r="C280" i="35" s="1"/>
  <c r="C281" i="35" s="1"/>
  <c r="C282" i="35" s="1"/>
  <c r="C283" i="35" s="1"/>
  <c r="C284" i="35" s="1"/>
  <c r="C285" i="35" s="1"/>
  <c r="C286" i="35" s="1"/>
  <c r="C287" i="35" s="1"/>
  <c r="C288" i="35" s="1"/>
  <c r="C289" i="35" s="1"/>
  <c r="C290" i="35" s="1"/>
  <c r="C291" i="35" s="1"/>
  <c r="C292" i="35" s="1"/>
  <c r="C293" i="35" s="1"/>
  <c r="C294" i="35" s="1"/>
  <c r="C295" i="35" s="1"/>
  <c r="C296" i="35" s="1"/>
  <c r="C297" i="35" s="1"/>
  <c r="C298" i="35" s="1"/>
  <c r="C299" i="35" s="1"/>
  <c r="C300" i="35" s="1"/>
  <c r="C301" i="35" s="1"/>
  <c r="C302" i="35" s="1"/>
  <c r="C303" i="35" s="1"/>
  <c r="C304" i="35" s="1"/>
  <c r="C305" i="35" s="1"/>
  <c r="C306" i="35" s="1"/>
  <c r="C307" i="35" s="1"/>
  <c r="C308" i="35" s="1"/>
  <c r="C309" i="35" s="1"/>
  <c r="C310" i="35" s="1"/>
  <c r="C311" i="35" s="1"/>
  <c r="C312" i="35" s="1"/>
  <c r="C313" i="35" s="1"/>
  <c r="C314" i="35" s="1"/>
  <c r="C315" i="35" s="1"/>
  <c r="C316" i="35" s="1"/>
  <c r="C317" i="35" s="1"/>
  <c r="C318" i="35" s="1"/>
  <c r="C319" i="35" s="1"/>
  <c r="C320" i="35" s="1"/>
  <c r="C321" i="35" s="1"/>
  <c r="C322" i="35" s="1"/>
  <c r="C323" i="35" s="1"/>
  <c r="C324" i="35" s="1"/>
  <c r="C325" i="35" s="1"/>
  <c r="C326" i="35" s="1"/>
  <c r="C327" i="35" s="1"/>
  <c r="C328" i="35" s="1"/>
  <c r="C329" i="35" s="1"/>
  <c r="C330" i="35" s="1"/>
  <c r="C331" i="35" s="1"/>
  <c r="C332" i="35" s="1"/>
  <c r="C333" i="35" s="1"/>
  <c r="C334" i="35" s="1"/>
  <c r="C335" i="35" s="1"/>
  <c r="C336" i="35" s="1"/>
  <c r="C337" i="35" s="1"/>
  <c r="C338" i="35" s="1"/>
  <c r="C339" i="35" s="1"/>
  <c r="C340" i="35" s="1"/>
  <c r="C341" i="35" s="1"/>
  <c r="C342" i="35" s="1"/>
  <c r="C343" i="35" s="1"/>
  <c r="C344" i="35" s="1"/>
  <c r="C345" i="35" s="1"/>
  <c r="C346" i="35" s="1"/>
  <c r="C347" i="35" s="1"/>
  <c r="C348" i="35" s="1"/>
  <c r="C349" i="35" s="1"/>
  <c r="C350" i="35" s="1"/>
  <c r="C351" i="35" s="1"/>
  <c r="C352" i="35" s="1"/>
  <c r="C353" i="35" s="1"/>
  <c r="C354" i="35" s="1"/>
  <c r="C355" i="35" s="1"/>
  <c r="C356" i="35" s="1"/>
  <c r="C357" i="35" s="1"/>
  <c r="C358" i="35" s="1"/>
  <c r="C359" i="35" s="1"/>
  <c r="C360" i="35" s="1"/>
  <c r="C361" i="35" s="1"/>
  <c r="C362" i="35" s="1"/>
  <c r="C363" i="35" s="1"/>
  <c r="C364" i="35" s="1"/>
  <c r="C365" i="35" s="1"/>
  <c r="C366" i="35" s="1"/>
  <c r="C367" i="35" s="1"/>
  <c r="C368" i="35" s="1"/>
  <c r="C369" i="35" s="1"/>
  <c r="C370" i="35" s="1"/>
  <c r="C371" i="35" s="1"/>
  <c r="C372" i="35" s="1"/>
  <c r="C373" i="35" s="1"/>
  <c r="C374" i="35" s="1"/>
  <c r="C375" i="35" s="1"/>
  <c r="C376" i="35" s="1"/>
  <c r="C377" i="35" s="1"/>
  <c r="C378" i="35" s="1"/>
  <c r="C379" i="35" s="1"/>
  <c r="C380" i="35" s="1"/>
  <c r="C381" i="35" s="1"/>
  <c r="C382" i="35" s="1"/>
  <c r="C383" i="35" s="1"/>
  <c r="C384" i="35" s="1"/>
  <c r="C385" i="35" s="1"/>
  <c r="C386" i="35" s="1"/>
  <c r="C387" i="35" s="1"/>
  <c r="C388" i="35" s="1"/>
  <c r="C389" i="35" s="1"/>
  <c r="C390" i="35" s="1"/>
  <c r="C391" i="35" s="1"/>
  <c r="C392" i="35" s="1"/>
  <c r="C393" i="35" s="1"/>
  <c r="C394" i="35" s="1"/>
  <c r="C395" i="35" s="1"/>
  <c r="C396" i="35" s="1"/>
  <c r="C397" i="35" s="1"/>
  <c r="C398" i="35" s="1"/>
  <c r="C399" i="35" s="1"/>
  <c r="C400" i="35" s="1"/>
  <c r="C401" i="35" s="1"/>
  <c r="C402" i="35" s="1"/>
  <c r="C403" i="35" s="1"/>
  <c r="C404" i="35" s="1"/>
  <c r="C405" i="35" s="1"/>
  <c r="C406" i="35" s="1"/>
  <c r="C407" i="35" s="1"/>
  <c r="C408" i="35" s="1"/>
  <c r="C409" i="35" s="1"/>
  <c r="C410" i="35" s="1"/>
  <c r="C411" i="35" s="1"/>
  <c r="C412" i="35" s="1"/>
  <c r="C413" i="35" s="1"/>
  <c r="C414" i="35" s="1"/>
  <c r="C415" i="35" s="1"/>
  <c r="C416" i="35" s="1"/>
  <c r="C417" i="35" s="1"/>
  <c r="C418" i="35" s="1"/>
  <c r="C419" i="35" s="1"/>
  <c r="C420" i="35" s="1"/>
  <c r="C421" i="35" s="1"/>
  <c r="C422" i="35" s="1"/>
  <c r="C423" i="35" s="1"/>
  <c r="C424" i="35" s="1"/>
  <c r="C425" i="35" s="1"/>
  <c r="C426" i="35" s="1"/>
  <c r="C427" i="35" s="1"/>
  <c r="C428" i="35" s="1"/>
  <c r="C429" i="35" s="1"/>
  <c r="C430" i="35" s="1"/>
  <c r="C431" i="35" s="1"/>
  <c r="C432" i="35" s="1"/>
  <c r="C433" i="35" s="1"/>
  <c r="C434" i="35" s="1"/>
  <c r="C435" i="35" s="1"/>
  <c r="C436" i="35" s="1"/>
  <c r="C437" i="35" s="1"/>
  <c r="C438" i="35" s="1"/>
  <c r="C439" i="35" s="1"/>
  <c r="C440" i="35" s="1"/>
  <c r="C441" i="35" s="1"/>
  <c r="C442" i="35" s="1"/>
  <c r="C443" i="35" s="1"/>
  <c r="C444" i="35" s="1"/>
  <c r="C445" i="35" s="1"/>
  <c r="C446" i="35" s="1"/>
  <c r="C447" i="35" s="1"/>
  <c r="C448" i="35" s="1"/>
  <c r="C449" i="35" s="1"/>
  <c r="C450" i="35" s="1"/>
  <c r="C451" i="35" s="1"/>
  <c r="C452" i="35" s="1"/>
  <c r="C453" i="35" s="1"/>
  <c r="C454" i="35" s="1"/>
  <c r="C455" i="35" s="1"/>
  <c r="C456" i="35" s="1"/>
  <c r="C457" i="35" s="1"/>
  <c r="C458" i="35" s="1"/>
  <c r="C459" i="35" s="1"/>
  <c r="C460" i="35" s="1"/>
  <c r="C461" i="35" s="1"/>
  <c r="C462" i="35" s="1"/>
  <c r="C463" i="35" s="1"/>
  <c r="C464" i="35" s="1"/>
  <c r="C465" i="35" s="1"/>
  <c r="C466" i="35" s="1"/>
  <c r="C467" i="35" s="1"/>
  <c r="C468" i="35" s="1"/>
  <c r="C469" i="35" s="1"/>
  <c r="C470" i="35" s="1"/>
  <c r="C471" i="35" s="1"/>
  <c r="C472" i="35" s="1"/>
  <c r="C473" i="35" s="1"/>
  <c r="C474" i="35" s="1"/>
  <c r="C475" i="35" s="1"/>
  <c r="C476" i="35" s="1"/>
  <c r="C477" i="35" s="1"/>
  <c r="C478" i="35" s="1"/>
  <c r="C479" i="35" s="1"/>
  <c r="C480" i="35" s="1"/>
  <c r="C481" i="35" s="1"/>
  <c r="C482" i="35" s="1"/>
  <c r="C483" i="35" s="1"/>
  <c r="C484" i="35" s="1"/>
  <c r="C485" i="35" s="1"/>
  <c r="C486" i="35" s="1"/>
  <c r="C487" i="35" s="1"/>
  <c r="C488" i="35" s="1"/>
  <c r="C489" i="35" s="1"/>
  <c r="C490" i="35" s="1"/>
  <c r="C491" i="35" s="1"/>
  <c r="C492" i="35" s="1"/>
  <c r="C493" i="35" s="1"/>
  <c r="C494" i="35" s="1"/>
  <c r="C495" i="35" s="1"/>
  <c r="C496" i="35" s="1"/>
  <c r="C497" i="35" s="1"/>
  <c r="C498" i="35" s="1"/>
  <c r="C499" i="35" s="1"/>
  <c r="C500" i="35" s="1"/>
  <c r="C501" i="35" s="1"/>
  <c r="C502" i="35" s="1"/>
  <c r="C503" i="35" s="1"/>
  <c r="C504" i="35" s="1"/>
  <c r="C505" i="35" s="1"/>
  <c r="C506" i="35" s="1"/>
  <c r="C507" i="35" s="1"/>
  <c r="C508" i="35" s="1"/>
  <c r="C509" i="35" s="1"/>
  <c r="C510" i="35" s="1"/>
  <c r="C511" i="35" s="1"/>
  <c r="C512" i="35" s="1"/>
  <c r="C513" i="35" s="1"/>
  <c r="C514" i="35" s="1"/>
  <c r="C515" i="35" s="1"/>
  <c r="C516" i="35" s="1"/>
  <c r="C517" i="35" s="1"/>
  <c r="C518" i="35" s="1"/>
  <c r="C519" i="35" s="1"/>
  <c r="C520" i="35" s="1"/>
  <c r="C521" i="35" s="1"/>
  <c r="C522" i="35" s="1"/>
  <c r="C523" i="35" s="1"/>
  <c r="C524" i="35" s="1"/>
  <c r="C525" i="35" s="1"/>
  <c r="C526" i="35" s="1"/>
  <c r="C527" i="35" s="1"/>
  <c r="C528" i="35" s="1"/>
  <c r="C529" i="35" s="1"/>
  <c r="C530" i="35" s="1"/>
  <c r="C531" i="35" s="1"/>
  <c r="C532" i="35" s="1"/>
  <c r="C533" i="35" s="1"/>
  <c r="C534" i="35" s="1"/>
  <c r="C535" i="35" s="1"/>
  <c r="C536" i="35" s="1"/>
  <c r="C537" i="35" s="1"/>
  <c r="C538" i="35" s="1"/>
  <c r="C539" i="35" s="1"/>
  <c r="C540" i="35" s="1"/>
  <c r="C541" i="35" s="1"/>
  <c r="C542" i="35" s="1"/>
  <c r="C543" i="35" s="1"/>
  <c r="C544" i="35" s="1"/>
  <c r="C545" i="35" s="1"/>
  <c r="C546" i="35" s="1"/>
  <c r="C547" i="35" s="1"/>
  <c r="C548" i="35" s="1"/>
  <c r="C549" i="35" s="1"/>
  <c r="C550" i="35" s="1"/>
  <c r="C551" i="35" s="1"/>
  <c r="C552" i="35" s="1"/>
  <c r="C553" i="35" s="1"/>
  <c r="C554" i="35" s="1"/>
  <c r="C555" i="35" s="1"/>
  <c r="C556" i="35" s="1"/>
  <c r="C557" i="35" s="1"/>
  <c r="C558" i="35" s="1"/>
  <c r="C559" i="35" s="1"/>
  <c r="C560" i="35" s="1"/>
  <c r="C561" i="35" s="1"/>
  <c r="C562" i="35" s="1"/>
  <c r="C563" i="35" s="1"/>
  <c r="C564" i="35" s="1"/>
  <c r="C565" i="35" s="1"/>
  <c r="C566" i="35" s="1"/>
  <c r="C567" i="35" s="1"/>
  <c r="C568" i="35" s="1"/>
  <c r="C569" i="35" s="1"/>
  <c r="C570" i="35" s="1"/>
  <c r="C571" i="35" s="1"/>
  <c r="C572" i="35" s="1"/>
  <c r="C573" i="35" s="1"/>
  <c r="C574" i="35" s="1"/>
  <c r="C575" i="35" s="1"/>
  <c r="C576" i="35" s="1"/>
  <c r="C577" i="35" s="1"/>
  <c r="C578" i="35" s="1"/>
  <c r="C579" i="35" s="1"/>
  <c r="C580" i="35" s="1"/>
  <c r="C581" i="35" s="1"/>
  <c r="C582" i="35" s="1"/>
  <c r="C583" i="35" s="1"/>
  <c r="C584" i="35" s="1"/>
  <c r="C585" i="35" s="1"/>
  <c r="C586" i="35" s="1"/>
  <c r="C587" i="35" s="1"/>
  <c r="C588" i="35" s="1"/>
  <c r="C589" i="35" s="1"/>
  <c r="C590" i="35" s="1"/>
  <c r="C591" i="35" s="1"/>
  <c r="C592" i="35" s="1"/>
  <c r="C593" i="35" s="1"/>
  <c r="C594" i="35" s="1"/>
  <c r="C595" i="35" s="1"/>
  <c r="C596" i="35" s="1"/>
  <c r="C597" i="35" s="1"/>
  <c r="C598" i="35" s="1"/>
  <c r="C599" i="35" s="1"/>
  <c r="C600" i="35" s="1"/>
  <c r="C601" i="35" s="1"/>
  <c r="C602" i="35" s="1"/>
  <c r="C603" i="35" s="1"/>
  <c r="C604" i="35" s="1"/>
  <c r="C605" i="35" s="1"/>
  <c r="C606" i="35" s="1"/>
  <c r="C607" i="35" s="1"/>
  <c r="C608" i="35" s="1"/>
  <c r="C609" i="35" s="1"/>
  <c r="C610" i="35" s="1"/>
  <c r="C611" i="35" s="1"/>
  <c r="C612" i="35" s="1"/>
  <c r="C613" i="35" s="1"/>
  <c r="C614" i="35" s="1"/>
  <c r="C615" i="35" s="1"/>
  <c r="C616" i="35" s="1"/>
  <c r="C617" i="35" s="1"/>
  <c r="C618" i="35" s="1"/>
  <c r="C619" i="35" s="1"/>
  <c r="C620" i="35" s="1"/>
  <c r="C621" i="35" s="1"/>
  <c r="C622" i="35" s="1"/>
  <c r="C623" i="35" s="1"/>
  <c r="C624" i="35" s="1"/>
  <c r="C625" i="35" s="1"/>
  <c r="C626" i="35" s="1"/>
  <c r="C627" i="35" s="1"/>
  <c r="C628" i="35" s="1"/>
  <c r="C629" i="35" s="1"/>
  <c r="C630" i="35" s="1"/>
  <c r="C631" i="35" s="1"/>
  <c r="C632" i="35" s="1"/>
  <c r="C633" i="35" s="1"/>
  <c r="C634" i="35" s="1"/>
  <c r="C635" i="35" s="1"/>
  <c r="C636" i="35" s="1"/>
  <c r="C637" i="35" s="1"/>
  <c r="C638" i="35" s="1"/>
  <c r="C639" i="35" s="1"/>
  <c r="C640" i="35" s="1"/>
  <c r="C641" i="35" s="1"/>
  <c r="C642" i="35" s="1"/>
  <c r="C643" i="35" s="1"/>
  <c r="C644" i="35" s="1"/>
  <c r="C645" i="35" s="1"/>
  <c r="C646" i="35" s="1"/>
  <c r="C647" i="35" s="1"/>
  <c r="C648" i="35" s="1"/>
  <c r="C649" i="35" s="1"/>
  <c r="C650" i="35" s="1"/>
  <c r="C651" i="35" s="1"/>
  <c r="C652" i="35" s="1"/>
  <c r="C653" i="35" s="1"/>
  <c r="C654" i="35" s="1"/>
  <c r="C655" i="35" s="1"/>
  <c r="C656" i="35" s="1"/>
  <c r="C657" i="35" s="1"/>
  <c r="C658" i="35" s="1"/>
  <c r="C659" i="35" s="1"/>
  <c r="C660" i="35" s="1"/>
  <c r="C661" i="35" s="1"/>
  <c r="C662" i="35" s="1"/>
  <c r="C663" i="35" s="1"/>
  <c r="C664" i="35" s="1"/>
  <c r="C665" i="35" s="1"/>
  <c r="C666" i="35" s="1"/>
  <c r="C667" i="35" s="1"/>
  <c r="C668" i="35" s="1"/>
  <c r="C669" i="35" s="1"/>
  <c r="C670" i="35" s="1"/>
  <c r="C671" i="35" s="1"/>
  <c r="C672" i="35" s="1"/>
  <c r="C673" i="35" s="1"/>
  <c r="C674" i="35" s="1"/>
  <c r="C675" i="35" s="1"/>
  <c r="C676" i="35" s="1"/>
  <c r="C677" i="35" s="1"/>
  <c r="C678" i="35" s="1"/>
  <c r="C679" i="35" s="1"/>
  <c r="C680" i="35" s="1"/>
  <c r="C681" i="35" s="1"/>
  <c r="C682" i="35" s="1"/>
  <c r="C683" i="35" s="1"/>
  <c r="C684" i="35" s="1"/>
  <c r="C685" i="35" s="1"/>
  <c r="C686" i="35" s="1"/>
  <c r="C687" i="35" s="1"/>
  <c r="C688" i="35" s="1"/>
  <c r="C689" i="35" s="1"/>
  <c r="C690" i="35" s="1"/>
  <c r="C691" i="35" s="1"/>
  <c r="C692" i="35" s="1"/>
  <c r="C693" i="35" s="1"/>
  <c r="C694" i="35" s="1"/>
  <c r="C695" i="35" s="1"/>
  <c r="C696" i="35" s="1"/>
  <c r="C697" i="35" s="1"/>
  <c r="C698" i="35" s="1"/>
  <c r="C699" i="35" s="1"/>
  <c r="C700" i="35" s="1"/>
  <c r="C701" i="35" s="1"/>
  <c r="B3" i="35"/>
  <c r="B4" i="35" s="1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305" i="35" s="1"/>
  <c r="B306" i="35" s="1"/>
  <c r="B307" i="35" s="1"/>
  <c r="B308" i="35" s="1"/>
  <c r="B309" i="35" s="1"/>
  <c r="B310" i="35" s="1"/>
  <c r="B311" i="35" s="1"/>
  <c r="B312" i="35" s="1"/>
  <c r="B313" i="35" s="1"/>
  <c r="B314" i="35" s="1"/>
  <c r="B315" i="35" s="1"/>
  <c r="B316" i="35" s="1"/>
  <c r="B317" i="35" s="1"/>
  <c r="B318" i="35" s="1"/>
  <c r="B319" i="35" s="1"/>
  <c r="B320" i="35" s="1"/>
  <c r="B321" i="35" s="1"/>
  <c r="B322" i="35" s="1"/>
  <c r="B323" i="35" s="1"/>
  <c r="B324" i="35" s="1"/>
  <c r="B325" i="35" s="1"/>
  <c r="B326" i="35" s="1"/>
  <c r="B327" i="35" s="1"/>
  <c r="B328" i="35" s="1"/>
  <c r="B329" i="35" s="1"/>
  <c r="B330" i="35" s="1"/>
  <c r="B331" i="35" s="1"/>
  <c r="B332" i="35" s="1"/>
  <c r="B333" i="35" s="1"/>
  <c r="B334" i="35" s="1"/>
  <c r="B335" i="35" s="1"/>
  <c r="B336" i="35" s="1"/>
  <c r="B337" i="35" s="1"/>
  <c r="B338" i="35" s="1"/>
  <c r="B339" i="35" s="1"/>
  <c r="B340" i="35" s="1"/>
  <c r="B341" i="35" s="1"/>
  <c r="B342" i="35" s="1"/>
  <c r="B343" i="35" s="1"/>
  <c r="B344" i="35" s="1"/>
  <c r="B345" i="35" s="1"/>
  <c r="B346" i="35" s="1"/>
  <c r="B347" i="35" s="1"/>
  <c r="B348" i="35" s="1"/>
  <c r="B349" i="35" s="1"/>
  <c r="B350" i="35" s="1"/>
  <c r="B351" i="35" s="1"/>
  <c r="B352" i="35" s="1"/>
  <c r="B353" i="35" s="1"/>
  <c r="B354" i="35" s="1"/>
  <c r="B355" i="35" s="1"/>
  <c r="B356" i="35" s="1"/>
  <c r="B357" i="35" s="1"/>
  <c r="B358" i="35" s="1"/>
  <c r="B359" i="35" s="1"/>
  <c r="B360" i="35" s="1"/>
  <c r="B361" i="35" s="1"/>
  <c r="B362" i="35" s="1"/>
  <c r="B363" i="35" s="1"/>
  <c r="B364" i="35" s="1"/>
  <c r="B365" i="35" s="1"/>
  <c r="B366" i="35" s="1"/>
  <c r="B367" i="35" s="1"/>
  <c r="B368" i="35" s="1"/>
  <c r="B369" i="35" s="1"/>
  <c r="B370" i="35" s="1"/>
  <c r="B371" i="35" s="1"/>
  <c r="B372" i="35" s="1"/>
  <c r="B373" i="35" s="1"/>
  <c r="B374" i="35" s="1"/>
  <c r="B375" i="35" s="1"/>
  <c r="B376" i="35" s="1"/>
  <c r="B377" i="35" s="1"/>
  <c r="B378" i="35" s="1"/>
  <c r="B379" i="35" s="1"/>
  <c r="B380" i="35" s="1"/>
  <c r="B381" i="35" s="1"/>
  <c r="B382" i="35" s="1"/>
  <c r="B383" i="35" s="1"/>
  <c r="B384" i="35" s="1"/>
  <c r="B385" i="35" s="1"/>
  <c r="B386" i="35" s="1"/>
  <c r="B387" i="35" s="1"/>
  <c r="B388" i="35" s="1"/>
  <c r="B389" i="35" s="1"/>
  <c r="B390" i="35" s="1"/>
  <c r="B391" i="35" s="1"/>
  <c r="B392" i="35" s="1"/>
  <c r="B393" i="35" s="1"/>
  <c r="B394" i="35" s="1"/>
  <c r="B395" i="35" s="1"/>
  <c r="B396" i="35" s="1"/>
  <c r="B397" i="35" s="1"/>
  <c r="B398" i="35" s="1"/>
  <c r="B399" i="35" s="1"/>
  <c r="B400" i="35" s="1"/>
  <c r="B401" i="35" s="1"/>
  <c r="B402" i="35" s="1"/>
  <c r="B403" i="35" s="1"/>
  <c r="B404" i="35" s="1"/>
  <c r="B405" i="35" s="1"/>
  <c r="B406" i="35" s="1"/>
  <c r="B407" i="35" s="1"/>
  <c r="B408" i="35" s="1"/>
  <c r="B409" i="35" s="1"/>
  <c r="B410" i="35" s="1"/>
  <c r="B411" i="35" s="1"/>
  <c r="B412" i="35" s="1"/>
  <c r="B413" i="35" s="1"/>
  <c r="B414" i="35" s="1"/>
  <c r="B415" i="35" s="1"/>
  <c r="B416" i="35" s="1"/>
  <c r="B417" i="35" s="1"/>
  <c r="B418" i="35" s="1"/>
  <c r="B419" i="35" s="1"/>
  <c r="B420" i="35" s="1"/>
  <c r="B421" i="35" s="1"/>
  <c r="B422" i="35" s="1"/>
  <c r="B423" i="35" s="1"/>
  <c r="B424" i="35" s="1"/>
  <c r="B425" i="35" s="1"/>
  <c r="B426" i="35" s="1"/>
  <c r="B427" i="35" s="1"/>
  <c r="B428" i="35" s="1"/>
  <c r="B429" i="35" s="1"/>
  <c r="B430" i="35" s="1"/>
  <c r="B431" i="35" s="1"/>
  <c r="B432" i="35" s="1"/>
  <c r="B433" i="35" s="1"/>
  <c r="B434" i="35" s="1"/>
  <c r="B435" i="35" s="1"/>
  <c r="B436" i="35" s="1"/>
  <c r="B437" i="35" s="1"/>
  <c r="B438" i="35" s="1"/>
  <c r="B439" i="35" s="1"/>
  <c r="B440" i="35" s="1"/>
  <c r="B441" i="35" s="1"/>
  <c r="B442" i="35" s="1"/>
  <c r="B443" i="35" s="1"/>
  <c r="B444" i="35" s="1"/>
  <c r="B445" i="35" s="1"/>
  <c r="B446" i="35" s="1"/>
  <c r="B447" i="35" s="1"/>
  <c r="B448" i="35" s="1"/>
  <c r="B449" i="35" s="1"/>
  <c r="B450" i="35" s="1"/>
  <c r="B451" i="35" s="1"/>
  <c r="B452" i="35" s="1"/>
  <c r="B453" i="35" s="1"/>
  <c r="B454" i="35" s="1"/>
  <c r="B455" i="35" s="1"/>
  <c r="B456" i="35" s="1"/>
  <c r="B457" i="35" s="1"/>
  <c r="B458" i="35" s="1"/>
  <c r="B459" i="35" s="1"/>
  <c r="B460" i="35" s="1"/>
  <c r="B461" i="35" s="1"/>
  <c r="B462" i="35" s="1"/>
  <c r="B463" i="35" s="1"/>
  <c r="B464" i="35" s="1"/>
  <c r="B465" i="35" s="1"/>
  <c r="B466" i="35" s="1"/>
  <c r="B467" i="35" s="1"/>
  <c r="B468" i="35" s="1"/>
  <c r="B469" i="35" s="1"/>
  <c r="B470" i="35" s="1"/>
  <c r="B471" i="35" s="1"/>
  <c r="B472" i="35" s="1"/>
  <c r="B473" i="35" s="1"/>
  <c r="B474" i="35" s="1"/>
  <c r="B475" i="35" s="1"/>
  <c r="B476" i="35" s="1"/>
  <c r="B477" i="35" s="1"/>
  <c r="B478" i="35" s="1"/>
  <c r="B479" i="35" s="1"/>
  <c r="B480" i="35" s="1"/>
  <c r="B481" i="35" s="1"/>
  <c r="B482" i="35" s="1"/>
  <c r="B483" i="35" s="1"/>
  <c r="B484" i="35" s="1"/>
  <c r="B485" i="35" s="1"/>
  <c r="B486" i="35" s="1"/>
  <c r="B487" i="35" s="1"/>
  <c r="B488" i="35" s="1"/>
  <c r="B489" i="35" s="1"/>
  <c r="B490" i="35" s="1"/>
  <c r="B491" i="35" s="1"/>
  <c r="B492" i="35" s="1"/>
  <c r="B493" i="35" s="1"/>
  <c r="B494" i="35" s="1"/>
  <c r="B495" i="35" s="1"/>
  <c r="B496" i="35" s="1"/>
  <c r="B497" i="35" s="1"/>
  <c r="B498" i="35" s="1"/>
  <c r="B499" i="35" s="1"/>
  <c r="B500" i="35" s="1"/>
  <c r="B501" i="35" s="1"/>
  <c r="B502" i="35" s="1"/>
  <c r="B503" i="35" s="1"/>
  <c r="B504" i="35" s="1"/>
  <c r="B505" i="35" s="1"/>
  <c r="B506" i="35" s="1"/>
  <c r="B507" i="35" s="1"/>
  <c r="B508" i="35" s="1"/>
  <c r="B509" i="35" s="1"/>
  <c r="B510" i="35" s="1"/>
  <c r="B511" i="35" s="1"/>
  <c r="B512" i="35" s="1"/>
  <c r="B513" i="35" s="1"/>
  <c r="B514" i="35" s="1"/>
  <c r="B515" i="35" s="1"/>
  <c r="B516" i="35" s="1"/>
  <c r="B517" i="35" s="1"/>
  <c r="B518" i="35" s="1"/>
  <c r="B519" i="35" s="1"/>
  <c r="B520" i="35" s="1"/>
  <c r="B521" i="35" s="1"/>
  <c r="B522" i="35" s="1"/>
  <c r="B523" i="35" s="1"/>
  <c r="B524" i="35" s="1"/>
  <c r="B525" i="35" s="1"/>
  <c r="B526" i="35" s="1"/>
  <c r="B527" i="35" s="1"/>
  <c r="B528" i="35" s="1"/>
  <c r="B529" i="35" s="1"/>
  <c r="B530" i="35" s="1"/>
  <c r="B531" i="35" s="1"/>
  <c r="B532" i="35" s="1"/>
  <c r="B533" i="35" s="1"/>
  <c r="B534" i="35" s="1"/>
  <c r="B535" i="35" s="1"/>
  <c r="B536" i="35" s="1"/>
  <c r="B537" i="35" s="1"/>
  <c r="B538" i="35" s="1"/>
  <c r="B539" i="35" s="1"/>
  <c r="B540" i="35" s="1"/>
  <c r="B541" i="35" s="1"/>
  <c r="B542" i="35" s="1"/>
  <c r="B543" i="35" s="1"/>
  <c r="B544" i="35" s="1"/>
  <c r="B545" i="35" s="1"/>
  <c r="B546" i="35" s="1"/>
  <c r="B547" i="35" s="1"/>
  <c r="B548" i="35" s="1"/>
  <c r="B549" i="35" s="1"/>
  <c r="B550" i="35" s="1"/>
  <c r="B551" i="35" s="1"/>
  <c r="B552" i="35" s="1"/>
  <c r="B553" i="35" s="1"/>
  <c r="B554" i="35" s="1"/>
  <c r="B555" i="35" s="1"/>
  <c r="B556" i="35" s="1"/>
  <c r="B557" i="35" s="1"/>
  <c r="B558" i="35" s="1"/>
  <c r="B559" i="35" s="1"/>
  <c r="B560" i="35" s="1"/>
  <c r="B561" i="35" s="1"/>
  <c r="B562" i="35" s="1"/>
  <c r="B563" i="35" s="1"/>
  <c r="B564" i="35" s="1"/>
  <c r="B565" i="35" s="1"/>
  <c r="B566" i="35" s="1"/>
  <c r="B567" i="35" s="1"/>
  <c r="B568" i="35" s="1"/>
  <c r="B569" i="35" s="1"/>
  <c r="B570" i="35" s="1"/>
  <c r="B571" i="35" s="1"/>
  <c r="B572" i="35" s="1"/>
  <c r="B573" i="35" s="1"/>
  <c r="B574" i="35" s="1"/>
  <c r="B575" i="35" s="1"/>
  <c r="B576" i="35" s="1"/>
  <c r="B577" i="35" s="1"/>
  <c r="B578" i="35" s="1"/>
  <c r="B579" i="35" s="1"/>
  <c r="B580" i="35" s="1"/>
  <c r="B581" i="35" s="1"/>
  <c r="B582" i="35" s="1"/>
  <c r="B583" i="35" s="1"/>
  <c r="B584" i="35" s="1"/>
  <c r="B585" i="35" s="1"/>
  <c r="B586" i="35" s="1"/>
  <c r="B587" i="35" s="1"/>
  <c r="B588" i="35" s="1"/>
  <c r="B589" i="35" s="1"/>
  <c r="B590" i="35" s="1"/>
  <c r="B591" i="35" s="1"/>
  <c r="B592" i="35" s="1"/>
  <c r="B593" i="35" s="1"/>
  <c r="B594" i="35" s="1"/>
  <c r="B595" i="35" s="1"/>
  <c r="B596" i="35" s="1"/>
  <c r="B597" i="35" s="1"/>
  <c r="B598" i="35" s="1"/>
  <c r="B599" i="35" s="1"/>
  <c r="B600" i="35" s="1"/>
  <c r="B601" i="35" s="1"/>
  <c r="B602" i="35" s="1"/>
  <c r="B603" i="35" s="1"/>
  <c r="B604" i="35" s="1"/>
  <c r="B605" i="35" s="1"/>
  <c r="B606" i="35" s="1"/>
  <c r="B607" i="35" s="1"/>
  <c r="B608" i="35" s="1"/>
  <c r="B609" i="35" s="1"/>
  <c r="B610" i="35" s="1"/>
  <c r="B611" i="35" s="1"/>
  <c r="B612" i="35" s="1"/>
  <c r="B613" i="35" s="1"/>
  <c r="B614" i="35" s="1"/>
  <c r="B615" i="35" s="1"/>
  <c r="B616" i="35" s="1"/>
  <c r="B617" i="35" s="1"/>
  <c r="B618" i="35" s="1"/>
  <c r="B619" i="35" s="1"/>
  <c r="B620" i="35" s="1"/>
  <c r="B621" i="35" s="1"/>
  <c r="B622" i="35" s="1"/>
  <c r="B623" i="35" s="1"/>
  <c r="B624" i="35" s="1"/>
  <c r="B625" i="35" s="1"/>
  <c r="B626" i="35" s="1"/>
  <c r="B627" i="35" s="1"/>
  <c r="B628" i="35" s="1"/>
  <c r="B629" i="35" s="1"/>
  <c r="B630" i="35" s="1"/>
  <c r="B631" i="35" s="1"/>
  <c r="B632" i="35" s="1"/>
  <c r="B633" i="35" s="1"/>
  <c r="B634" i="35" s="1"/>
  <c r="B635" i="35" s="1"/>
  <c r="B636" i="35" s="1"/>
  <c r="B637" i="35" s="1"/>
  <c r="B638" i="35" s="1"/>
  <c r="B639" i="35" s="1"/>
  <c r="B640" i="35" s="1"/>
  <c r="B641" i="35" s="1"/>
  <c r="B642" i="35" s="1"/>
  <c r="B643" i="35" s="1"/>
  <c r="B644" i="35" s="1"/>
  <c r="B645" i="35" s="1"/>
  <c r="B646" i="35" s="1"/>
  <c r="B647" i="35" s="1"/>
  <c r="B648" i="35" s="1"/>
  <c r="B649" i="35" s="1"/>
  <c r="B650" i="35" s="1"/>
  <c r="B651" i="35" s="1"/>
  <c r="B652" i="35" s="1"/>
  <c r="B653" i="35" s="1"/>
  <c r="B654" i="35" s="1"/>
  <c r="B655" i="35" s="1"/>
  <c r="B656" i="35" s="1"/>
  <c r="B657" i="35" s="1"/>
  <c r="B658" i="35" s="1"/>
  <c r="B659" i="35" s="1"/>
  <c r="B660" i="35" s="1"/>
  <c r="B661" i="35" s="1"/>
  <c r="B662" i="35" s="1"/>
  <c r="B663" i="35" s="1"/>
  <c r="B664" i="35" s="1"/>
  <c r="B665" i="35" s="1"/>
  <c r="B666" i="35" s="1"/>
  <c r="B667" i="35" s="1"/>
  <c r="B668" i="35" s="1"/>
  <c r="B669" i="35" s="1"/>
  <c r="B670" i="35" s="1"/>
  <c r="B671" i="35" s="1"/>
  <c r="B672" i="35" s="1"/>
  <c r="B673" i="35" s="1"/>
  <c r="B674" i="35" s="1"/>
  <c r="B675" i="35" s="1"/>
  <c r="B676" i="35" s="1"/>
  <c r="B677" i="35" s="1"/>
  <c r="B678" i="35" s="1"/>
  <c r="B679" i="35" s="1"/>
  <c r="B680" i="35" s="1"/>
  <c r="B681" i="35" s="1"/>
  <c r="B682" i="35" s="1"/>
  <c r="B683" i="35" s="1"/>
  <c r="B684" i="35" s="1"/>
  <c r="B685" i="35" s="1"/>
  <c r="B686" i="35" s="1"/>
  <c r="B687" i="35" s="1"/>
  <c r="B688" i="35" s="1"/>
  <c r="B689" i="35" s="1"/>
  <c r="B690" i="35" s="1"/>
  <c r="B691" i="35" s="1"/>
  <c r="B692" i="35" s="1"/>
  <c r="B693" i="35" s="1"/>
  <c r="B694" i="35" s="1"/>
  <c r="B695" i="35" s="1"/>
  <c r="B696" i="35" s="1"/>
  <c r="B697" i="35" s="1"/>
  <c r="B698" i="35" s="1"/>
  <c r="B699" i="35" s="1"/>
  <c r="B700" i="35" s="1"/>
  <c r="B701" i="35" s="1"/>
  <c r="C2" i="9"/>
  <c r="C3" i="9" s="1"/>
  <c r="B2" i="9"/>
  <c r="B3" i="9" s="1"/>
  <c r="C2" i="8"/>
  <c r="C3" i="8" s="1"/>
  <c r="B2" i="8"/>
  <c r="B3" i="8" s="1"/>
  <c r="P4" i="31"/>
  <c r="P5" i="31"/>
  <c r="P6" i="31" s="1"/>
  <c r="P7" i="31" s="1"/>
  <c r="P8" i="31" s="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P19" i="31" s="1"/>
  <c r="P20" i="31" s="1"/>
  <c r="P21" i="31" s="1"/>
  <c r="P22" i="31" s="1"/>
  <c r="P23" i="31" s="1"/>
  <c r="P24" i="31" s="1"/>
  <c r="P25" i="31" s="1"/>
  <c r="P26" i="31" s="1"/>
  <c r="P27" i="31" s="1"/>
  <c r="P28" i="31" s="1"/>
  <c r="P29" i="31" s="1"/>
  <c r="P30" i="31" s="1"/>
  <c r="P31" i="31" s="1"/>
  <c r="P32" i="31" s="1"/>
  <c r="P33" i="31" s="1"/>
  <c r="P34" i="31" s="1"/>
  <c r="P35" i="31" s="1"/>
  <c r="P36" i="31" s="1"/>
  <c r="P37" i="31" s="1"/>
  <c r="P38" i="31" s="1"/>
  <c r="P39" i="31" s="1"/>
  <c r="P40" i="31" s="1"/>
  <c r="P41" i="31" s="1"/>
  <c r="P42" i="31" s="1"/>
  <c r="P43" i="31" s="1"/>
  <c r="P44" i="31" s="1"/>
  <c r="P45" i="31" s="1"/>
  <c r="P46" i="31" s="1"/>
  <c r="P47" i="31" s="1"/>
  <c r="P48" i="31" s="1"/>
  <c r="P49" i="31" s="1"/>
  <c r="P50" i="31" s="1"/>
  <c r="P51" i="31" s="1"/>
  <c r="P52" i="31" s="1"/>
  <c r="P53" i="31" s="1"/>
  <c r="P54" i="31" s="1"/>
  <c r="P55" i="31" s="1"/>
  <c r="P56" i="31" s="1"/>
  <c r="P57" i="31" s="1"/>
  <c r="P58" i="31" s="1"/>
  <c r="P59" i="31" s="1"/>
  <c r="P60" i="31" s="1"/>
  <c r="P61" i="31" s="1"/>
  <c r="P62" i="31" s="1"/>
  <c r="P63" i="31" s="1"/>
  <c r="P64" i="31" s="1"/>
  <c r="P65" i="31" s="1"/>
  <c r="P66" i="31" s="1"/>
  <c r="C3" i="10"/>
  <c r="A3" i="38"/>
  <c r="A4" i="38" s="1"/>
  <c r="A5" i="38" s="1"/>
  <c r="A6" i="38" s="1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P8" i="37"/>
  <c r="P9" i="37" s="1"/>
  <c r="P10" i="37" s="1"/>
  <c r="P11" i="37" s="1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P25" i="37" s="1"/>
  <c r="P26" i="37" s="1"/>
  <c r="P27" i="37" s="1"/>
  <c r="P28" i="37" s="1"/>
  <c r="P29" i="37" s="1"/>
  <c r="P30" i="37" s="1"/>
  <c r="P31" i="37" s="1"/>
  <c r="P32" i="37" s="1"/>
  <c r="P33" i="37" s="1"/>
  <c r="P34" i="37" s="1"/>
  <c r="P35" i="37" s="1"/>
  <c r="P36" i="37" s="1"/>
  <c r="P37" i="37" s="1"/>
  <c r="P38" i="37" s="1"/>
  <c r="P39" i="37" s="1"/>
  <c r="P40" i="37" s="1"/>
  <c r="P41" i="37" s="1"/>
  <c r="P42" i="37" s="1"/>
  <c r="P43" i="37" s="1"/>
  <c r="P44" i="37" s="1"/>
  <c r="P45" i="37" s="1"/>
  <c r="P46" i="37" s="1"/>
  <c r="P47" i="37" s="1"/>
  <c r="P48" i="37" s="1"/>
  <c r="P49" i="37" s="1"/>
  <c r="P50" i="37" s="1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P61" i="37" s="1"/>
  <c r="P62" i="37" s="1"/>
  <c r="P63" i="37" s="1"/>
  <c r="P64" i="37" s="1"/>
  <c r="P65" i="37" s="1"/>
  <c r="P66" i="37" s="1"/>
  <c r="P67" i="37" s="1"/>
  <c r="P68" i="37" s="1"/>
  <c r="P69" i="37" s="1"/>
  <c r="P70" i="37" s="1"/>
  <c r="P71" i="37" s="1"/>
  <c r="P72" i="37" s="1"/>
  <c r="P73" i="37" s="1"/>
  <c r="P74" i="37" s="1"/>
  <c r="P75" i="37" s="1"/>
  <c r="P76" i="37" s="1"/>
  <c r="P77" i="37" s="1"/>
  <c r="P78" i="37" s="1"/>
  <c r="P79" i="37" s="1"/>
  <c r="P80" i="37" s="1"/>
  <c r="P81" i="37" s="1"/>
  <c r="P82" i="37" s="1"/>
  <c r="P83" i="37" s="1"/>
  <c r="P84" i="37" s="1"/>
  <c r="P85" i="37" s="1"/>
  <c r="P86" i="37" s="1"/>
  <c r="P87" i="37" s="1"/>
  <c r="P88" i="37" s="1"/>
  <c r="P89" i="37" s="1"/>
  <c r="P90" i="37" s="1"/>
  <c r="P91" i="37" s="1"/>
  <c r="P92" i="37" s="1"/>
  <c r="P93" i="37" s="1"/>
  <c r="P94" i="37" s="1"/>
  <c r="P95" i="37" s="1"/>
  <c r="P96" i="37" s="1"/>
  <c r="P97" i="37" s="1"/>
  <c r="P98" i="37" s="1"/>
  <c r="P99" i="37" s="1"/>
  <c r="P100" i="37" s="1"/>
  <c r="P101" i="37" s="1"/>
  <c r="P102" i="37" s="1"/>
  <c r="P103" i="37" s="1"/>
  <c r="P104" i="37" s="1"/>
  <c r="P105" i="37" s="1"/>
  <c r="P106" i="37" s="1"/>
  <c r="P107" i="37" s="1"/>
  <c r="P108" i="37" s="1"/>
  <c r="P109" i="37" s="1"/>
  <c r="P110" i="37" s="1"/>
  <c r="P111" i="37" s="1"/>
  <c r="P112" i="37" s="1"/>
  <c r="P113" i="37" s="1"/>
  <c r="P114" i="37" s="1"/>
  <c r="P115" i="37" s="1"/>
  <c r="P116" i="37" s="1"/>
  <c r="P117" i="37" s="1"/>
  <c r="P118" i="37" s="1"/>
  <c r="P119" i="37" s="1"/>
  <c r="P120" i="37" s="1"/>
  <c r="P121" i="37" s="1"/>
  <c r="P122" i="37" s="1"/>
  <c r="P123" i="37" s="1"/>
  <c r="P124" i="37" s="1"/>
  <c r="P125" i="37" s="1"/>
  <c r="P126" i="37" s="1"/>
  <c r="P127" i="37" s="1"/>
  <c r="P128" i="37" s="1"/>
  <c r="P129" i="37" s="1"/>
  <c r="P130" i="37" s="1"/>
  <c r="P131" i="37" s="1"/>
  <c r="P132" i="37" s="1"/>
  <c r="P133" i="37" s="1"/>
  <c r="P134" i="37" s="1"/>
  <c r="P135" i="37" s="1"/>
  <c r="P136" i="37" s="1"/>
  <c r="P137" i="37" s="1"/>
  <c r="P138" i="37" s="1"/>
  <c r="P139" i="37" s="1"/>
  <c r="P140" i="37" s="1"/>
  <c r="P141" i="37" s="1"/>
  <c r="P142" i="37" s="1"/>
  <c r="P143" i="37" s="1"/>
  <c r="P144" i="37" s="1"/>
  <c r="P145" i="37" s="1"/>
  <c r="P146" i="37" s="1"/>
  <c r="P147" i="37" s="1"/>
  <c r="P148" i="37" s="1"/>
  <c r="P149" i="37" s="1"/>
  <c r="P150" i="37" s="1"/>
  <c r="P151" i="37" s="1"/>
  <c r="P152" i="37" s="1"/>
  <c r="P153" i="37" s="1"/>
  <c r="P154" i="37" s="1"/>
  <c r="P155" i="37" s="1"/>
  <c r="P156" i="37" s="1"/>
  <c r="P157" i="37" s="1"/>
  <c r="P158" i="37" s="1"/>
  <c r="P159" i="37" s="1"/>
  <c r="P160" i="37" s="1"/>
  <c r="P161" i="37" s="1"/>
  <c r="P162" i="37" s="1"/>
  <c r="P163" i="37" s="1"/>
  <c r="P164" i="37" s="1"/>
  <c r="P165" i="37" s="1"/>
  <c r="P166" i="37" s="1"/>
  <c r="P167" i="37" s="1"/>
  <c r="P168" i="37" s="1"/>
  <c r="P169" i="37" s="1"/>
  <c r="P170" i="37" s="1"/>
  <c r="P171" i="37" s="1"/>
  <c r="P172" i="37" s="1"/>
  <c r="P173" i="37" s="1"/>
  <c r="P174" i="37" s="1"/>
  <c r="P175" i="37" s="1"/>
  <c r="P176" i="37" s="1"/>
  <c r="P177" i="37" s="1"/>
  <c r="P178" i="37" s="1"/>
  <c r="P179" i="37" s="1"/>
  <c r="P180" i="37" s="1"/>
  <c r="P181" i="37" s="1"/>
  <c r="P182" i="37" s="1"/>
  <c r="P183" i="37" s="1"/>
  <c r="P184" i="37" s="1"/>
  <c r="P185" i="37" s="1"/>
  <c r="P186" i="37" s="1"/>
  <c r="P187" i="37" s="1"/>
  <c r="P188" i="37" s="1"/>
  <c r="P189" i="37" s="1"/>
  <c r="P190" i="37" s="1"/>
  <c r="P191" i="37" s="1"/>
  <c r="P192" i="37" s="1"/>
  <c r="P193" i="37" s="1"/>
  <c r="P194" i="37" s="1"/>
  <c r="P195" i="37" s="1"/>
  <c r="P196" i="37" s="1"/>
  <c r="P197" i="37" s="1"/>
  <c r="P198" i="37" s="1"/>
  <c r="P199" i="37" s="1"/>
  <c r="P200" i="37" s="1"/>
  <c r="P201" i="37" s="1"/>
  <c r="P202" i="37" s="1"/>
  <c r="P203" i="37" s="1"/>
  <c r="P204" i="37" s="1"/>
  <c r="P205" i="37" s="1"/>
  <c r="P206" i="37" s="1"/>
  <c r="P207" i="37" s="1"/>
  <c r="P208" i="37" s="1"/>
  <c r="P209" i="37" s="1"/>
  <c r="P210" i="37" s="1"/>
  <c r="P211" i="37" s="1"/>
  <c r="P212" i="37" s="1"/>
  <c r="P213" i="37" s="1"/>
  <c r="P214" i="37" s="1"/>
  <c r="P215" i="37" s="1"/>
  <c r="P216" i="37" s="1"/>
  <c r="P217" i="37" s="1"/>
  <c r="P218" i="37" s="1"/>
  <c r="P219" i="37" s="1"/>
  <c r="P220" i="37" s="1"/>
  <c r="P221" i="37" s="1"/>
  <c r="P222" i="37" s="1"/>
  <c r="P223" i="37" s="1"/>
  <c r="P224" i="37" s="1"/>
  <c r="P225" i="37" s="1"/>
  <c r="P226" i="37" s="1"/>
  <c r="P227" i="37" s="1"/>
  <c r="P228" i="37" s="1"/>
  <c r="P229" i="37" s="1"/>
  <c r="P230" i="37" s="1"/>
  <c r="P231" i="37" s="1"/>
  <c r="P232" i="37" s="1"/>
  <c r="P233" i="37" s="1"/>
  <c r="P234" i="37" s="1"/>
  <c r="P235" i="37" s="1"/>
  <c r="P236" i="37" s="1"/>
  <c r="P237" i="37" s="1"/>
  <c r="P238" i="37" s="1"/>
  <c r="P239" i="37" s="1"/>
  <c r="P240" i="37" s="1"/>
  <c r="P241" i="37" s="1"/>
  <c r="P242" i="37" s="1"/>
  <c r="P243" i="37" s="1"/>
  <c r="P244" i="37" s="1"/>
  <c r="P245" i="37" s="1"/>
  <c r="P246" i="37" s="1"/>
  <c r="P247" i="37" s="1"/>
  <c r="P248" i="37" s="1"/>
  <c r="P249" i="37" s="1"/>
  <c r="P250" i="37" s="1"/>
  <c r="P251" i="37" s="1"/>
  <c r="P252" i="37" s="1"/>
  <c r="P253" i="37" s="1"/>
  <c r="P254" i="37" s="1"/>
  <c r="P255" i="37" s="1"/>
  <c r="P256" i="37" s="1"/>
  <c r="P257" i="37" s="1"/>
  <c r="P258" i="37" s="1"/>
  <c r="P259" i="37" s="1"/>
  <c r="P260" i="37" s="1"/>
  <c r="P261" i="37" s="1"/>
  <c r="P262" i="37" s="1"/>
  <c r="P263" i="37" s="1"/>
  <c r="P264" i="37" s="1"/>
  <c r="P265" i="37" s="1"/>
  <c r="P266" i="37" s="1"/>
  <c r="P267" i="37" s="1"/>
  <c r="P268" i="37" s="1"/>
  <c r="P269" i="37" s="1"/>
  <c r="P270" i="37" s="1"/>
  <c r="P271" i="37" s="1"/>
  <c r="P272" i="37" s="1"/>
  <c r="P273" i="37" s="1"/>
  <c r="P274" i="37" s="1"/>
  <c r="P275" i="37" s="1"/>
  <c r="P276" i="37" s="1"/>
  <c r="P277" i="37" s="1"/>
  <c r="P278" i="37" s="1"/>
  <c r="P279" i="37" s="1"/>
  <c r="P280" i="37" s="1"/>
  <c r="P281" i="37" s="1"/>
  <c r="P282" i="37" s="1"/>
  <c r="P283" i="37" s="1"/>
  <c r="P284" i="37" s="1"/>
  <c r="P285" i="37" s="1"/>
  <c r="P286" i="37" s="1"/>
  <c r="P287" i="37" s="1"/>
  <c r="P288" i="37" s="1"/>
  <c r="P289" i="37" s="1"/>
  <c r="P290" i="37" s="1"/>
  <c r="P291" i="37" s="1"/>
  <c r="P292" i="37" s="1"/>
  <c r="P293" i="37" s="1"/>
  <c r="P294" i="37" s="1"/>
  <c r="P295" i="37" s="1"/>
  <c r="P296" i="37" s="1"/>
  <c r="P297" i="37" s="1"/>
  <c r="P298" i="37" s="1"/>
  <c r="P299" i="37" s="1"/>
  <c r="P300" i="37" s="1"/>
  <c r="P301" i="37" s="1"/>
  <c r="P302" i="37" s="1"/>
  <c r="P303" i="37" s="1"/>
  <c r="P304" i="37" s="1"/>
  <c r="P305" i="37" s="1"/>
  <c r="P306" i="37" s="1"/>
  <c r="P307" i="37" s="1"/>
  <c r="P308" i="37" s="1"/>
  <c r="P309" i="37" s="1"/>
  <c r="P310" i="37" s="1"/>
  <c r="P311" i="37" s="1"/>
  <c r="P312" i="37" s="1"/>
  <c r="P313" i="37" s="1"/>
  <c r="P314" i="37" s="1"/>
  <c r="P315" i="37" s="1"/>
  <c r="P316" i="37" s="1"/>
  <c r="P317" i="37" s="1"/>
  <c r="P318" i="37" s="1"/>
  <c r="P319" i="37" s="1"/>
  <c r="P320" i="37" s="1"/>
  <c r="P321" i="37" s="1"/>
  <c r="P322" i="37" s="1"/>
  <c r="P323" i="37" s="1"/>
  <c r="P324" i="37" s="1"/>
  <c r="P325" i="37" s="1"/>
  <c r="P326" i="37" s="1"/>
  <c r="P327" i="37" s="1"/>
  <c r="P328" i="37" s="1"/>
  <c r="P329" i="37" s="1"/>
  <c r="P330" i="37" s="1"/>
  <c r="P331" i="37" s="1"/>
  <c r="P4" i="37"/>
  <c r="P5" i="37" s="1"/>
  <c r="P6" i="37" s="1"/>
  <c r="P7" i="37" s="1"/>
  <c r="A3" i="37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144" i="37" s="1"/>
  <c r="A145" i="37" s="1"/>
  <c r="A146" i="37" s="1"/>
  <c r="A147" i="37" s="1"/>
  <c r="A148" i="37" s="1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59" i="37" s="1"/>
  <c r="A160" i="37" s="1"/>
  <c r="A161" i="37" s="1"/>
  <c r="A162" i="37" s="1"/>
  <c r="A163" i="37" s="1"/>
  <c r="A164" i="37" s="1"/>
  <c r="A165" i="37" s="1"/>
  <c r="A166" i="37" s="1"/>
  <c r="A167" i="37" s="1"/>
  <c r="A168" i="37" s="1"/>
  <c r="A169" i="37" s="1"/>
  <c r="A170" i="37" s="1"/>
  <c r="A171" i="37" s="1"/>
  <c r="A172" i="37" s="1"/>
  <c r="A173" i="37" s="1"/>
  <c r="A174" i="37" s="1"/>
  <c r="A175" i="37" s="1"/>
  <c r="A176" i="37" s="1"/>
  <c r="A177" i="37" s="1"/>
  <c r="A178" i="37" s="1"/>
  <c r="A179" i="37" s="1"/>
  <c r="A180" i="37" s="1"/>
  <c r="A181" i="37" s="1"/>
  <c r="A182" i="37" s="1"/>
  <c r="A183" i="37" s="1"/>
  <c r="A184" i="37" s="1"/>
  <c r="A185" i="37" s="1"/>
  <c r="A186" i="37" s="1"/>
  <c r="A187" i="37" s="1"/>
  <c r="A188" i="37" s="1"/>
  <c r="A189" i="37" s="1"/>
  <c r="A190" i="37" s="1"/>
  <c r="A191" i="37" s="1"/>
  <c r="A192" i="37" s="1"/>
  <c r="A193" i="37" s="1"/>
  <c r="A194" i="37" s="1"/>
  <c r="A195" i="37" s="1"/>
  <c r="A196" i="37" s="1"/>
  <c r="A197" i="37" s="1"/>
  <c r="A198" i="37" s="1"/>
  <c r="A199" i="37" s="1"/>
  <c r="A200" i="37" s="1"/>
  <c r="A201" i="37" s="1"/>
  <c r="A202" i="37" s="1"/>
  <c r="A203" i="37" s="1"/>
  <c r="A204" i="37" s="1"/>
  <c r="A205" i="37" s="1"/>
  <c r="A206" i="37" s="1"/>
  <c r="A207" i="37" s="1"/>
  <c r="A208" i="37" s="1"/>
  <c r="A209" i="37" s="1"/>
  <c r="A210" i="37" s="1"/>
  <c r="A211" i="37" s="1"/>
  <c r="A212" i="37" s="1"/>
  <c r="A213" i="37" s="1"/>
  <c r="A214" i="37" s="1"/>
  <c r="A215" i="37" s="1"/>
  <c r="A216" i="37" s="1"/>
  <c r="A217" i="37" s="1"/>
  <c r="A218" i="37" s="1"/>
  <c r="A219" i="37" s="1"/>
  <c r="A220" i="37" s="1"/>
  <c r="A221" i="37" s="1"/>
  <c r="A222" i="37" s="1"/>
  <c r="A223" i="37" s="1"/>
  <c r="A224" i="37" s="1"/>
  <c r="A225" i="37" s="1"/>
  <c r="A226" i="37" s="1"/>
  <c r="A227" i="37" s="1"/>
  <c r="A228" i="37" s="1"/>
  <c r="A229" i="37" s="1"/>
  <c r="A230" i="37" s="1"/>
  <c r="A231" i="37" s="1"/>
  <c r="A232" i="37" s="1"/>
  <c r="A233" i="37" s="1"/>
  <c r="A234" i="37" s="1"/>
  <c r="A235" i="37" s="1"/>
  <c r="A236" i="37" s="1"/>
  <c r="A237" i="37" s="1"/>
  <c r="A238" i="37" s="1"/>
  <c r="A239" i="37" s="1"/>
  <c r="A240" i="37" s="1"/>
  <c r="A241" i="37" s="1"/>
  <c r="A242" i="37" s="1"/>
  <c r="A243" i="37" s="1"/>
  <c r="A244" i="37" s="1"/>
  <c r="A245" i="37" s="1"/>
  <c r="A246" i="37" s="1"/>
  <c r="A247" i="37" s="1"/>
  <c r="A248" i="37" s="1"/>
  <c r="A249" i="37" s="1"/>
  <c r="A250" i="37" s="1"/>
  <c r="A251" i="37" s="1"/>
  <c r="A252" i="37" s="1"/>
  <c r="A253" i="37" s="1"/>
  <c r="A254" i="37" s="1"/>
  <c r="A255" i="37" s="1"/>
  <c r="A256" i="37" s="1"/>
  <c r="A257" i="37" s="1"/>
  <c r="A258" i="37" s="1"/>
  <c r="A259" i="37" s="1"/>
  <c r="A260" i="37" s="1"/>
  <c r="A261" i="37" s="1"/>
  <c r="A262" i="37" s="1"/>
  <c r="A263" i="37" s="1"/>
  <c r="A264" i="37" s="1"/>
  <c r="A265" i="37" s="1"/>
  <c r="A266" i="37" s="1"/>
  <c r="A267" i="37" s="1"/>
  <c r="A268" i="37" s="1"/>
  <c r="A269" i="37" s="1"/>
  <c r="A270" i="37" s="1"/>
  <c r="A271" i="37" s="1"/>
  <c r="A272" i="37" s="1"/>
  <c r="A273" i="37" s="1"/>
  <c r="A274" i="37" s="1"/>
  <c r="A275" i="37" s="1"/>
  <c r="A276" i="37" s="1"/>
  <c r="A277" i="37" s="1"/>
  <c r="A278" i="37" s="1"/>
  <c r="A279" i="37" s="1"/>
  <c r="A280" i="37" s="1"/>
  <c r="A281" i="37" s="1"/>
  <c r="A282" i="37" s="1"/>
  <c r="A283" i="37" s="1"/>
  <c r="A284" i="37" s="1"/>
  <c r="A285" i="37" s="1"/>
  <c r="A286" i="37" s="1"/>
  <c r="A287" i="37" s="1"/>
  <c r="A288" i="37" s="1"/>
  <c r="A289" i="37" s="1"/>
  <c r="A290" i="37" s="1"/>
  <c r="A291" i="37" s="1"/>
  <c r="A292" i="37" s="1"/>
  <c r="A293" i="37" s="1"/>
  <c r="A294" i="37" s="1"/>
  <c r="A295" i="37" s="1"/>
  <c r="A296" i="37" s="1"/>
  <c r="A297" i="37" s="1"/>
  <c r="A298" i="37" s="1"/>
  <c r="A299" i="37" s="1"/>
  <c r="A300" i="37" s="1"/>
  <c r="A301" i="37" s="1"/>
  <c r="A302" i="37" s="1"/>
  <c r="A303" i="37" s="1"/>
  <c r="A304" i="37" s="1"/>
  <c r="A305" i="37" s="1"/>
  <c r="A306" i="37" s="1"/>
  <c r="A307" i="37" s="1"/>
  <c r="A308" i="37" s="1"/>
  <c r="A309" i="37" s="1"/>
  <c r="A310" i="37" s="1"/>
  <c r="A311" i="37" s="1"/>
  <c r="A312" i="37" s="1"/>
  <c r="A313" i="37" s="1"/>
  <c r="A314" i="37" s="1"/>
  <c r="A315" i="37" s="1"/>
  <c r="A316" i="37" s="1"/>
  <c r="A317" i="37" s="1"/>
  <c r="A318" i="37" s="1"/>
  <c r="A319" i="37" s="1"/>
  <c r="A320" i="37" s="1"/>
  <c r="A321" i="37" s="1"/>
  <c r="A322" i="37" s="1"/>
  <c r="A323" i="37" s="1"/>
  <c r="A324" i="37" s="1"/>
  <c r="A325" i="37" s="1"/>
  <c r="A326" i="37" s="1"/>
  <c r="A327" i="37" s="1"/>
  <c r="A328" i="37" s="1"/>
  <c r="A329" i="37" s="1"/>
  <c r="A330" i="37" s="1"/>
  <c r="A331" i="37" s="1"/>
  <c r="P3" i="37"/>
  <c r="N3" i="37"/>
  <c r="N4" i="37" s="1"/>
  <c r="N5" i="37" s="1"/>
  <c r="N6" i="37" s="1"/>
  <c r="N7" i="37" s="1"/>
  <c r="N8" i="37" s="1"/>
  <c r="N9" i="37" s="1"/>
  <c r="N10" i="37" s="1"/>
  <c r="N11" i="37" s="1"/>
  <c r="N12" i="37" s="1"/>
  <c r="N13" i="37" s="1"/>
  <c r="N14" i="37" s="1"/>
  <c r="N15" i="37" s="1"/>
  <c r="N16" i="37" s="1"/>
  <c r="N17" i="37" s="1"/>
  <c r="N18" i="37" s="1"/>
  <c r="N19" i="37" s="1"/>
  <c r="N20" i="37" s="1"/>
  <c r="N21" i="37" s="1"/>
  <c r="N22" i="37" s="1"/>
  <c r="N23" i="37" s="1"/>
  <c r="N24" i="37" s="1"/>
  <c r="N25" i="37" s="1"/>
  <c r="N26" i="37" s="1"/>
  <c r="N27" i="37" s="1"/>
  <c r="N28" i="37" s="1"/>
  <c r="N29" i="37" s="1"/>
  <c r="N30" i="37" s="1"/>
  <c r="N31" i="37" s="1"/>
  <c r="N32" i="37" s="1"/>
  <c r="N33" i="37" s="1"/>
  <c r="N34" i="37" s="1"/>
  <c r="N35" i="37" s="1"/>
  <c r="N36" i="37" s="1"/>
  <c r="N37" i="37" s="1"/>
  <c r="N38" i="37" s="1"/>
  <c r="N39" i="37" s="1"/>
  <c r="N40" i="37" s="1"/>
  <c r="N41" i="37" s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s="1"/>
  <c r="N63" i="37" s="1"/>
  <c r="N64" i="37" s="1"/>
  <c r="N65" i="37" s="1"/>
  <c r="N66" i="37" s="1"/>
  <c r="N67" i="37" s="1"/>
  <c r="N68" i="37" s="1"/>
  <c r="N69" i="37" s="1"/>
  <c r="N70" i="37" s="1"/>
  <c r="N71" i="37" s="1"/>
  <c r="N72" i="37" s="1"/>
  <c r="N73" i="37" s="1"/>
  <c r="N74" i="37" s="1"/>
  <c r="N75" i="37" s="1"/>
  <c r="N76" i="37" s="1"/>
  <c r="N77" i="37" s="1"/>
  <c r="N78" i="37" s="1"/>
  <c r="N79" i="37" s="1"/>
  <c r="N80" i="37" s="1"/>
  <c r="N81" i="37" s="1"/>
  <c r="N82" i="37" s="1"/>
  <c r="N83" i="37" s="1"/>
  <c r="N84" i="37" s="1"/>
  <c r="N85" i="37" s="1"/>
  <c r="N86" i="37" s="1"/>
  <c r="N87" i="37" s="1"/>
  <c r="N88" i="37" s="1"/>
  <c r="N89" i="37" s="1"/>
  <c r="N90" i="37" s="1"/>
  <c r="N91" i="37" s="1"/>
  <c r="N92" i="37" s="1"/>
  <c r="N93" i="37" s="1"/>
  <c r="N94" i="37" s="1"/>
  <c r="N95" i="37" s="1"/>
  <c r="N96" i="37" s="1"/>
  <c r="N97" i="37" s="1"/>
  <c r="N98" i="37" s="1"/>
  <c r="N99" i="37" s="1"/>
  <c r="N100" i="37" s="1"/>
  <c r="N101" i="37" s="1"/>
  <c r="N102" i="37" s="1"/>
  <c r="N103" i="37" s="1"/>
  <c r="N104" i="37" s="1"/>
  <c r="N105" i="37" s="1"/>
  <c r="N106" i="37" s="1"/>
  <c r="N107" i="37" s="1"/>
  <c r="N108" i="37" s="1"/>
  <c r="N109" i="37" s="1"/>
  <c r="N110" i="37" s="1"/>
  <c r="N111" i="37" s="1"/>
  <c r="N112" i="37" s="1"/>
  <c r="N113" i="37" s="1"/>
  <c r="N114" i="37" s="1"/>
  <c r="N115" i="37" s="1"/>
  <c r="N116" i="37" s="1"/>
  <c r="N117" i="37" s="1"/>
  <c r="N118" i="37" s="1"/>
  <c r="N119" i="37" s="1"/>
  <c r="N120" i="37" s="1"/>
  <c r="N121" i="37" s="1"/>
  <c r="N122" i="37" s="1"/>
  <c r="N123" i="37" s="1"/>
  <c r="N124" i="37" s="1"/>
  <c r="N125" i="37" s="1"/>
  <c r="N126" i="37" s="1"/>
  <c r="N127" i="37" s="1"/>
  <c r="N128" i="37" s="1"/>
  <c r="N129" i="37" s="1"/>
  <c r="N130" i="37" s="1"/>
  <c r="N131" i="37" s="1"/>
  <c r="N132" i="37" s="1"/>
  <c r="N133" i="37" s="1"/>
  <c r="N134" i="37" s="1"/>
  <c r="N135" i="37" s="1"/>
  <c r="N136" i="37" s="1"/>
  <c r="N137" i="37" s="1"/>
  <c r="N138" i="37" s="1"/>
  <c r="N139" i="37" s="1"/>
  <c r="N140" i="37" s="1"/>
  <c r="N141" i="37" s="1"/>
  <c r="N142" i="37" s="1"/>
  <c r="N143" i="37" s="1"/>
  <c r="N144" i="37" s="1"/>
  <c r="N145" i="37" s="1"/>
  <c r="N146" i="37" s="1"/>
  <c r="N147" i="37" s="1"/>
  <c r="N148" i="37" s="1"/>
  <c r="N149" i="37" s="1"/>
  <c r="N150" i="37" s="1"/>
  <c r="N151" i="37" s="1"/>
  <c r="N152" i="37" s="1"/>
  <c r="N153" i="37" s="1"/>
  <c r="N154" i="37" s="1"/>
  <c r="N155" i="37" s="1"/>
  <c r="N156" i="37" s="1"/>
  <c r="N157" i="37" s="1"/>
  <c r="N158" i="37" s="1"/>
  <c r="N159" i="37" s="1"/>
  <c r="N160" i="37" s="1"/>
  <c r="N161" i="37" s="1"/>
  <c r="N162" i="37" s="1"/>
  <c r="N163" i="37" s="1"/>
  <c r="N164" i="37" s="1"/>
  <c r="N165" i="37" s="1"/>
  <c r="N166" i="37" s="1"/>
  <c r="N167" i="37" s="1"/>
  <c r="N168" i="37" s="1"/>
  <c r="N169" i="37" s="1"/>
  <c r="N170" i="37" s="1"/>
  <c r="N171" i="37" s="1"/>
  <c r="N172" i="37" s="1"/>
  <c r="N173" i="37" s="1"/>
  <c r="N174" i="37" s="1"/>
  <c r="N175" i="37" s="1"/>
  <c r="N176" i="37" s="1"/>
  <c r="N177" i="37" s="1"/>
  <c r="N178" i="37" s="1"/>
  <c r="N179" i="37" s="1"/>
  <c r="N180" i="37" s="1"/>
  <c r="N181" i="37" s="1"/>
  <c r="N182" i="37" s="1"/>
  <c r="N183" i="37" s="1"/>
  <c r="N184" i="37" s="1"/>
  <c r="N185" i="37" s="1"/>
  <c r="N186" i="37" s="1"/>
  <c r="N187" i="37" s="1"/>
  <c r="N188" i="37" s="1"/>
  <c r="N189" i="37" s="1"/>
  <c r="N190" i="37" s="1"/>
  <c r="N191" i="37" s="1"/>
  <c r="N192" i="37" s="1"/>
  <c r="N193" i="37" s="1"/>
  <c r="N194" i="37" s="1"/>
  <c r="N195" i="37" s="1"/>
  <c r="N196" i="37" s="1"/>
  <c r="N197" i="37" s="1"/>
  <c r="N198" i="37" s="1"/>
  <c r="N199" i="37" s="1"/>
  <c r="N200" i="37" s="1"/>
  <c r="N201" i="37" s="1"/>
  <c r="N202" i="37" s="1"/>
  <c r="N203" i="37" s="1"/>
  <c r="N204" i="37" s="1"/>
  <c r="N205" i="37" s="1"/>
  <c r="N206" i="37" s="1"/>
  <c r="N207" i="37" s="1"/>
  <c r="N208" i="37" s="1"/>
  <c r="N209" i="37" s="1"/>
  <c r="N210" i="37" s="1"/>
  <c r="N211" i="37" s="1"/>
  <c r="N212" i="37" s="1"/>
  <c r="N213" i="37" s="1"/>
  <c r="N214" i="37" s="1"/>
  <c r="N215" i="37" s="1"/>
  <c r="N216" i="37" s="1"/>
  <c r="N217" i="37" s="1"/>
  <c r="N218" i="37" s="1"/>
  <c r="N219" i="37" s="1"/>
  <c r="N220" i="37" s="1"/>
  <c r="N221" i="37" s="1"/>
  <c r="N222" i="37" s="1"/>
  <c r="N223" i="37" s="1"/>
  <c r="N224" i="37" s="1"/>
  <c r="N225" i="37" s="1"/>
  <c r="N226" i="37" s="1"/>
  <c r="N227" i="37" s="1"/>
  <c r="N228" i="37" s="1"/>
  <c r="N229" i="37" s="1"/>
  <c r="N230" i="37" s="1"/>
  <c r="N231" i="37" s="1"/>
  <c r="N232" i="37" s="1"/>
  <c r="N233" i="37" s="1"/>
  <c r="N234" i="37" s="1"/>
  <c r="N235" i="37" s="1"/>
  <c r="N236" i="37" s="1"/>
  <c r="N237" i="37" s="1"/>
  <c r="N238" i="37" s="1"/>
  <c r="N239" i="37" s="1"/>
  <c r="N240" i="37" s="1"/>
  <c r="N241" i="37" s="1"/>
  <c r="N242" i="37" s="1"/>
  <c r="N243" i="37" s="1"/>
  <c r="N244" i="37" s="1"/>
  <c r="N245" i="37" s="1"/>
  <c r="N246" i="37" s="1"/>
  <c r="N247" i="37" s="1"/>
  <c r="N248" i="37" s="1"/>
  <c r="N249" i="37" s="1"/>
  <c r="N250" i="37" s="1"/>
  <c r="N251" i="37" s="1"/>
  <c r="N252" i="37" s="1"/>
  <c r="N253" i="37" s="1"/>
  <c r="N254" i="37" s="1"/>
  <c r="N255" i="37" s="1"/>
  <c r="N256" i="37" s="1"/>
  <c r="N257" i="37" s="1"/>
  <c r="N258" i="37" s="1"/>
  <c r="N259" i="37" s="1"/>
  <c r="N260" i="37" s="1"/>
  <c r="N261" i="37" s="1"/>
  <c r="N262" i="37" s="1"/>
  <c r="N263" i="37" s="1"/>
  <c r="N264" i="37" s="1"/>
  <c r="N265" i="37" s="1"/>
  <c r="N266" i="37" s="1"/>
  <c r="N267" i="37" s="1"/>
  <c r="N268" i="37" s="1"/>
  <c r="N269" i="37" s="1"/>
  <c r="N270" i="37" s="1"/>
  <c r="N271" i="37" s="1"/>
  <c r="N272" i="37" s="1"/>
  <c r="N273" i="37" s="1"/>
  <c r="N274" i="37" s="1"/>
  <c r="N275" i="37" s="1"/>
  <c r="N276" i="37" s="1"/>
  <c r="N277" i="37" s="1"/>
  <c r="N278" i="37" s="1"/>
  <c r="N279" i="37" s="1"/>
  <c r="N280" i="37" s="1"/>
  <c r="N281" i="37" s="1"/>
  <c r="N282" i="37" s="1"/>
  <c r="N283" i="37" s="1"/>
  <c r="N284" i="37" s="1"/>
  <c r="N285" i="37" s="1"/>
  <c r="N286" i="37" s="1"/>
  <c r="N287" i="37" s="1"/>
  <c r="N288" i="37" s="1"/>
  <c r="N289" i="37" s="1"/>
  <c r="N290" i="37" s="1"/>
  <c r="N291" i="37" s="1"/>
  <c r="N292" i="37" s="1"/>
  <c r="N293" i="37" s="1"/>
  <c r="N294" i="37" s="1"/>
  <c r="N295" i="37" s="1"/>
  <c r="N296" i="37" s="1"/>
  <c r="N297" i="37" s="1"/>
  <c r="N298" i="37" s="1"/>
  <c r="N299" i="37" s="1"/>
  <c r="N300" i="37" s="1"/>
  <c r="N301" i="37" s="1"/>
  <c r="N302" i="37" s="1"/>
  <c r="N303" i="37" s="1"/>
  <c r="N304" i="37" s="1"/>
  <c r="N305" i="37" s="1"/>
  <c r="N306" i="37" s="1"/>
  <c r="N307" i="37" s="1"/>
  <c r="N308" i="37" s="1"/>
  <c r="N309" i="37" s="1"/>
  <c r="N310" i="37" s="1"/>
  <c r="N311" i="37" s="1"/>
  <c r="N312" i="37" s="1"/>
  <c r="N313" i="37" s="1"/>
  <c r="N314" i="37" s="1"/>
  <c r="N315" i="37" s="1"/>
  <c r="N316" i="37" s="1"/>
  <c r="N317" i="37" s="1"/>
  <c r="N318" i="37" s="1"/>
  <c r="N319" i="37" s="1"/>
  <c r="N320" i="37" s="1"/>
  <c r="N321" i="37" s="1"/>
  <c r="N322" i="37" s="1"/>
  <c r="N323" i="37" s="1"/>
  <c r="N324" i="37" s="1"/>
  <c r="N325" i="37" s="1"/>
  <c r="N326" i="37" s="1"/>
  <c r="N327" i="37" s="1"/>
  <c r="N328" i="37" s="1"/>
  <c r="N329" i="37" s="1"/>
  <c r="N330" i="37" s="1"/>
  <c r="N331" i="37" s="1"/>
  <c r="A3" i="36"/>
  <c r="A4" i="36" s="1"/>
  <c r="A5" i="36" s="1"/>
  <c r="A6" i="36" s="1"/>
  <c r="A7" i="36" s="1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A138" i="36" s="1"/>
  <c r="A139" i="36" s="1"/>
  <c r="A140" i="36" s="1"/>
  <c r="A141" i="36" s="1"/>
  <c r="A142" i="36" s="1"/>
  <c r="A143" i="36" s="1"/>
  <c r="A144" i="36" s="1"/>
  <c r="A145" i="36" s="1"/>
  <c r="A146" i="36" s="1"/>
  <c r="A147" i="36" s="1"/>
  <c r="A148" i="36" s="1"/>
  <c r="A149" i="36" s="1"/>
  <c r="A150" i="36" s="1"/>
  <c r="A151" i="36" s="1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C3" i="31" l="1"/>
  <c r="B3" i="31"/>
  <c r="P3" i="36"/>
  <c r="P4" i="36" s="1"/>
  <c r="P5" i="36" s="1"/>
  <c r="P6" i="36" s="1"/>
  <c r="P7" i="36" s="1"/>
  <c r="P8" i="36" s="1"/>
  <c r="P9" i="36" s="1"/>
  <c r="P10" i="36" s="1"/>
  <c r="P11" i="36" s="1"/>
  <c r="P12" i="36" s="1"/>
  <c r="P13" i="36" s="1"/>
  <c r="P14" i="36" s="1"/>
  <c r="P15" i="36" s="1"/>
  <c r="P16" i="36" s="1"/>
  <c r="P17" i="36" s="1"/>
  <c r="P18" i="36" s="1"/>
  <c r="P19" i="36" s="1"/>
  <c r="P20" i="36" s="1"/>
  <c r="P21" i="36" s="1"/>
  <c r="P22" i="36" s="1"/>
  <c r="P23" i="36" s="1"/>
  <c r="P24" i="36" s="1"/>
  <c r="P25" i="36" s="1"/>
  <c r="P26" i="36" s="1"/>
  <c r="P27" i="36" s="1"/>
  <c r="P28" i="36" s="1"/>
  <c r="P29" i="36" s="1"/>
  <c r="P30" i="36" s="1"/>
  <c r="P31" i="36" s="1"/>
  <c r="P32" i="36" s="1"/>
  <c r="P33" i="36" s="1"/>
  <c r="P34" i="36" s="1"/>
  <c r="P35" i="36" s="1"/>
  <c r="P36" i="36" s="1"/>
  <c r="P37" i="36" s="1"/>
  <c r="P38" i="36" s="1"/>
  <c r="P39" i="36" s="1"/>
  <c r="P40" i="36" s="1"/>
  <c r="P41" i="36" s="1"/>
  <c r="P42" i="36" s="1"/>
  <c r="P43" i="36" s="1"/>
  <c r="P44" i="36" s="1"/>
  <c r="P45" i="36" s="1"/>
  <c r="P46" i="36" s="1"/>
  <c r="P47" i="36" s="1"/>
  <c r="P48" i="36" s="1"/>
  <c r="P49" i="36" s="1"/>
  <c r="P50" i="36" s="1"/>
  <c r="P51" i="36" s="1"/>
  <c r="P52" i="36" s="1"/>
  <c r="P53" i="36" s="1"/>
  <c r="P54" i="36" s="1"/>
  <c r="P55" i="36" s="1"/>
  <c r="P56" i="36" s="1"/>
  <c r="P57" i="36" s="1"/>
  <c r="P58" i="36" s="1"/>
  <c r="P59" i="36" s="1"/>
  <c r="P60" i="36" s="1"/>
  <c r="P61" i="36" s="1"/>
  <c r="P62" i="36" s="1"/>
  <c r="P63" i="36" s="1"/>
  <c r="P64" i="36" s="1"/>
  <c r="P65" i="36" s="1"/>
  <c r="P66" i="36" s="1"/>
  <c r="P67" i="36" s="1"/>
  <c r="P68" i="36" s="1"/>
  <c r="P69" i="36" s="1"/>
  <c r="P70" i="36" s="1"/>
  <c r="P71" i="36" s="1"/>
  <c r="P72" i="36" s="1"/>
  <c r="P73" i="36" s="1"/>
  <c r="P74" i="36" s="1"/>
  <c r="P75" i="36" s="1"/>
  <c r="P76" i="36" s="1"/>
  <c r="P77" i="36" s="1"/>
  <c r="P78" i="36" s="1"/>
  <c r="P79" i="36" s="1"/>
  <c r="P80" i="36" s="1"/>
  <c r="P81" i="36" s="1"/>
  <c r="P82" i="36" s="1"/>
  <c r="P83" i="36" s="1"/>
  <c r="P84" i="36" s="1"/>
  <c r="P85" i="36" s="1"/>
  <c r="P86" i="36" s="1"/>
  <c r="P87" i="36" s="1"/>
  <c r="P88" i="36" s="1"/>
  <c r="P89" i="36" s="1"/>
  <c r="P90" i="36" s="1"/>
  <c r="P91" i="36" s="1"/>
  <c r="P92" i="36" s="1"/>
  <c r="P93" i="36" s="1"/>
  <c r="P94" i="36" s="1"/>
  <c r="P95" i="36" s="1"/>
  <c r="P96" i="36" s="1"/>
  <c r="P97" i="36" s="1"/>
  <c r="P98" i="36" s="1"/>
  <c r="P99" i="36" s="1"/>
  <c r="P100" i="36" s="1"/>
  <c r="P101" i="36" s="1"/>
  <c r="P102" i="36" s="1"/>
  <c r="P103" i="36" s="1"/>
  <c r="P104" i="36" s="1"/>
  <c r="P105" i="36" s="1"/>
  <c r="P106" i="36" s="1"/>
  <c r="P107" i="36" s="1"/>
  <c r="P108" i="36" s="1"/>
  <c r="P109" i="36" s="1"/>
  <c r="P110" i="36" s="1"/>
  <c r="P111" i="36" s="1"/>
  <c r="P112" i="36" s="1"/>
  <c r="P113" i="36" s="1"/>
  <c r="P114" i="36" s="1"/>
  <c r="P115" i="36" s="1"/>
  <c r="P116" i="36" s="1"/>
  <c r="P117" i="36" s="1"/>
  <c r="P118" i="36" s="1"/>
  <c r="P119" i="36" s="1"/>
  <c r="P120" i="36" s="1"/>
  <c r="P121" i="36" s="1"/>
  <c r="P122" i="36" s="1"/>
  <c r="P123" i="36" s="1"/>
  <c r="P124" i="36" s="1"/>
  <c r="P125" i="36" s="1"/>
  <c r="P126" i="36" s="1"/>
  <c r="P127" i="36" s="1"/>
  <c r="P128" i="36" s="1"/>
  <c r="P129" i="36" s="1"/>
  <c r="P130" i="36" s="1"/>
  <c r="P131" i="36" s="1"/>
  <c r="P132" i="36" s="1"/>
  <c r="P133" i="36" s="1"/>
  <c r="P134" i="36" s="1"/>
  <c r="P135" i="36" s="1"/>
  <c r="P136" i="36" s="1"/>
  <c r="P137" i="36" s="1"/>
  <c r="P138" i="36" s="1"/>
  <c r="P139" i="36" s="1"/>
  <c r="P140" i="36" s="1"/>
  <c r="P141" i="36" s="1"/>
  <c r="P142" i="36" s="1"/>
  <c r="P143" i="36" s="1"/>
  <c r="P144" i="36" s="1"/>
  <c r="P145" i="36" s="1"/>
  <c r="P146" i="36" s="1"/>
  <c r="P147" i="36" s="1"/>
  <c r="P148" i="36" s="1"/>
  <c r="P149" i="36" s="1"/>
  <c r="P150" i="36" s="1"/>
  <c r="P151" i="36" s="1"/>
  <c r="P152" i="36" s="1"/>
  <c r="P153" i="36" s="1"/>
  <c r="P154" i="36" s="1"/>
  <c r="P155" i="36" s="1"/>
  <c r="P156" i="36" s="1"/>
  <c r="P157" i="36" s="1"/>
  <c r="P158" i="36" s="1"/>
  <c r="P159" i="36" s="1"/>
  <c r="P160" i="36" s="1"/>
  <c r="P161" i="36" s="1"/>
  <c r="P162" i="36" s="1"/>
  <c r="P163" i="36" s="1"/>
  <c r="N3" i="36"/>
  <c r="N4" i="36" s="1"/>
  <c r="N5" i="36" s="1"/>
  <c r="N6" i="36" s="1"/>
  <c r="N7" i="36" s="1"/>
  <c r="N8" i="36" s="1"/>
  <c r="N9" i="36" s="1"/>
  <c r="N10" i="36" s="1"/>
  <c r="N11" i="36" s="1"/>
  <c r="N12" i="36" s="1"/>
  <c r="N13" i="36" s="1"/>
  <c r="N14" i="36" s="1"/>
  <c r="N15" i="36" s="1"/>
  <c r="N16" i="36" s="1"/>
  <c r="N17" i="36" s="1"/>
  <c r="N18" i="36" s="1"/>
  <c r="N19" i="36" s="1"/>
  <c r="N20" i="36" s="1"/>
  <c r="N21" i="36" s="1"/>
  <c r="N22" i="36" s="1"/>
  <c r="N23" i="36" s="1"/>
  <c r="N24" i="36" s="1"/>
  <c r="N25" i="36" s="1"/>
  <c r="N26" i="36" s="1"/>
  <c r="N27" i="36" s="1"/>
  <c r="N28" i="36" s="1"/>
  <c r="N29" i="36" s="1"/>
  <c r="N30" i="36" s="1"/>
  <c r="N31" i="36" s="1"/>
  <c r="N32" i="36" s="1"/>
  <c r="N33" i="36" s="1"/>
  <c r="N34" i="36" s="1"/>
  <c r="N35" i="36" s="1"/>
  <c r="N36" i="36" s="1"/>
  <c r="N37" i="36" s="1"/>
  <c r="N38" i="36" s="1"/>
  <c r="N39" i="36" s="1"/>
  <c r="N40" i="36" s="1"/>
  <c r="N41" i="36" s="1"/>
  <c r="N42" i="36" s="1"/>
  <c r="N43" i="36" s="1"/>
  <c r="N44" i="36" s="1"/>
  <c r="N45" i="36" s="1"/>
  <c r="N46" i="36" s="1"/>
  <c r="N47" i="36" s="1"/>
  <c r="N48" i="36" s="1"/>
  <c r="N49" i="36" s="1"/>
  <c r="N50" i="36" s="1"/>
  <c r="N51" i="36" s="1"/>
  <c r="N52" i="36" s="1"/>
  <c r="N53" i="36" s="1"/>
  <c r="N54" i="36" s="1"/>
  <c r="N55" i="36" s="1"/>
  <c r="N56" i="36" s="1"/>
  <c r="N57" i="36" s="1"/>
  <c r="N58" i="36" s="1"/>
  <c r="N59" i="36" s="1"/>
  <c r="N60" i="36" s="1"/>
  <c r="N61" i="36" s="1"/>
  <c r="N62" i="36" s="1"/>
  <c r="N63" i="36" s="1"/>
  <c r="N64" i="36" s="1"/>
  <c r="N65" i="36" s="1"/>
  <c r="N66" i="36" s="1"/>
  <c r="N67" i="36" s="1"/>
  <c r="N68" i="36" s="1"/>
  <c r="N69" i="36" s="1"/>
  <c r="N70" i="36" s="1"/>
  <c r="N71" i="36" s="1"/>
  <c r="N72" i="36" s="1"/>
  <c r="N73" i="36" s="1"/>
  <c r="N74" i="36" s="1"/>
  <c r="N75" i="36" s="1"/>
  <c r="N76" i="36" s="1"/>
  <c r="N77" i="36" s="1"/>
  <c r="N78" i="36" s="1"/>
  <c r="N79" i="36" s="1"/>
  <c r="N80" i="36" s="1"/>
  <c r="N81" i="36" s="1"/>
  <c r="N82" i="36" s="1"/>
  <c r="N83" i="36" s="1"/>
  <c r="N84" i="36" s="1"/>
  <c r="N85" i="36" s="1"/>
  <c r="N86" i="36" s="1"/>
  <c r="N87" i="36" s="1"/>
  <c r="N88" i="36" s="1"/>
  <c r="N89" i="36" s="1"/>
  <c r="N90" i="36" s="1"/>
  <c r="N91" i="36" s="1"/>
  <c r="N92" i="36" s="1"/>
  <c r="N93" i="36" s="1"/>
  <c r="N94" i="36" s="1"/>
  <c r="N95" i="36" s="1"/>
  <c r="N96" i="36" s="1"/>
  <c r="N97" i="36" s="1"/>
  <c r="N98" i="36" s="1"/>
  <c r="N99" i="36" s="1"/>
  <c r="N100" i="36" s="1"/>
  <c r="N101" i="36" s="1"/>
  <c r="N102" i="36" s="1"/>
  <c r="N103" i="36" s="1"/>
  <c r="N104" i="36" s="1"/>
  <c r="N105" i="36" s="1"/>
  <c r="N106" i="36" s="1"/>
  <c r="N107" i="36" s="1"/>
  <c r="N108" i="36" s="1"/>
  <c r="N109" i="36" s="1"/>
  <c r="N110" i="36" s="1"/>
  <c r="N111" i="36" s="1"/>
  <c r="N112" i="36" s="1"/>
  <c r="N113" i="36" s="1"/>
  <c r="N114" i="36" s="1"/>
  <c r="N115" i="36" s="1"/>
  <c r="N116" i="36" s="1"/>
  <c r="N117" i="36" s="1"/>
  <c r="N118" i="36" s="1"/>
  <c r="N119" i="36" s="1"/>
  <c r="N120" i="36" s="1"/>
  <c r="N121" i="36" s="1"/>
  <c r="N122" i="36" s="1"/>
  <c r="N123" i="36" s="1"/>
  <c r="N124" i="36" s="1"/>
  <c r="N125" i="36" s="1"/>
  <c r="N126" i="36" s="1"/>
  <c r="N127" i="36" s="1"/>
  <c r="N128" i="36" s="1"/>
  <c r="N129" i="36" s="1"/>
  <c r="N130" i="36" s="1"/>
  <c r="N131" i="36" s="1"/>
  <c r="N132" i="36" s="1"/>
  <c r="N133" i="36" s="1"/>
  <c r="N134" i="36" s="1"/>
  <c r="N135" i="36" s="1"/>
  <c r="N136" i="36" s="1"/>
  <c r="N137" i="36" s="1"/>
  <c r="N138" i="36" s="1"/>
  <c r="N139" i="36" s="1"/>
  <c r="N140" i="36" s="1"/>
  <c r="N141" i="36" s="1"/>
  <c r="N142" i="36" s="1"/>
  <c r="N143" i="36" s="1"/>
  <c r="N144" i="36" s="1"/>
  <c r="N145" i="36" s="1"/>
  <c r="N146" i="36" s="1"/>
  <c r="N147" i="36" s="1"/>
  <c r="N148" i="36" s="1"/>
  <c r="N149" i="36" s="1"/>
  <c r="N150" i="36" s="1"/>
  <c r="N151" i="36" s="1"/>
  <c r="N152" i="36" s="1"/>
  <c r="N153" i="36" s="1"/>
  <c r="N154" i="36" s="1"/>
  <c r="N155" i="36" s="1"/>
  <c r="N156" i="36" s="1"/>
  <c r="N157" i="36" s="1"/>
  <c r="N158" i="36" s="1"/>
  <c r="N159" i="36" s="1"/>
  <c r="N160" i="36" s="1"/>
  <c r="N161" i="36" s="1"/>
  <c r="N162" i="36" s="1"/>
  <c r="N163" i="36" s="1"/>
  <c r="C3" i="36"/>
  <c r="C4" i="36" s="1"/>
  <c r="C5" i="36" s="1"/>
  <c r="C6" i="36" s="1"/>
  <c r="C7" i="36" s="1"/>
  <c r="C8" i="36" s="1"/>
  <c r="C9" i="36" s="1"/>
  <c r="C10" i="36" s="1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C33" i="36" s="1"/>
  <c r="C34" i="36" s="1"/>
  <c r="C35" i="36" s="1"/>
  <c r="C36" i="36" s="1"/>
  <c r="C37" i="36" s="1"/>
  <c r="C38" i="36" s="1"/>
  <c r="C39" i="36" s="1"/>
  <c r="C40" i="36" s="1"/>
  <c r="C41" i="36" s="1"/>
  <c r="C42" i="36" s="1"/>
  <c r="C43" i="36" s="1"/>
  <c r="C44" i="36" s="1"/>
  <c r="C45" i="36" s="1"/>
  <c r="C46" i="36" s="1"/>
  <c r="C47" i="36" s="1"/>
  <c r="C48" i="36" s="1"/>
  <c r="C49" i="36" s="1"/>
  <c r="C50" i="36" s="1"/>
  <c r="C51" i="36" s="1"/>
  <c r="C52" i="36" s="1"/>
  <c r="C53" i="36" s="1"/>
  <c r="C54" i="36" s="1"/>
  <c r="C55" i="36" s="1"/>
  <c r="C56" i="36" s="1"/>
  <c r="C57" i="36" s="1"/>
  <c r="C58" i="36" s="1"/>
  <c r="C59" i="36" s="1"/>
  <c r="C60" i="36" s="1"/>
  <c r="C61" i="36" s="1"/>
  <c r="C62" i="36" s="1"/>
  <c r="C63" i="36" s="1"/>
  <c r="C64" i="36" s="1"/>
  <c r="C65" i="36" s="1"/>
  <c r="C66" i="36" s="1"/>
  <c r="C67" i="36" s="1"/>
  <c r="C68" i="36" s="1"/>
  <c r="C69" i="36" s="1"/>
  <c r="C70" i="36" s="1"/>
  <c r="C71" i="36" s="1"/>
  <c r="C72" i="36" s="1"/>
  <c r="C73" i="36" s="1"/>
  <c r="C74" i="36" s="1"/>
  <c r="C75" i="36" s="1"/>
  <c r="C76" i="36" s="1"/>
  <c r="C77" i="36" s="1"/>
  <c r="C78" i="36" s="1"/>
  <c r="C79" i="36" s="1"/>
  <c r="C80" i="36" s="1"/>
  <c r="C81" i="36" s="1"/>
  <c r="C82" i="36" s="1"/>
  <c r="C83" i="36" s="1"/>
  <c r="C84" i="36" s="1"/>
  <c r="C85" i="36" s="1"/>
  <c r="C86" i="36" s="1"/>
  <c r="C87" i="36" s="1"/>
  <c r="C88" i="36" s="1"/>
  <c r="C89" i="36" s="1"/>
  <c r="C90" i="36" s="1"/>
  <c r="C91" i="36" s="1"/>
  <c r="C92" i="36" s="1"/>
  <c r="C93" i="36" s="1"/>
  <c r="C94" i="36" s="1"/>
  <c r="C95" i="36" s="1"/>
  <c r="C96" i="36" s="1"/>
  <c r="C97" i="36" s="1"/>
  <c r="C98" i="36" s="1"/>
  <c r="C99" i="36" s="1"/>
  <c r="C100" i="36" s="1"/>
  <c r="C101" i="36" s="1"/>
  <c r="C102" i="36" s="1"/>
  <c r="C103" i="36" s="1"/>
  <c r="C104" i="36" s="1"/>
  <c r="C105" i="36" s="1"/>
  <c r="C106" i="36" s="1"/>
  <c r="C107" i="36" s="1"/>
  <c r="C108" i="36" s="1"/>
  <c r="C109" i="36" s="1"/>
  <c r="C110" i="36" s="1"/>
  <c r="C111" i="36" s="1"/>
  <c r="C112" i="36" s="1"/>
  <c r="C113" i="36" s="1"/>
  <c r="C114" i="36" s="1"/>
  <c r="C115" i="36" s="1"/>
  <c r="C116" i="36" s="1"/>
  <c r="C117" i="36" s="1"/>
  <c r="C118" i="36" s="1"/>
  <c r="C119" i="36" s="1"/>
  <c r="C120" i="36" s="1"/>
  <c r="C121" i="36" s="1"/>
  <c r="C122" i="36" s="1"/>
  <c r="C123" i="36" s="1"/>
  <c r="C124" i="36" s="1"/>
  <c r="C125" i="36" s="1"/>
  <c r="C126" i="36" s="1"/>
  <c r="C127" i="36" s="1"/>
  <c r="C128" i="36" s="1"/>
  <c r="C129" i="36" s="1"/>
  <c r="C130" i="36" s="1"/>
  <c r="C131" i="36" s="1"/>
  <c r="C132" i="36" s="1"/>
  <c r="C133" i="36" s="1"/>
  <c r="C134" i="36" s="1"/>
  <c r="C135" i="36" s="1"/>
  <c r="C136" i="36" s="1"/>
  <c r="C137" i="36" s="1"/>
  <c r="C138" i="36" s="1"/>
  <c r="C139" i="36" s="1"/>
  <c r="C140" i="36" s="1"/>
  <c r="C141" i="36" s="1"/>
  <c r="C142" i="36" s="1"/>
  <c r="C143" i="36" s="1"/>
  <c r="C144" i="36" s="1"/>
  <c r="C145" i="36" s="1"/>
  <c r="C146" i="36" s="1"/>
  <c r="C147" i="36" s="1"/>
  <c r="C148" i="36" s="1"/>
  <c r="C149" i="36" s="1"/>
  <c r="C150" i="36" s="1"/>
  <c r="C151" i="36" s="1"/>
  <c r="C152" i="36" s="1"/>
  <c r="C153" i="36" s="1"/>
  <c r="C154" i="36" s="1"/>
  <c r="C155" i="36" s="1"/>
  <c r="C156" i="36" s="1"/>
  <c r="C157" i="36" s="1"/>
  <c r="C158" i="36" s="1"/>
  <c r="C159" i="36" s="1"/>
  <c r="C160" i="36" s="1"/>
  <c r="C161" i="36" s="1"/>
  <c r="C162" i="36" s="1"/>
  <c r="C163" i="36" s="1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64" i="36" s="1"/>
  <c r="B65" i="36" s="1"/>
  <c r="B66" i="36" s="1"/>
  <c r="B67" i="36" s="1"/>
  <c r="B68" i="36" s="1"/>
  <c r="B69" i="36" s="1"/>
  <c r="B70" i="36" s="1"/>
  <c r="B71" i="36" s="1"/>
  <c r="B72" i="36" s="1"/>
  <c r="B73" i="36" s="1"/>
  <c r="B74" i="36" s="1"/>
  <c r="B75" i="36" s="1"/>
  <c r="B76" i="36" s="1"/>
  <c r="B77" i="36" s="1"/>
  <c r="B78" i="36" s="1"/>
  <c r="B79" i="36" s="1"/>
  <c r="B80" i="36" s="1"/>
  <c r="B81" i="36" s="1"/>
  <c r="B82" i="36" s="1"/>
  <c r="B83" i="36" s="1"/>
  <c r="B84" i="36" s="1"/>
  <c r="B85" i="36" s="1"/>
  <c r="B86" i="36" s="1"/>
  <c r="B87" i="36" s="1"/>
  <c r="B88" i="36" s="1"/>
  <c r="B89" i="36" s="1"/>
  <c r="B90" i="36" s="1"/>
  <c r="B91" i="36" s="1"/>
  <c r="B92" i="36" s="1"/>
  <c r="B93" i="36" s="1"/>
  <c r="B94" i="36" s="1"/>
  <c r="B95" i="36" s="1"/>
  <c r="B96" i="36" s="1"/>
  <c r="B97" i="36" s="1"/>
  <c r="B98" i="36" s="1"/>
  <c r="B99" i="36" s="1"/>
  <c r="B100" i="36" s="1"/>
  <c r="B101" i="36" s="1"/>
  <c r="B102" i="36" s="1"/>
  <c r="B103" i="36" s="1"/>
  <c r="B104" i="36" s="1"/>
  <c r="B105" i="36" s="1"/>
  <c r="B106" i="36" s="1"/>
  <c r="B107" i="36" s="1"/>
  <c r="B108" i="36" s="1"/>
  <c r="B109" i="36" s="1"/>
  <c r="B110" i="36" s="1"/>
  <c r="B111" i="36" s="1"/>
  <c r="B112" i="36" s="1"/>
  <c r="B113" i="36" s="1"/>
  <c r="B114" i="36" s="1"/>
  <c r="B115" i="36" s="1"/>
  <c r="B116" i="36" s="1"/>
  <c r="B117" i="36" s="1"/>
  <c r="B118" i="36" s="1"/>
  <c r="B119" i="36" s="1"/>
  <c r="B120" i="36" s="1"/>
  <c r="B121" i="36" s="1"/>
  <c r="B122" i="36" s="1"/>
  <c r="B123" i="36" s="1"/>
  <c r="B124" i="36" s="1"/>
  <c r="B125" i="36" s="1"/>
  <c r="B126" i="36" s="1"/>
  <c r="B127" i="36" s="1"/>
  <c r="B128" i="36" s="1"/>
  <c r="B129" i="36" s="1"/>
  <c r="B130" i="36" s="1"/>
  <c r="B131" i="36" s="1"/>
  <c r="B132" i="36" s="1"/>
  <c r="B133" i="36" s="1"/>
  <c r="B134" i="36" s="1"/>
  <c r="B135" i="36" s="1"/>
  <c r="B136" i="36" s="1"/>
  <c r="B137" i="36" s="1"/>
  <c r="B138" i="36" s="1"/>
  <c r="B139" i="36" s="1"/>
  <c r="B140" i="36" s="1"/>
  <c r="B141" i="36" s="1"/>
  <c r="B142" i="36" s="1"/>
  <c r="B143" i="36" s="1"/>
  <c r="B144" i="36" s="1"/>
  <c r="B145" i="36" s="1"/>
  <c r="B146" i="36" s="1"/>
  <c r="B147" i="36" s="1"/>
  <c r="B148" i="36" s="1"/>
  <c r="B149" i="36" s="1"/>
  <c r="B150" i="36" s="1"/>
  <c r="B151" i="36" s="1"/>
  <c r="B152" i="36" s="1"/>
  <c r="B153" i="36" s="1"/>
  <c r="B154" i="36" s="1"/>
  <c r="B155" i="36" s="1"/>
  <c r="B156" i="36" s="1"/>
  <c r="B157" i="36" s="1"/>
  <c r="B158" i="36" s="1"/>
  <c r="B159" i="36" s="1"/>
  <c r="B160" i="36" s="1"/>
  <c r="B161" i="36" s="1"/>
  <c r="B162" i="36" s="1"/>
  <c r="B163" i="36" s="1"/>
  <c r="A3" i="35" l="1"/>
  <c r="A4" i="35" s="1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1" i="35" s="1"/>
  <c r="A112" i="35" s="1"/>
  <c r="A113" i="35" s="1"/>
  <c r="A114" i="35" s="1"/>
  <c r="A115" i="35" s="1"/>
  <c r="A116" i="35" s="1"/>
  <c r="A117" i="35" s="1"/>
  <c r="A118" i="35" s="1"/>
  <c r="A119" i="35" s="1"/>
  <c r="A120" i="35" s="1"/>
  <c r="A121" i="35" s="1"/>
  <c r="A122" i="35" s="1"/>
  <c r="A123" i="35" s="1"/>
  <c r="A124" i="35" s="1"/>
  <c r="A125" i="35" s="1"/>
  <c r="A126" i="35" s="1"/>
  <c r="A127" i="35" s="1"/>
  <c r="A128" i="35" s="1"/>
  <c r="A129" i="35" s="1"/>
  <c r="A130" i="35" s="1"/>
  <c r="A131" i="35" s="1"/>
  <c r="A132" i="35" s="1"/>
  <c r="A133" i="35" s="1"/>
  <c r="A134" i="35" s="1"/>
  <c r="A135" i="35" s="1"/>
  <c r="A136" i="35" s="1"/>
  <c r="A137" i="35" s="1"/>
  <c r="A138" i="35" s="1"/>
  <c r="A139" i="35" s="1"/>
  <c r="A140" i="35" s="1"/>
  <c r="A141" i="35" s="1"/>
  <c r="A142" i="35" s="1"/>
  <c r="A143" i="35" s="1"/>
  <c r="A144" i="35" s="1"/>
  <c r="A145" i="35" s="1"/>
  <c r="A146" i="35" s="1"/>
  <c r="A147" i="35" s="1"/>
  <c r="A148" i="35" s="1"/>
  <c r="A149" i="35" s="1"/>
  <c r="A150" i="35" s="1"/>
  <c r="A151" i="35" s="1"/>
  <c r="A152" i="35" s="1"/>
  <c r="A153" i="35" s="1"/>
  <c r="A154" i="35" s="1"/>
  <c r="A155" i="35" s="1"/>
  <c r="A156" i="35" s="1"/>
  <c r="A157" i="35" s="1"/>
  <c r="A158" i="35" s="1"/>
  <c r="A159" i="35" s="1"/>
  <c r="A160" i="35" s="1"/>
  <c r="A161" i="35" s="1"/>
  <c r="A162" i="35" s="1"/>
  <c r="A163" i="35" s="1"/>
  <c r="A164" i="35" s="1"/>
  <c r="A165" i="35" s="1"/>
  <c r="A166" i="35" s="1"/>
  <c r="A167" i="35" s="1"/>
  <c r="A168" i="35" s="1"/>
  <c r="A169" i="35" s="1"/>
  <c r="A170" i="35" s="1"/>
  <c r="A171" i="35" s="1"/>
  <c r="A172" i="35" s="1"/>
  <c r="A173" i="35" s="1"/>
  <c r="A174" i="35" s="1"/>
  <c r="A175" i="35" s="1"/>
  <c r="A176" i="35" s="1"/>
  <c r="A177" i="35" s="1"/>
  <c r="A178" i="35" s="1"/>
  <c r="A179" i="35" s="1"/>
  <c r="A180" i="35" s="1"/>
  <c r="A181" i="35" s="1"/>
  <c r="A182" i="35" s="1"/>
  <c r="A183" i="35" s="1"/>
  <c r="A184" i="35" s="1"/>
  <c r="A185" i="35" s="1"/>
  <c r="A186" i="35" s="1"/>
  <c r="A187" i="35" s="1"/>
  <c r="A188" i="35" s="1"/>
  <c r="A189" i="35" s="1"/>
  <c r="A190" i="35" s="1"/>
  <c r="A191" i="35" s="1"/>
  <c r="A192" i="35" s="1"/>
  <c r="A193" i="35" s="1"/>
  <c r="A194" i="35" s="1"/>
  <c r="A195" i="35" s="1"/>
  <c r="A196" i="35" s="1"/>
  <c r="A197" i="35" s="1"/>
  <c r="A198" i="35" s="1"/>
  <c r="A199" i="35" s="1"/>
  <c r="A200" i="35" s="1"/>
  <c r="A201" i="35" s="1"/>
  <c r="A202" i="35" s="1"/>
  <c r="A203" i="35" s="1"/>
  <c r="A204" i="35" s="1"/>
  <c r="A205" i="35" s="1"/>
  <c r="A206" i="35" s="1"/>
  <c r="A207" i="35" s="1"/>
  <c r="A208" i="35" s="1"/>
  <c r="A209" i="35" s="1"/>
  <c r="A210" i="35" s="1"/>
  <c r="A211" i="35" s="1"/>
  <c r="A212" i="35" s="1"/>
  <c r="A213" i="35" s="1"/>
  <c r="A214" i="35" s="1"/>
  <c r="A215" i="35" s="1"/>
  <c r="A216" i="35" s="1"/>
  <c r="A217" i="35" s="1"/>
  <c r="A218" i="35" s="1"/>
  <c r="A219" i="35" s="1"/>
  <c r="A220" i="35" s="1"/>
  <c r="A221" i="35" s="1"/>
  <c r="A222" i="35" s="1"/>
  <c r="A223" i="35" s="1"/>
  <c r="A224" i="35" s="1"/>
  <c r="A225" i="35" s="1"/>
  <c r="A226" i="35" s="1"/>
  <c r="A227" i="35" s="1"/>
  <c r="A228" i="35" s="1"/>
  <c r="A229" i="35" s="1"/>
  <c r="A230" i="35" s="1"/>
  <c r="A231" i="35" s="1"/>
  <c r="A232" i="35" s="1"/>
  <c r="A233" i="35" s="1"/>
  <c r="A234" i="35" s="1"/>
  <c r="A235" i="35" s="1"/>
  <c r="A236" i="35" s="1"/>
  <c r="A237" i="35" s="1"/>
  <c r="A238" i="35" s="1"/>
  <c r="A239" i="35" s="1"/>
  <c r="A240" i="35" s="1"/>
  <c r="A241" i="35" s="1"/>
  <c r="A242" i="35" s="1"/>
  <c r="A243" i="35" s="1"/>
  <c r="A244" i="35" s="1"/>
  <c r="A245" i="35" s="1"/>
  <c r="A246" i="35" s="1"/>
  <c r="A247" i="35" s="1"/>
  <c r="A248" i="35" s="1"/>
  <c r="A249" i="35" s="1"/>
  <c r="A250" i="35" s="1"/>
  <c r="A251" i="35" s="1"/>
  <c r="A252" i="35" s="1"/>
  <c r="A253" i="35" s="1"/>
  <c r="A254" i="35" s="1"/>
  <c r="A255" i="35" s="1"/>
  <c r="A256" i="35" s="1"/>
  <c r="A257" i="35" s="1"/>
  <c r="A258" i="35" s="1"/>
  <c r="A259" i="35" s="1"/>
  <c r="A260" i="35" s="1"/>
  <c r="A261" i="35" s="1"/>
  <c r="A262" i="35" s="1"/>
  <c r="A263" i="35" s="1"/>
  <c r="A264" i="35" s="1"/>
  <c r="A265" i="35" s="1"/>
  <c r="A266" i="35" s="1"/>
  <c r="A267" i="35" s="1"/>
  <c r="A268" i="35" s="1"/>
  <c r="A269" i="35" s="1"/>
  <c r="A270" i="35" s="1"/>
  <c r="A271" i="35" s="1"/>
  <c r="A272" i="35" s="1"/>
  <c r="A273" i="35" s="1"/>
  <c r="A274" i="35" s="1"/>
  <c r="A275" i="35" s="1"/>
  <c r="A276" i="35" s="1"/>
  <c r="A277" i="35" s="1"/>
  <c r="A278" i="35" s="1"/>
  <c r="A279" i="35" s="1"/>
  <c r="A280" i="35" s="1"/>
  <c r="A281" i="35" s="1"/>
  <c r="A282" i="35" s="1"/>
  <c r="A283" i="35" s="1"/>
  <c r="A284" i="35" s="1"/>
  <c r="A285" i="35" s="1"/>
  <c r="A286" i="35" s="1"/>
  <c r="A287" i="35" s="1"/>
  <c r="A288" i="35" s="1"/>
  <c r="A289" i="35" s="1"/>
  <c r="A290" i="35" s="1"/>
  <c r="A291" i="35" s="1"/>
  <c r="A292" i="35" s="1"/>
  <c r="A293" i="35" s="1"/>
  <c r="A294" i="35" s="1"/>
  <c r="A295" i="35" s="1"/>
  <c r="A296" i="35" s="1"/>
  <c r="A297" i="35" s="1"/>
  <c r="A298" i="35" s="1"/>
  <c r="A299" i="35" s="1"/>
  <c r="A300" i="35" s="1"/>
  <c r="A301" i="35" s="1"/>
  <c r="A302" i="35" s="1"/>
  <c r="A303" i="35" s="1"/>
  <c r="A304" i="35" s="1"/>
  <c r="A305" i="35" s="1"/>
  <c r="A306" i="35" s="1"/>
  <c r="A307" i="35" s="1"/>
  <c r="A308" i="35" s="1"/>
  <c r="A309" i="35" s="1"/>
  <c r="A310" i="35" s="1"/>
  <c r="A311" i="35" s="1"/>
  <c r="A312" i="35" s="1"/>
  <c r="A313" i="35" s="1"/>
  <c r="A314" i="35" s="1"/>
  <c r="A315" i="35" s="1"/>
  <c r="A316" i="35" s="1"/>
  <c r="A317" i="35" s="1"/>
  <c r="A318" i="35" s="1"/>
  <c r="A319" i="35" s="1"/>
  <c r="A320" i="35" s="1"/>
  <c r="A321" i="35" s="1"/>
  <c r="A322" i="35" s="1"/>
  <c r="A323" i="35" s="1"/>
  <c r="A324" i="35" s="1"/>
  <c r="A325" i="35" s="1"/>
  <c r="A326" i="35" s="1"/>
  <c r="A327" i="35" s="1"/>
  <c r="A328" i="35" s="1"/>
  <c r="A329" i="35" s="1"/>
  <c r="A330" i="35" s="1"/>
  <c r="A331" i="35" s="1"/>
  <c r="A332" i="35" s="1"/>
  <c r="A333" i="35" s="1"/>
  <c r="A334" i="35" s="1"/>
  <c r="A335" i="35" s="1"/>
  <c r="A336" i="35" s="1"/>
  <c r="A337" i="35" s="1"/>
  <c r="A338" i="35" s="1"/>
  <c r="A339" i="35" s="1"/>
  <c r="A340" i="35" s="1"/>
  <c r="A341" i="35" s="1"/>
  <c r="A342" i="35" s="1"/>
  <c r="A343" i="35" s="1"/>
  <c r="A344" i="35" s="1"/>
  <c r="A345" i="35" s="1"/>
  <c r="A346" i="35" s="1"/>
  <c r="A347" i="35" s="1"/>
  <c r="A348" i="35" s="1"/>
  <c r="A349" i="35" s="1"/>
  <c r="A350" i="35" s="1"/>
  <c r="A351" i="35" s="1"/>
  <c r="A352" i="35" s="1"/>
  <c r="A353" i="35" s="1"/>
  <c r="A354" i="35" s="1"/>
  <c r="A355" i="35" s="1"/>
  <c r="A356" i="35" s="1"/>
  <c r="A357" i="35" s="1"/>
  <c r="A358" i="35" s="1"/>
  <c r="A359" i="35" s="1"/>
  <c r="A360" i="35" s="1"/>
  <c r="A361" i="35" s="1"/>
  <c r="A362" i="35" s="1"/>
  <c r="A363" i="35" s="1"/>
  <c r="A364" i="35" s="1"/>
  <c r="A365" i="35" s="1"/>
  <c r="A366" i="35" s="1"/>
  <c r="A367" i="35" s="1"/>
  <c r="A368" i="35" s="1"/>
  <c r="A369" i="35" s="1"/>
  <c r="A370" i="35" s="1"/>
  <c r="A371" i="35" s="1"/>
  <c r="A372" i="35" s="1"/>
  <c r="A373" i="35" s="1"/>
  <c r="A374" i="35" s="1"/>
  <c r="A375" i="35" s="1"/>
  <c r="A376" i="35" s="1"/>
  <c r="A377" i="35" s="1"/>
  <c r="A378" i="35" s="1"/>
  <c r="A379" i="35" s="1"/>
  <c r="A380" i="35" s="1"/>
  <c r="A381" i="35" s="1"/>
  <c r="A382" i="35" s="1"/>
  <c r="A383" i="35" s="1"/>
  <c r="A384" i="35" s="1"/>
  <c r="A385" i="35" s="1"/>
  <c r="A386" i="35" s="1"/>
  <c r="A387" i="35" s="1"/>
  <c r="A388" i="35" s="1"/>
  <c r="A389" i="35" s="1"/>
  <c r="A390" i="35" s="1"/>
  <c r="A391" i="35" s="1"/>
  <c r="A392" i="35" s="1"/>
  <c r="A393" i="35" s="1"/>
  <c r="A394" i="35" s="1"/>
  <c r="A395" i="35" s="1"/>
  <c r="A396" i="35" s="1"/>
  <c r="A397" i="35" s="1"/>
  <c r="A398" i="35" s="1"/>
  <c r="A399" i="35" s="1"/>
  <c r="A400" i="35" s="1"/>
  <c r="A401" i="35" s="1"/>
  <c r="A402" i="35" s="1"/>
  <c r="A403" i="35" s="1"/>
  <c r="A404" i="35" s="1"/>
  <c r="A405" i="35" s="1"/>
  <c r="A406" i="35" s="1"/>
  <c r="A407" i="35" s="1"/>
  <c r="A408" i="35" s="1"/>
  <c r="A409" i="35" s="1"/>
  <c r="A410" i="35" s="1"/>
  <c r="A411" i="35" s="1"/>
  <c r="A412" i="35" s="1"/>
  <c r="A413" i="35" s="1"/>
  <c r="A414" i="35" s="1"/>
  <c r="A415" i="35" s="1"/>
  <c r="A416" i="35" s="1"/>
  <c r="A417" i="35" s="1"/>
  <c r="A418" i="35" s="1"/>
  <c r="A419" i="35" s="1"/>
  <c r="A420" i="35" s="1"/>
  <c r="A421" i="35" s="1"/>
  <c r="A422" i="35" s="1"/>
  <c r="A423" i="35" s="1"/>
  <c r="A424" i="35" s="1"/>
  <c r="A425" i="35" s="1"/>
  <c r="A426" i="35" s="1"/>
  <c r="A427" i="35" s="1"/>
  <c r="A428" i="35" s="1"/>
  <c r="A429" i="35" s="1"/>
  <c r="A430" i="35" s="1"/>
  <c r="A431" i="35" s="1"/>
  <c r="A432" i="35" s="1"/>
  <c r="A433" i="35" s="1"/>
  <c r="A434" i="35" s="1"/>
  <c r="A435" i="35" s="1"/>
  <c r="A436" i="35" s="1"/>
  <c r="A437" i="35" s="1"/>
  <c r="A438" i="35" s="1"/>
  <c r="A439" i="35" s="1"/>
  <c r="A440" i="35" s="1"/>
  <c r="A441" i="35" s="1"/>
  <c r="A442" i="35" s="1"/>
  <c r="A443" i="35" s="1"/>
  <c r="A444" i="35" s="1"/>
  <c r="A445" i="35" s="1"/>
  <c r="A446" i="35" s="1"/>
  <c r="A447" i="35" s="1"/>
  <c r="A448" i="35" s="1"/>
  <c r="A449" i="35" s="1"/>
  <c r="A450" i="35" s="1"/>
  <c r="A451" i="35" s="1"/>
  <c r="A452" i="35" s="1"/>
  <c r="A453" i="35" s="1"/>
  <c r="A454" i="35" s="1"/>
  <c r="A455" i="35" s="1"/>
  <c r="A456" i="35" s="1"/>
  <c r="A457" i="35" s="1"/>
  <c r="A458" i="35" s="1"/>
  <c r="A459" i="35" s="1"/>
  <c r="A460" i="35" s="1"/>
  <c r="A461" i="35" s="1"/>
  <c r="A462" i="35" s="1"/>
  <c r="A463" i="35" s="1"/>
  <c r="A464" i="35" s="1"/>
  <c r="A465" i="35" s="1"/>
  <c r="A466" i="35" s="1"/>
  <c r="A467" i="35" s="1"/>
  <c r="A468" i="35" s="1"/>
  <c r="A469" i="35" s="1"/>
  <c r="A470" i="35" s="1"/>
  <c r="A471" i="35" s="1"/>
  <c r="A472" i="35" s="1"/>
  <c r="A473" i="35" s="1"/>
  <c r="A474" i="35" s="1"/>
  <c r="A475" i="35" s="1"/>
  <c r="A476" i="35" s="1"/>
  <c r="A477" i="35" s="1"/>
  <c r="A478" i="35" s="1"/>
  <c r="A479" i="35" s="1"/>
  <c r="A480" i="35" s="1"/>
  <c r="A481" i="35" s="1"/>
  <c r="A482" i="35" s="1"/>
  <c r="A483" i="35" s="1"/>
  <c r="A484" i="35" s="1"/>
  <c r="A485" i="35" s="1"/>
  <c r="A486" i="35" s="1"/>
  <c r="A487" i="35" s="1"/>
  <c r="A488" i="35" s="1"/>
  <c r="A489" i="35" s="1"/>
  <c r="A490" i="35" s="1"/>
  <c r="A491" i="35" s="1"/>
  <c r="A492" i="35" s="1"/>
  <c r="A493" i="35" s="1"/>
  <c r="A494" i="35" s="1"/>
  <c r="A495" i="35" s="1"/>
  <c r="A496" i="35" s="1"/>
  <c r="A497" i="35" s="1"/>
  <c r="A498" i="35" s="1"/>
  <c r="A499" i="35" s="1"/>
  <c r="A500" i="35" s="1"/>
  <c r="A501" i="35" s="1"/>
  <c r="A502" i="35" s="1"/>
  <c r="A503" i="35" s="1"/>
  <c r="A504" i="35" s="1"/>
  <c r="A505" i="35" s="1"/>
  <c r="A506" i="35" s="1"/>
  <c r="A507" i="35" s="1"/>
  <c r="A508" i="35" s="1"/>
  <c r="A509" i="35" s="1"/>
  <c r="A510" i="35" s="1"/>
  <c r="A511" i="35" s="1"/>
  <c r="A512" i="35" s="1"/>
  <c r="A513" i="35" s="1"/>
  <c r="A514" i="35" s="1"/>
  <c r="A515" i="35" s="1"/>
  <c r="A516" i="35" s="1"/>
  <c r="A517" i="35" s="1"/>
  <c r="A518" i="35" s="1"/>
  <c r="A519" i="35" s="1"/>
  <c r="A520" i="35" s="1"/>
  <c r="A521" i="35" s="1"/>
  <c r="A522" i="35" s="1"/>
  <c r="A523" i="35" s="1"/>
  <c r="A524" i="35" s="1"/>
  <c r="A525" i="35" s="1"/>
  <c r="A526" i="35" s="1"/>
  <c r="A527" i="35" s="1"/>
  <c r="A528" i="35" s="1"/>
  <c r="A529" i="35" s="1"/>
  <c r="A530" i="35" s="1"/>
  <c r="A531" i="35" s="1"/>
  <c r="A532" i="35" s="1"/>
  <c r="A533" i="35" s="1"/>
  <c r="A534" i="35" s="1"/>
  <c r="A535" i="35" s="1"/>
  <c r="A536" i="35" s="1"/>
  <c r="A537" i="35" s="1"/>
  <c r="A538" i="35" s="1"/>
  <c r="A539" i="35" s="1"/>
  <c r="A540" i="35" s="1"/>
  <c r="A541" i="35" s="1"/>
  <c r="A542" i="35" s="1"/>
  <c r="A543" i="35" s="1"/>
  <c r="A544" i="35" s="1"/>
  <c r="A545" i="35" s="1"/>
  <c r="A546" i="35" s="1"/>
  <c r="A547" i="35" s="1"/>
  <c r="A548" i="35" s="1"/>
  <c r="A549" i="35" s="1"/>
  <c r="A550" i="35" s="1"/>
  <c r="A551" i="35" s="1"/>
  <c r="A552" i="35" s="1"/>
  <c r="A553" i="35" s="1"/>
  <c r="A554" i="35" s="1"/>
  <c r="A555" i="35" s="1"/>
  <c r="A556" i="35" s="1"/>
  <c r="A557" i="35" s="1"/>
  <c r="A558" i="35" s="1"/>
  <c r="A559" i="35" s="1"/>
  <c r="A560" i="35" s="1"/>
  <c r="A561" i="35" s="1"/>
  <c r="A562" i="35" s="1"/>
  <c r="A563" i="35" s="1"/>
  <c r="A564" i="35" s="1"/>
  <c r="A565" i="35" s="1"/>
  <c r="A566" i="35" s="1"/>
  <c r="A567" i="35" s="1"/>
  <c r="A568" i="35" s="1"/>
  <c r="A569" i="35" s="1"/>
  <c r="A570" i="35" s="1"/>
  <c r="A571" i="35" s="1"/>
  <c r="A572" i="35" s="1"/>
  <c r="A573" i="35" s="1"/>
  <c r="A574" i="35" s="1"/>
  <c r="A575" i="35" s="1"/>
  <c r="A576" i="35" s="1"/>
  <c r="A577" i="35" s="1"/>
  <c r="A578" i="35" s="1"/>
  <c r="A579" i="35" s="1"/>
  <c r="A580" i="35" s="1"/>
  <c r="A581" i="35" s="1"/>
  <c r="A582" i="35" s="1"/>
  <c r="A583" i="35" s="1"/>
  <c r="A584" i="35" s="1"/>
  <c r="A585" i="35" s="1"/>
  <c r="A586" i="35" s="1"/>
  <c r="A587" i="35" s="1"/>
  <c r="A588" i="35" s="1"/>
  <c r="A589" i="35" s="1"/>
  <c r="A590" i="35" s="1"/>
  <c r="A591" i="35" s="1"/>
  <c r="A592" i="35" s="1"/>
  <c r="A593" i="35" s="1"/>
  <c r="A594" i="35" s="1"/>
  <c r="A595" i="35" s="1"/>
  <c r="A596" i="35" s="1"/>
  <c r="A597" i="35" s="1"/>
  <c r="A598" i="35" s="1"/>
  <c r="A599" i="35" s="1"/>
  <c r="A600" i="35" s="1"/>
  <c r="A601" i="35" s="1"/>
  <c r="A602" i="35" s="1"/>
  <c r="A603" i="35" s="1"/>
  <c r="A604" i="35" s="1"/>
  <c r="A605" i="35" s="1"/>
  <c r="A606" i="35" s="1"/>
  <c r="A607" i="35" s="1"/>
  <c r="A608" i="35" s="1"/>
  <c r="A609" i="35" s="1"/>
  <c r="A610" i="35" s="1"/>
  <c r="A611" i="35" s="1"/>
  <c r="A612" i="35" s="1"/>
  <c r="A613" i="35" s="1"/>
  <c r="A614" i="35" s="1"/>
  <c r="A615" i="35" s="1"/>
  <c r="A616" i="35" s="1"/>
  <c r="A617" i="35" s="1"/>
  <c r="A618" i="35" s="1"/>
  <c r="A619" i="35" s="1"/>
  <c r="A620" i="35" s="1"/>
  <c r="A621" i="35" s="1"/>
  <c r="A622" i="35" s="1"/>
  <c r="A623" i="35" s="1"/>
  <c r="A624" i="35" s="1"/>
  <c r="A625" i="35" s="1"/>
  <c r="A626" i="35" s="1"/>
  <c r="A627" i="35" s="1"/>
  <c r="A628" i="35" s="1"/>
  <c r="A629" i="35" s="1"/>
  <c r="A630" i="35" s="1"/>
  <c r="A631" i="35" s="1"/>
  <c r="A632" i="35" s="1"/>
  <c r="A633" i="35" s="1"/>
  <c r="A634" i="35" s="1"/>
  <c r="A635" i="35" s="1"/>
  <c r="A636" i="35" s="1"/>
  <c r="A637" i="35" s="1"/>
  <c r="A638" i="35" s="1"/>
  <c r="A639" i="35" s="1"/>
  <c r="A640" i="35" s="1"/>
  <c r="A641" i="35" s="1"/>
  <c r="A642" i="35" s="1"/>
  <c r="A643" i="35" s="1"/>
  <c r="A644" i="35" s="1"/>
  <c r="A645" i="35" s="1"/>
  <c r="A646" i="35" s="1"/>
  <c r="A647" i="35" s="1"/>
  <c r="A648" i="35" s="1"/>
  <c r="A649" i="35" s="1"/>
  <c r="A650" i="35" s="1"/>
  <c r="A651" i="35" s="1"/>
  <c r="A652" i="35" s="1"/>
  <c r="A653" i="35" s="1"/>
  <c r="A654" i="35" s="1"/>
  <c r="A655" i="35" s="1"/>
  <c r="A656" i="35" s="1"/>
  <c r="A657" i="35" s="1"/>
  <c r="A658" i="35" s="1"/>
  <c r="A659" i="35" s="1"/>
  <c r="A660" i="35" s="1"/>
  <c r="A661" i="35" s="1"/>
  <c r="A662" i="35" s="1"/>
  <c r="A663" i="35" s="1"/>
  <c r="A664" i="35" s="1"/>
  <c r="A665" i="35" s="1"/>
  <c r="A666" i="35" s="1"/>
  <c r="A667" i="35" s="1"/>
  <c r="A668" i="35" s="1"/>
  <c r="A669" i="35" s="1"/>
  <c r="A670" i="35" s="1"/>
  <c r="A671" i="35" s="1"/>
  <c r="A672" i="35" s="1"/>
  <c r="A673" i="35" s="1"/>
  <c r="A674" i="35" s="1"/>
  <c r="A675" i="35" s="1"/>
  <c r="A676" i="35" s="1"/>
  <c r="A677" i="35" s="1"/>
  <c r="A678" i="35" s="1"/>
  <c r="A679" i="35" s="1"/>
  <c r="A680" i="35" s="1"/>
  <c r="A681" i="35" s="1"/>
  <c r="A682" i="35" s="1"/>
  <c r="A683" i="35" s="1"/>
  <c r="A684" i="35" s="1"/>
  <c r="A685" i="35" s="1"/>
  <c r="A686" i="35" s="1"/>
  <c r="A687" i="35" s="1"/>
  <c r="A688" i="35" s="1"/>
  <c r="A689" i="35" s="1"/>
  <c r="A690" i="35" s="1"/>
  <c r="A691" i="35" s="1"/>
  <c r="A692" i="35" s="1"/>
  <c r="A693" i="35" s="1"/>
  <c r="A694" i="35" s="1"/>
  <c r="A695" i="35" s="1"/>
  <c r="A696" i="35" s="1"/>
  <c r="A697" i="35" s="1"/>
  <c r="A698" i="35" s="1"/>
  <c r="A699" i="35" s="1"/>
  <c r="A700" i="35" s="1"/>
  <c r="A701" i="35" s="1"/>
  <c r="N3" i="35"/>
  <c r="N4" i="35" s="1"/>
  <c r="N5" i="35" s="1"/>
  <c r="N6" i="35" s="1"/>
  <c r="N7" i="35" s="1"/>
  <c r="N8" i="35" s="1"/>
  <c r="N9" i="35" s="1"/>
  <c r="N10" i="35" s="1"/>
  <c r="N11" i="35" s="1"/>
  <c r="N12" i="35" s="1"/>
  <c r="N14" i="35" s="1"/>
  <c r="N15" i="35" s="1"/>
  <c r="N16" i="35" s="1"/>
  <c r="N17" i="35" s="1"/>
  <c r="N18" i="35" s="1"/>
  <c r="N19" i="35" s="1"/>
  <c r="N20" i="35" s="1"/>
  <c r="N21" i="35" s="1"/>
  <c r="N22" i="35" s="1"/>
  <c r="N23" i="35" s="1"/>
  <c r="N24" i="35" s="1"/>
  <c r="N25" i="35" s="1"/>
  <c r="N26" i="35" s="1"/>
  <c r="N27" i="35" s="1"/>
  <c r="N28" i="35" s="1"/>
  <c r="N29" i="35" s="1"/>
  <c r="N30" i="35" s="1"/>
  <c r="N31" i="35" s="1"/>
  <c r="N32" i="35" s="1"/>
  <c r="N33" i="35" s="1"/>
  <c r="N34" i="35" s="1"/>
  <c r="N35" i="35" s="1"/>
  <c r="N36" i="35" s="1"/>
  <c r="N37" i="35" s="1"/>
  <c r="N38" i="35" s="1"/>
  <c r="N39" i="35" s="1"/>
  <c r="N40" i="35" s="1"/>
  <c r="N41" i="35" s="1"/>
  <c r="N42" i="35" s="1"/>
  <c r="N43" i="35" s="1"/>
  <c r="N44" i="35" s="1"/>
  <c r="N45" i="35" s="1"/>
  <c r="N46" i="35" s="1"/>
  <c r="N47" i="35" s="1"/>
  <c r="N48" i="35" s="1"/>
  <c r="N49" i="35" s="1"/>
  <c r="N50" i="35" s="1"/>
  <c r="N51" i="35" s="1"/>
  <c r="N52" i="35" s="1"/>
  <c r="N53" i="35" s="1"/>
  <c r="N54" i="35" s="1"/>
  <c r="N55" i="35" s="1"/>
  <c r="N56" i="35" s="1"/>
  <c r="N57" i="35" s="1"/>
  <c r="N58" i="35" s="1"/>
  <c r="N59" i="35" s="1"/>
  <c r="N60" i="35" s="1"/>
  <c r="N61" i="35" s="1"/>
  <c r="N62" i="35" s="1"/>
  <c r="N63" i="35" s="1"/>
  <c r="N64" i="35" s="1"/>
  <c r="N65" i="35" s="1"/>
  <c r="N66" i="35" s="1"/>
  <c r="N67" i="35" s="1"/>
  <c r="N68" i="35" s="1"/>
  <c r="N69" i="35" s="1"/>
  <c r="N70" i="35" s="1"/>
  <c r="N71" i="35" s="1"/>
  <c r="N72" i="35" s="1"/>
  <c r="N73" i="35" s="1"/>
  <c r="N74" i="35" s="1"/>
  <c r="N75" i="35" s="1"/>
  <c r="N76" i="35" s="1"/>
  <c r="N77" i="35" s="1"/>
  <c r="N78" i="35" s="1"/>
  <c r="N79" i="35" s="1"/>
  <c r="N80" i="35" s="1"/>
  <c r="N81" i="35" s="1"/>
  <c r="N82" i="35" s="1"/>
  <c r="N83" i="35" s="1"/>
  <c r="N84" i="35" s="1"/>
  <c r="N85" i="35" s="1"/>
  <c r="N86" i="35" s="1"/>
  <c r="N87" i="35" s="1"/>
  <c r="N88" i="35" s="1"/>
  <c r="N89" i="35" s="1"/>
  <c r="N90" i="35" s="1"/>
  <c r="N91" i="35" s="1"/>
  <c r="N92" i="35" s="1"/>
  <c r="N93" i="35" s="1"/>
  <c r="N94" i="35" s="1"/>
  <c r="N95" i="35" s="1"/>
  <c r="N96" i="35" s="1"/>
  <c r="N97" i="35" s="1"/>
  <c r="N98" i="35" s="1"/>
  <c r="N99" i="35" s="1"/>
  <c r="N100" i="35" s="1"/>
  <c r="N101" i="35" s="1"/>
  <c r="N102" i="35" s="1"/>
  <c r="N103" i="35" s="1"/>
  <c r="N104" i="35" s="1"/>
  <c r="N105" i="35" s="1"/>
  <c r="N106" i="35" s="1"/>
  <c r="N107" i="35" s="1"/>
  <c r="N108" i="35" s="1"/>
  <c r="N109" i="35" s="1"/>
  <c r="N110" i="35" s="1"/>
  <c r="N111" i="35" s="1"/>
  <c r="N112" i="35" s="1"/>
  <c r="N113" i="35" s="1"/>
  <c r="N114" i="35" s="1"/>
  <c r="N115" i="35" s="1"/>
  <c r="N116" i="35" s="1"/>
  <c r="N117" i="35" s="1"/>
  <c r="N118" i="35" s="1"/>
  <c r="N119" i="35" s="1"/>
  <c r="N120" i="35" s="1"/>
  <c r="N121" i="35" s="1"/>
  <c r="N122" i="35" s="1"/>
  <c r="N123" i="35" s="1"/>
  <c r="N124" i="35" s="1"/>
  <c r="N125" i="35" s="1"/>
  <c r="N126" i="35" s="1"/>
  <c r="N127" i="35" s="1"/>
  <c r="N128" i="35" s="1"/>
  <c r="N129" i="35" s="1"/>
  <c r="N130" i="35" s="1"/>
  <c r="N131" i="35" s="1"/>
  <c r="N132" i="35" s="1"/>
  <c r="N133" i="35" s="1"/>
  <c r="N134" i="35" s="1"/>
  <c r="N135" i="35" s="1"/>
  <c r="N136" i="35" s="1"/>
  <c r="N137" i="35" s="1"/>
  <c r="N138" i="35" s="1"/>
  <c r="N139" i="35" s="1"/>
  <c r="N140" i="35" s="1"/>
  <c r="N141" i="35" s="1"/>
  <c r="N142" i="35" s="1"/>
  <c r="N143" i="35" s="1"/>
  <c r="N144" i="35" s="1"/>
  <c r="N145" i="35" s="1"/>
  <c r="N146" i="35" s="1"/>
  <c r="N147" i="35" s="1"/>
  <c r="N148" i="35" s="1"/>
  <c r="N149" i="35" s="1"/>
  <c r="N150" i="35" s="1"/>
  <c r="N151" i="35" s="1"/>
  <c r="N152" i="35" s="1"/>
  <c r="N153" i="35" s="1"/>
  <c r="N154" i="35" s="1"/>
  <c r="N155" i="35" s="1"/>
  <c r="N156" i="35" s="1"/>
  <c r="N157" i="35" s="1"/>
  <c r="N158" i="35" s="1"/>
  <c r="N159" i="35" s="1"/>
  <c r="N160" i="35" s="1"/>
  <c r="N161" i="35" s="1"/>
  <c r="N162" i="35" s="1"/>
  <c r="N163" i="35" s="1"/>
  <c r="N164" i="35" s="1"/>
  <c r="N165" i="35" s="1"/>
  <c r="N166" i="35" s="1"/>
  <c r="N167" i="35" s="1"/>
  <c r="N168" i="35" s="1"/>
  <c r="N169" i="35" s="1"/>
  <c r="N170" i="35" s="1"/>
  <c r="N171" i="35" s="1"/>
  <c r="N172" i="35" s="1"/>
  <c r="N173" i="35" s="1"/>
  <c r="N174" i="35" s="1"/>
  <c r="N175" i="35" s="1"/>
  <c r="N176" i="35" s="1"/>
  <c r="N177" i="35" s="1"/>
  <c r="N178" i="35" s="1"/>
  <c r="N179" i="35" s="1"/>
  <c r="N180" i="35" s="1"/>
  <c r="N181" i="35" s="1"/>
  <c r="N182" i="35" s="1"/>
  <c r="N183" i="35" s="1"/>
  <c r="N184" i="35" s="1"/>
  <c r="N185" i="35" s="1"/>
  <c r="N186" i="35" s="1"/>
  <c r="N187" i="35" s="1"/>
  <c r="N188" i="35" s="1"/>
  <c r="N189" i="35" s="1"/>
  <c r="N190" i="35" s="1"/>
  <c r="N191" i="35" s="1"/>
  <c r="N192" i="35" s="1"/>
  <c r="N193" i="35" s="1"/>
  <c r="N194" i="35" s="1"/>
  <c r="N195" i="35" s="1"/>
  <c r="N196" i="35" s="1"/>
  <c r="N197" i="35" s="1"/>
  <c r="N198" i="35" s="1"/>
  <c r="N199" i="35" s="1"/>
  <c r="N200" i="35" s="1"/>
  <c r="N201" i="35" s="1"/>
  <c r="N202" i="35" s="1"/>
  <c r="N203" i="35" s="1"/>
  <c r="N204" i="35" s="1"/>
  <c r="N205" i="35" s="1"/>
  <c r="N206" i="35" s="1"/>
  <c r="N207" i="35" s="1"/>
  <c r="N208" i="35" s="1"/>
  <c r="N209" i="35" s="1"/>
  <c r="N210" i="35" s="1"/>
  <c r="N211" i="35" s="1"/>
  <c r="N212" i="35" s="1"/>
  <c r="N213" i="35" s="1"/>
  <c r="N214" i="35" s="1"/>
  <c r="N215" i="35" s="1"/>
  <c r="N216" i="35" s="1"/>
  <c r="N217" i="35" s="1"/>
  <c r="N218" i="35" s="1"/>
  <c r="N219" i="35" s="1"/>
  <c r="N220" i="35" s="1"/>
  <c r="N221" i="35" s="1"/>
  <c r="N222" i="35" s="1"/>
  <c r="N223" i="35" s="1"/>
  <c r="N224" i="35" s="1"/>
  <c r="N225" i="35" s="1"/>
  <c r="N226" i="35" s="1"/>
  <c r="N227" i="35" s="1"/>
  <c r="N228" i="35" s="1"/>
  <c r="N229" i="35" s="1"/>
  <c r="N230" i="35" s="1"/>
  <c r="N231" i="35" s="1"/>
  <c r="N232" i="35" s="1"/>
  <c r="N233" i="35" s="1"/>
  <c r="N234" i="35" s="1"/>
  <c r="N235" i="35" s="1"/>
  <c r="N236" i="35" s="1"/>
  <c r="N237" i="35" s="1"/>
  <c r="N238" i="35" s="1"/>
  <c r="N239" i="35" s="1"/>
  <c r="N240" i="35" s="1"/>
  <c r="N241" i="35" s="1"/>
  <c r="N242" i="35" s="1"/>
  <c r="N243" i="35" s="1"/>
  <c r="N244" i="35" s="1"/>
  <c r="N245" i="35" s="1"/>
  <c r="N246" i="35" s="1"/>
  <c r="N247" i="35" s="1"/>
  <c r="N248" i="35" s="1"/>
  <c r="N249" i="35" s="1"/>
  <c r="N250" i="35" s="1"/>
  <c r="N251" i="35" s="1"/>
  <c r="N252" i="35" s="1"/>
  <c r="N253" i="35" s="1"/>
  <c r="N254" i="35" s="1"/>
  <c r="N255" i="35" s="1"/>
  <c r="N256" i="35" s="1"/>
  <c r="N257" i="35" s="1"/>
  <c r="N258" i="35" s="1"/>
  <c r="N259" i="35" s="1"/>
  <c r="N260" i="35" s="1"/>
  <c r="N261" i="35" s="1"/>
  <c r="N262" i="35" s="1"/>
  <c r="N263" i="35" s="1"/>
  <c r="N264" i="35" s="1"/>
  <c r="N265" i="35" s="1"/>
  <c r="N266" i="35" s="1"/>
  <c r="N267" i="35" s="1"/>
  <c r="N268" i="35" s="1"/>
  <c r="N269" i="35" s="1"/>
  <c r="N270" i="35" s="1"/>
  <c r="N271" i="35" s="1"/>
  <c r="N272" i="35" s="1"/>
  <c r="N273" i="35" s="1"/>
  <c r="N274" i="35" s="1"/>
  <c r="N275" i="35" s="1"/>
  <c r="N276" i="35" s="1"/>
  <c r="N277" i="35" s="1"/>
  <c r="N278" i="35" s="1"/>
  <c r="N279" i="35" s="1"/>
  <c r="N280" i="35" s="1"/>
  <c r="N281" i="35" s="1"/>
  <c r="N282" i="35" s="1"/>
  <c r="N283" i="35" s="1"/>
  <c r="N284" i="35" s="1"/>
  <c r="N285" i="35" s="1"/>
  <c r="N286" i="35" s="1"/>
  <c r="N287" i="35" s="1"/>
  <c r="N288" i="35" s="1"/>
  <c r="N289" i="35" s="1"/>
  <c r="N290" i="35" s="1"/>
  <c r="N291" i="35" s="1"/>
  <c r="N292" i="35" s="1"/>
  <c r="N293" i="35" s="1"/>
  <c r="N294" i="35" s="1"/>
  <c r="N295" i="35" s="1"/>
  <c r="N296" i="35" s="1"/>
  <c r="N297" i="35" s="1"/>
  <c r="N298" i="35" s="1"/>
  <c r="N299" i="35" s="1"/>
  <c r="N300" i="35" s="1"/>
  <c r="N301" i="35" s="1"/>
  <c r="N302" i="35" s="1"/>
  <c r="N303" i="35" s="1"/>
  <c r="N304" i="35" s="1"/>
  <c r="N305" i="35" s="1"/>
  <c r="N306" i="35" s="1"/>
  <c r="N307" i="35" s="1"/>
  <c r="N308" i="35" s="1"/>
  <c r="N309" i="35" s="1"/>
  <c r="N310" i="35" s="1"/>
  <c r="N311" i="35" s="1"/>
  <c r="N312" i="35" s="1"/>
  <c r="N313" i="35" s="1"/>
  <c r="N314" i="35" s="1"/>
  <c r="N315" i="35" s="1"/>
  <c r="N316" i="35" s="1"/>
  <c r="N317" i="35" s="1"/>
  <c r="N318" i="35" s="1"/>
  <c r="N319" i="35" s="1"/>
  <c r="N320" i="35" s="1"/>
  <c r="N321" i="35" s="1"/>
  <c r="N322" i="35" s="1"/>
  <c r="N323" i="35" s="1"/>
  <c r="N324" i="35" s="1"/>
  <c r="N325" i="35" s="1"/>
  <c r="N326" i="35" s="1"/>
  <c r="N327" i="35" s="1"/>
  <c r="N328" i="35" s="1"/>
  <c r="N329" i="35" s="1"/>
  <c r="N330" i="35" s="1"/>
  <c r="N331" i="35" s="1"/>
  <c r="N332" i="35" s="1"/>
  <c r="N333" i="35" s="1"/>
  <c r="N334" i="35" s="1"/>
  <c r="N335" i="35" s="1"/>
  <c r="N336" i="35" s="1"/>
  <c r="N337" i="35" s="1"/>
  <c r="N338" i="35" s="1"/>
  <c r="N339" i="35" s="1"/>
  <c r="N340" i="35" s="1"/>
  <c r="N341" i="35" s="1"/>
  <c r="N342" i="35" s="1"/>
  <c r="N343" i="35" s="1"/>
  <c r="N344" i="35" s="1"/>
  <c r="N345" i="35" s="1"/>
  <c r="N346" i="35" s="1"/>
  <c r="N347" i="35" s="1"/>
  <c r="N348" i="35" s="1"/>
  <c r="N349" i="35" s="1"/>
  <c r="N350" i="35" s="1"/>
  <c r="N351" i="35" s="1"/>
  <c r="N352" i="35" s="1"/>
  <c r="N353" i="35" s="1"/>
  <c r="N354" i="35" s="1"/>
  <c r="N355" i="35" s="1"/>
  <c r="N356" i="35" s="1"/>
  <c r="N357" i="35" s="1"/>
  <c r="N358" i="35" s="1"/>
  <c r="N359" i="35" s="1"/>
  <c r="N360" i="35" s="1"/>
  <c r="N361" i="35" s="1"/>
  <c r="N362" i="35" s="1"/>
  <c r="N363" i="35" s="1"/>
  <c r="N364" i="35" s="1"/>
  <c r="N365" i="35" s="1"/>
  <c r="N366" i="35" s="1"/>
  <c r="N367" i="35" s="1"/>
  <c r="N368" i="35" s="1"/>
  <c r="N369" i="35" s="1"/>
  <c r="N370" i="35" s="1"/>
  <c r="N371" i="35" s="1"/>
  <c r="N372" i="35" s="1"/>
  <c r="N373" i="35" s="1"/>
  <c r="N374" i="35" s="1"/>
  <c r="N375" i="35" s="1"/>
  <c r="N376" i="35" s="1"/>
  <c r="N377" i="35" s="1"/>
  <c r="N378" i="35" s="1"/>
  <c r="N379" i="35" s="1"/>
  <c r="N380" i="35" s="1"/>
  <c r="N381" i="35" s="1"/>
  <c r="N382" i="35" s="1"/>
  <c r="N383" i="35" s="1"/>
  <c r="N384" i="35" s="1"/>
  <c r="N385" i="35" s="1"/>
  <c r="N386" i="35" s="1"/>
  <c r="N387" i="35" s="1"/>
  <c r="N388" i="35" s="1"/>
  <c r="N389" i="35" s="1"/>
  <c r="N390" i="35" s="1"/>
  <c r="N391" i="35" s="1"/>
  <c r="N392" i="35" s="1"/>
  <c r="N393" i="35" s="1"/>
  <c r="N394" i="35" s="1"/>
  <c r="N395" i="35" s="1"/>
  <c r="N396" i="35" s="1"/>
  <c r="N397" i="35" s="1"/>
  <c r="N398" i="35" s="1"/>
  <c r="N399" i="35" s="1"/>
  <c r="N400" i="35" s="1"/>
  <c r="N401" i="35" s="1"/>
  <c r="N402" i="35" s="1"/>
  <c r="N403" i="35" s="1"/>
  <c r="N404" i="35" s="1"/>
  <c r="N405" i="35" s="1"/>
  <c r="N406" i="35" s="1"/>
  <c r="N407" i="35" s="1"/>
  <c r="N408" i="35" s="1"/>
  <c r="N409" i="35" s="1"/>
  <c r="N410" i="35" s="1"/>
  <c r="N411" i="35" s="1"/>
  <c r="N412" i="35" s="1"/>
  <c r="N413" i="35" s="1"/>
  <c r="N414" i="35" s="1"/>
  <c r="N415" i="35" s="1"/>
  <c r="N416" i="35" s="1"/>
  <c r="N417" i="35" s="1"/>
  <c r="N418" i="35" s="1"/>
  <c r="N419" i="35" s="1"/>
  <c r="N420" i="35" s="1"/>
  <c r="N421" i="35" s="1"/>
  <c r="N422" i="35" s="1"/>
  <c r="N423" i="35" s="1"/>
  <c r="N424" i="35" s="1"/>
  <c r="N425" i="35" s="1"/>
  <c r="N426" i="35" s="1"/>
  <c r="N427" i="35" s="1"/>
  <c r="N428" i="35" s="1"/>
  <c r="N429" i="35" s="1"/>
  <c r="N430" i="35" s="1"/>
  <c r="N431" i="35" s="1"/>
  <c r="N432" i="35" s="1"/>
  <c r="N433" i="35" s="1"/>
  <c r="N434" i="35" s="1"/>
  <c r="N435" i="35" s="1"/>
  <c r="N436" i="35" s="1"/>
  <c r="N437" i="35" s="1"/>
  <c r="N438" i="35" s="1"/>
  <c r="N439" i="35" s="1"/>
  <c r="N440" i="35" s="1"/>
  <c r="N441" i="35" s="1"/>
  <c r="N442" i="35" s="1"/>
  <c r="N443" i="35" s="1"/>
  <c r="N444" i="35" s="1"/>
  <c r="N445" i="35" s="1"/>
  <c r="N446" i="35" s="1"/>
  <c r="N447" i="35" s="1"/>
  <c r="N448" i="35" s="1"/>
  <c r="N449" i="35" s="1"/>
  <c r="N450" i="35" s="1"/>
  <c r="N451" i="35" s="1"/>
  <c r="N452" i="35" s="1"/>
  <c r="N453" i="35" s="1"/>
  <c r="N454" i="35" s="1"/>
  <c r="N455" i="35" s="1"/>
  <c r="N456" i="35" s="1"/>
  <c r="N457" i="35" s="1"/>
  <c r="N458" i="35" s="1"/>
  <c r="N459" i="35" s="1"/>
  <c r="N460" i="35" s="1"/>
  <c r="N461" i="35" s="1"/>
  <c r="N462" i="35" s="1"/>
  <c r="N463" i="35" s="1"/>
  <c r="N464" i="35" s="1"/>
  <c r="N465" i="35" s="1"/>
  <c r="N466" i="35" s="1"/>
  <c r="N467" i="35" s="1"/>
  <c r="N468" i="35" s="1"/>
  <c r="N469" i="35" s="1"/>
  <c r="N470" i="35" s="1"/>
  <c r="N471" i="35" s="1"/>
  <c r="N472" i="35" s="1"/>
  <c r="N473" i="35" s="1"/>
  <c r="N474" i="35" s="1"/>
  <c r="N475" i="35" s="1"/>
  <c r="N476" i="35" s="1"/>
  <c r="N477" i="35" s="1"/>
  <c r="N478" i="35" s="1"/>
  <c r="N479" i="35" s="1"/>
  <c r="N480" i="35" s="1"/>
  <c r="N481" i="35" s="1"/>
  <c r="N482" i="35" s="1"/>
  <c r="N483" i="35" s="1"/>
  <c r="N484" i="35" s="1"/>
  <c r="N485" i="35" s="1"/>
  <c r="N486" i="35" s="1"/>
  <c r="N487" i="35" s="1"/>
  <c r="N488" i="35" s="1"/>
  <c r="N489" i="35" s="1"/>
  <c r="N490" i="35" s="1"/>
  <c r="N491" i="35" s="1"/>
  <c r="N492" i="35" s="1"/>
  <c r="N493" i="35" s="1"/>
  <c r="N494" i="35" s="1"/>
  <c r="N495" i="35" s="1"/>
  <c r="N496" i="35" s="1"/>
  <c r="N497" i="35" s="1"/>
  <c r="N498" i="35" s="1"/>
  <c r="N499" i="35" s="1"/>
  <c r="N500" i="35" s="1"/>
  <c r="N501" i="35" s="1"/>
  <c r="N502" i="35" s="1"/>
  <c r="N503" i="35" s="1"/>
  <c r="N504" i="35" s="1"/>
  <c r="N505" i="35" s="1"/>
  <c r="N506" i="35" s="1"/>
  <c r="N507" i="35" s="1"/>
  <c r="N508" i="35" s="1"/>
  <c r="N509" i="35" s="1"/>
  <c r="N510" i="35" s="1"/>
  <c r="N511" i="35" s="1"/>
  <c r="N512" i="35" s="1"/>
  <c r="N513" i="35" s="1"/>
  <c r="N514" i="35" s="1"/>
  <c r="N515" i="35" s="1"/>
  <c r="N516" i="35" s="1"/>
  <c r="N517" i="35" s="1"/>
  <c r="N518" i="35" s="1"/>
  <c r="N519" i="35" s="1"/>
  <c r="N520" i="35" s="1"/>
  <c r="N521" i="35" s="1"/>
  <c r="N522" i="35" s="1"/>
  <c r="N523" i="35" s="1"/>
  <c r="N524" i="35" s="1"/>
  <c r="N525" i="35" s="1"/>
  <c r="N526" i="35" s="1"/>
  <c r="N527" i="35" s="1"/>
  <c r="N528" i="35" s="1"/>
  <c r="N529" i="35" s="1"/>
  <c r="N530" i="35" s="1"/>
  <c r="N531" i="35" s="1"/>
  <c r="N532" i="35" s="1"/>
  <c r="N533" i="35" s="1"/>
  <c r="N534" i="35" s="1"/>
  <c r="N535" i="35" s="1"/>
  <c r="N536" i="35" s="1"/>
  <c r="N537" i="35" s="1"/>
  <c r="N538" i="35" s="1"/>
  <c r="N539" i="35" s="1"/>
  <c r="N540" i="35" s="1"/>
  <c r="N541" i="35" s="1"/>
  <c r="N542" i="35" s="1"/>
  <c r="N543" i="35" s="1"/>
  <c r="N544" i="35" s="1"/>
  <c r="N545" i="35" s="1"/>
  <c r="N546" i="35" s="1"/>
  <c r="N547" i="35" s="1"/>
  <c r="N548" i="35" s="1"/>
  <c r="N549" i="35" s="1"/>
  <c r="N550" i="35" s="1"/>
  <c r="N551" i="35" s="1"/>
  <c r="N552" i="35" s="1"/>
  <c r="N553" i="35" s="1"/>
  <c r="N554" i="35" s="1"/>
  <c r="N555" i="35" s="1"/>
  <c r="N556" i="35" s="1"/>
  <c r="N557" i="35" s="1"/>
  <c r="N558" i="35" s="1"/>
  <c r="N559" i="35" s="1"/>
  <c r="N560" i="35" s="1"/>
  <c r="N561" i="35" s="1"/>
  <c r="N562" i="35" s="1"/>
  <c r="N563" i="35" s="1"/>
  <c r="N564" i="35" s="1"/>
  <c r="N565" i="35" s="1"/>
  <c r="N566" i="35" s="1"/>
  <c r="N567" i="35" s="1"/>
  <c r="N568" i="35" s="1"/>
  <c r="N569" i="35" s="1"/>
  <c r="N570" i="35" s="1"/>
  <c r="N571" i="35" s="1"/>
  <c r="N572" i="35" s="1"/>
  <c r="N573" i="35" s="1"/>
  <c r="N574" i="35" s="1"/>
  <c r="N575" i="35" s="1"/>
  <c r="N576" i="35" s="1"/>
  <c r="N577" i="35" s="1"/>
  <c r="N578" i="35" s="1"/>
  <c r="N579" i="35" s="1"/>
  <c r="N580" i="35" s="1"/>
  <c r="N581" i="35" s="1"/>
  <c r="N582" i="35" s="1"/>
  <c r="N583" i="35" s="1"/>
  <c r="N584" i="35" s="1"/>
  <c r="N585" i="35" s="1"/>
  <c r="N586" i="35" s="1"/>
  <c r="N587" i="35" s="1"/>
  <c r="N588" i="35" s="1"/>
  <c r="N589" i="35" s="1"/>
  <c r="N590" i="35" s="1"/>
  <c r="N591" i="35" s="1"/>
  <c r="N592" i="35" s="1"/>
  <c r="N593" i="35" s="1"/>
  <c r="N594" i="35" s="1"/>
  <c r="N595" i="35" s="1"/>
  <c r="N596" i="35" s="1"/>
  <c r="N597" i="35" s="1"/>
  <c r="N598" i="35" s="1"/>
  <c r="N599" i="35" s="1"/>
  <c r="N600" i="35" s="1"/>
  <c r="N601" i="35" s="1"/>
  <c r="N602" i="35" s="1"/>
  <c r="N603" i="35" s="1"/>
  <c r="N604" i="35" s="1"/>
  <c r="N605" i="35" s="1"/>
  <c r="N606" i="35" s="1"/>
  <c r="N607" i="35" s="1"/>
  <c r="N608" i="35" s="1"/>
  <c r="N609" i="35" s="1"/>
  <c r="N610" i="35" s="1"/>
  <c r="N611" i="35" s="1"/>
  <c r="N612" i="35" s="1"/>
  <c r="N613" i="35" s="1"/>
  <c r="N614" i="35" s="1"/>
  <c r="N615" i="35" s="1"/>
  <c r="N616" i="35" s="1"/>
  <c r="N617" i="35" s="1"/>
  <c r="N618" i="35" s="1"/>
  <c r="N619" i="35" s="1"/>
  <c r="N620" i="35" s="1"/>
  <c r="N621" i="35" s="1"/>
  <c r="N622" i="35" s="1"/>
  <c r="N623" i="35" s="1"/>
  <c r="N624" i="35" s="1"/>
  <c r="N625" i="35" s="1"/>
  <c r="N626" i="35" s="1"/>
  <c r="N627" i="35" s="1"/>
  <c r="N628" i="35" s="1"/>
  <c r="N629" i="35" s="1"/>
  <c r="N630" i="35" s="1"/>
  <c r="N631" i="35" s="1"/>
  <c r="N632" i="35" s="1"/>
  <c r="N633" i="35" s="1"/>
  <c r="N634" i="35" s="1"/>
  <c r="N635" i="35" s="1"/>
  <c r="N636" i="35" s="1"/>
  <c r="N637" i="35" s="1"/>
  <c r="N638" i="35" s="1"/>
  <c r="N639" i="35" s="1"/>
  <c r="N640" i="35" s="1"/>
  <c r="N641" i="35" s="1"/>
  <c r="N642" i="35" s="1"/>
  <c r="N643" i="35" s="1"/>
  <c r="N644" i="35" s="1"/>
  <c r="N645" i="35" s="1"/>
  <c r="N646" i="35" s="1"/>
  <c r="N647" i="35" s="1"/>
  <c r="N648" i="35" s="1"/>
  <c r="N649" i="35" s="1"/>
  <c r="N650" i="35" s="1"/>
  <c r="N651" i="35" s="1"/>
  <c r="N652" i="35" s="1"/>
  <c r="N653" i="35" s="1"/>
  <c r="N654" i="35" s="1"/>
  <c r="N655" i="35" s="1"/>
  <c r="N656" i="35" s="1"/>
  <c r="N657" i="35" s="1"/>
  <c r="N658" i="35" s="1"/>
  <c r="N659" i="35" s="1"/>
  <c r="N660" i="35" s="1"/>
  <c r="N661" i="35" s="1"/>
  <c r="N662" i="35" s="1"/>
  <c r="N663" i="35" s="1"/>
  <c r="N664" i="35" s="1"/>
  <c r="N665" i="35" s="1"/>
  <c r="N666" i="35" s="1"/>
  <c r="N667" i="35" s="1"/>
  <c r="N668" i="35" s="1"/>
  <c r="N669" i="35" s="1"/>
  <c r="N670" i="35" s="1"/>
  <c r="N671" i="35" s="1"/>
  <c r="N672" i="35" s="1"/>
  <c r="N673" i="35" s="1"/>
  <c r="N674" i="35" s="1"/>
  <c r="N675" i="35" s="1"/>
  <c r="N676" i="35" s="1"/>
  <c r="N677" i="35" s="1"/>
  <c r="N678" i="35" s="1"/>
  <c r="N679" i="35" s="1"/>
  <c r="N680" i="35" s="1"/>
  <c r="N681" i="35" s="1"/>
  <c r="N682" i="35" s="1"/>
  <c r="N683" i="35" s="1"/>
  <c r="N684" i="35" s="1"/>
  <c r="N685" i="35" s="1"/>
  <c r="N686" i="35" s="1"/>
  <c r="N687" i="35" s="1"/>
  <c r="N688" i="35" s="1"/>
  <c r="N689" i="35" s="1"/>
  <c r="N690" i="35" s="1"/>
  <c r="N691" i="35" s="1"/>
  <c r="N692" i="35" s="1"/>
  <c r="N693" i="35" s="1"/>
  <c r="N694" i="35" s="1"/>
  <c r="N695" i="35" s="1"/>
  <c r="N696" i="35" s="1"/>
  <c r="N697" i="35" s="1"/>
  <c r="N698" i="35" s="1"/>
  <c r="N699" i="35" s="1"/>
  <c r="N700" i="35" s="1"/>
  <c r="N701" i="35" s="1"/>
  <c r="P3" i="35"/>
  <c r="P4" i="35" s="1"/>
  <c r="P5" i="35" s="1"/>
  <c r="P6" i="35" s="1"/>
  <c r="P7" i="35" s="1"/>
  <c r="P8" i="35" s="1"/>
  <c r="P9" i="35" s="1"/>
  <c r="P10" i="35" s="1"/>
  <c r="P11" i="35" s="1"/>
  <c r="P12" i="35" s="1"/>
  <c r="P13" i="35" s="1"/>
  <c r="P14" i="35" s="1"/>
  <c r="P15" i="35" s="1"/>
  <c r="P16" i="35" s="1"/>
  <c r="P17" i="35" s="1"/>
  <c r="P18" i="35" s="1"/>
  <c r="P19" i="35" s="1"/>
  <c r="P20" i="35" s="1"/>
  <c r="P21" i="35" s="1"/>
  <c r="P22" i="35" s="1"/>
  <c r="P23" i="35" s="1"/>
  <c r="P24" i="35" s="1"/>
  <c r="P25" i="35" s="1"/>
  <c r="P26" i="35" s="1"/>
  <c r="P27" i="35" s="1"/>
  <c r="P28" i="35" s="1"/>
  <c r="P29" i="35" s="1"/>
  <c r="P30" i="35" s="1"/>
  <c r="P31" i="35" s="1"/>
  <c r="P32" i="35" s="1"/>
  <c r="P33" i="35" s="1"/>
  <c r="P34" i="35" s="1"/>
  <c r="P35" i="35" s="1"/>
  <c r="P36" i="35" s="1"/>
  <c r="P37" i="35" s="1"/>
  <c r="P38" i="35" s="1"/>
  <c r="P39" i="35" s="1"/>
  <c r="P40" i="35" s="1"/>
  <c r="P41" i="35" s="1"/>
  <c r="P42" i="35" s="1"/>
  <c r="P43" i="35" s="1"/>
  <c r="P44" i="35" s="1"/>
  <c r="P45" i="35" s="1"/>
  <c r="P46" i="35" s="1"/>
  <c r="P47" i="35" s="1"/>
  <c r="P48" i="35" s="1"/>
  <c r="P49" i="35" s="1"/>
  <c r="P50" i="35" s="1"/>
  <c r="P51" i="35" s="1"/>
  <c r="P52" i="35" s="1"/>
  <c r="P53" i="35" s="1"/>
  <c r="P54" i="35" s="1"/>
  <c r="P55" i="35" s="1"/>
  <c r="P56" i="35" s="1"/>
  <c r="P57" i="35" s="1"/>
  <c r="P58" i="35" s="1"/>
  <c r="P59" i="35" s="1"/>
  <c r="P60" i="35" s="1"/>
  <c r="P61" i="35" s="1"/>
  <c r="P62" i="35" s="1"/>
  <c r="P63" i="35" s="1"/>
  <c r="P64" i="35" s="1"/>
  <c r="P65" i="35" s="1"/>
  <c r="P66" i="35" s="1"/>
  <c r="P67" i="35" s="1"/>
  <c r="P68" i="35" s="1"/>
  <c r="P69" i="35" s="1"/>
  <c r="P70" i="35" s="1"/>
  <c r="P71" i="35" s="1"/>
  <c r="P72" i="35" s="1"/>
  <c r="P73" i="35" s="1"/>
  <c r="P74" i="35" s="1"/>
  <c r="P75" i="35" s="1"/>
  <c r="P76" i="35" s="1"/>
  <c r="P77" i="35" s="1"/>
  <c r="P78" i="35" s="1"/>
  <c r="P79" i="35" s="1"/>
  <c r="P80" i="35" s="1"/>
  <c r="P81" i="35" s="1"/>
  <c r="P82" i="35" s="1"/>
  <c r="P83" i="35" s="1"/>
  <c r="P84" i="35" s="1"/>
  <c r="P85" i="35" s="1"/>
  <c r="P86" i="35" s="1"/>
  <c r="P87" i="35" s="1"/>
  <c r="P88" i="35" s="1"/>
  <c r="P89" i="35" s="1"/>
  <c r="P90" i="35" s="1"/>
  <c r="P91" i="35" s="1"/>
  <c r="P92" i="35" s="1"/>
  <c r="P93" i="35" s="1"/>
  <c r="P94" i="35" s="1"/>
  <c r="P95" i="35" s="1"/>
  <c r="P96" i="35" s="1"/>
  <c r="P97" i="35" s="1"/>
  <c r="P98" i="35" s="1"/>
  <c r="P99" i="35" s="1"/>
  <c r="P100" i="35" s="1"/>
  <c r="P101" i="35" s="1"/>
  <c r="P102" i="35" s="1"/>
  <c r="P103" i="35" s="1"/>
  <c r="P104" i="35" s="1"/>
  <c r="P105" i="35" s="1"/>
  <c r="P106" i="35" s="1"/>
  <c r="P107" i="35" s="1"/>
  <c r="P108" i="35" s="1"/>
  <c r="P109" i="35" s="1"/>
  <c r="P110" i="35" s="1"/>
  <c r="P111" i="35" s="1"/>
  <c r="P112" i="35" s="1"/>
  <c r="P113" i="35" s="1"/>
  <c r="P114" i="35" s="1"/>
  <c r="P115" i="35" s="1"/>
  <c r="P116" i="35" s="1"/>
  <c r="P117" i="35" s="1"/>
  <c r="P118" i="35" s="1"/>
  <c r="P119" i="35" s="1"/>
  <c r="P120" i="35" s="1"/>
  <c r="P121" i="35" s="1"/>
  <c r="P122" i="35" s="1"/>
  <c r="P123" i="35" s="1"/>
  <c r="P124" i="35" s="1"/>
  <c r="P125" i="35" s="1"/>
  <c r="P126" i="35" s="1"/>
  <c r="P127" i="35" s="1"/>
  <c r="P128" i="35" s="1"/>
  <c r="P129" i="35" s="1"/>
  <c r="P130" i="35" s="1"/>
  <c r="P131" i="35" s="1"/>
  <c r="P132" i="35" s="1"/>
  <c r="P133" i="35" s="1"/>
  <c r="P134" i="35" s="1"/>
  <c r="P135" i="35" s="1"/>
  <c r="P136" i="35" s="1"/>
  <c r="P137" i="35" s="1"/>
  <c r="P138" i="35" s="1"/>
  <c r="P139" i="35" s="1"/>
  <c r="P140" i="35" s="1"/>
  <c r="P141" i="35" s="1"/>
  <c r="P142" i="35" s="1"/>
  <c r="P143" i="35" s="1"/>
  <c r="P144" i="35" s="1"/>
  <c r="P145" i="35" s="1"/>
  <c r="P146" i="35" s="1"/>
  <c r="P147" i="35" s="1"/>
  <c r="P148" i="35" s="1"/>
  <c r="P149" i="35" s="1"/>
  <c r="P150" i="35" s="1"/>
  <c r="P151" i="35" s="1"/>
  <c r="P152" i="35" s="1"/>
  <c r="P153" i="35" s="1"/>
  <c r="P154" i="35" s="1"/>
  <c r="P155" i="35" s="1"/>
  <c r="P156" i="35" s="1"/>
  <c r="P157" i="35" s="1"/>
  <c r="P158" i="35" s="1"/>
  <c r="P159" i="35" s="1"/>
  <c r="P160" i="35" s="1"/>
  <c r="P161" i="35" s="1"/>
  <c r="P162" i="35" s="1"/>
  <c r="P163" i="35" s="1"/>
  <c r="P164" i="35" s="1"/>
  <c r="P165" i="35" s="1"/>
  <c r="P166" i="35" s="1"/>
  <c r="P167" i="35" s="1"/>
  <c r="P168" i="35" s="1"/>
  <c r="P169" i="35" s="1"/>
  <c r="P170" i="35" s="1"/>
  <c r="P171" i="35" s="1"/>
  <c r="P172" i="35" s="1"/>
  <c r="P173" i="35" s="1"/>
  <c r="P174" i="35" s="1"/>
  <c r="P175" i="35" s="1"/>
  <c r="P176" i="35" s="1"/>
  <c r="P177" i="35" s="1"/>
  <c r="P178" i="35" s="1"/>
  <c r="P179" i="35" s="1"/>
  <c r="P180" i="35" s="1"/>
  <c r="P181" i="35" s="1"/>
  <c r="P182" i="35" s="1"/>
  <c r="P183" i="35" s="1"/>
  <c r="P184" i="35" s="1"/>
  <c r="P185" i="35" s="1"/>
  <c r="P186" i="35" s="1"/>
  <c r="P187" i="35" s="1"/>
  <c r="P188" i="35" s="1"/>
  <c r="P189" i="35" s="1"/>
  <c r="P190" i="35" s="1"/>
  <c r="P191" i="35" s="1"/>
  <c r="P192" i="35" s="1"/>
  <c r="P193" i="35" s="1"/>
  <c r="P194" i="35" s="1"/>
  <c r="P195" i="35" s="1"/>
  <c r="P196" i="35" s="1"/>
  <c r="P197" i="35" s="1"/>
  <c r="P198" i="35" s="1"/>
  <c r="P199" i="35" s="1"/>
  <c r="P200" i="35" s="1"/>
  <c r="P201" i="35" s="1"/>
  <c r="P202" i="35" s="1"/>
  <c r="P203" i="35" s="1"/>
  <c r="P204" i="35" s="1"/>
  <c r="P205" i="35" s="1"/>
  <c r="P206" i="35" s="1"/>
  <c r="P207" i="35" s="1"/>
  <c r="P208" i="35" s="1"/>
  <c r="P209" i="35" s="1"/>
  <c r="P210" i="35" s="1"/>
  <c r="P211" i="35" s="1"/>
  <c r="P212" i="35" s="1"/>
  <c r="P213" i="35" s="1"/>
  <c r="P214" i="35" s="1"/>
  <c r="P215" i="35" s="1"/>
  <c r="P216" i="35" s="1"/>
  <c r="P217" i="35" s="1"/>
  <c r="P218" i="35" s="1"/>
  <c r="P219" i="35" s="1"/>
  <c r="P220" i="35" s="1"/>
  <c r="P221" i="35" s="1"/>
  <c r="P222" i="35" s="1"/>
  <c r="P223" i="35" s="1"/>
  <c r="P224" i="35" s="1"/>
  <c r="P225" i="35" s="1"/>
  <c r="P226" i="35" s="1"/>
  <c r="P227" i="35" s="1"/>
  <c r="P228" i="35" s="1"/>
  <c r="P229" i="35" s="1"/>
  <c r="P230" i="35" s="1"/>
  <c r="P231" i="35" s="1"/>
  <c r="P232" i="35" s="1"/>
  <c r="P233" i="35" s="1"/>
  <c r="P234" i="35" s="1"/>
  <c r="P235" i="35" s="1"/>
  <c r="P236" i="35" s="1"/>
  <c r="P237" i="35" s="1"/>
  <c r="P238" i="35" s="1"/>
  <c r="P239" i="35" s="1"/>
  <c r="P240" i="35" s="1"/>
  <c r="P241" i="35" s="1"/>
  <c r="P242" i="35" s="1"/>
  <c r="P243" i="35" s="1"/>
  <c r="P244" i="35" s="1"/>
  <c r="P245" i="35" s="1"/>
  <c r="P246" i="35" s="1"/>
  <c r="P247" i="35" s="1"/>
  <c r="P248" i="35" s="1"/>
  <c r="P249" i="35" s="1"/>
  <c r="P250" i="35" s="1"/>
  <c r="P251" i="35" s="1"/>
  <c r="P252" i="35" s="1"/>
  <c r="P253" i="35" s="1"/>
  <c r="P254" i="35" s="1"/>
  <c r="P255" i="35" s="1"/>
  <c r="P256" i="35" s="1"/>
  <c r="P257" i="35" s="1"/>
  <c r="P258" i="35" s="1"/>
  <c r="P259" i="35" s="1"/>
  <c r="P260" i="35" s="1"/>
  <c r="P261" i="35" s="1"/>
  <c r="P262" i="35" s="1"/>
  <c r="P263" i="35" s="1"/>
  <c r="P264" i="35" s="1"/>
  <c r="P265" i="35" s="1"/>
  <c r="P266" i="35" s="1"/>
  <c r="P267" i="35" s="1"/>
  <c r="P268" i="35" s="1"/>
  <c r="P269" i="35" s="1"/>
  <c r="P270" i="35" s="1"/>
  <c r="P271" i="35" s="1"/>
  <c r="P272" i="35" s="1"/>
  <c r="P273" i="35" s="1"/>
  <c r="P274" i="35" s="1"/>
  <c r="P275" i="35" s="1"/>
  <c r="P276" i="35" s="1"/>
  <c r="P277" i="35" s="1"/>
  <c r="P278" i="35" s="1"/>
  <c r="P279" i="35" s="1"/>
  <c r="P280" i="35" s="1"/>
  <c r="P281" i="35" s="1"/>
  <c r="P282" i="35" s="1"/>
  <c r="P283" i="35" s="1"/>
  <c r="P284" i="35" s="1"/>
  <c r="P285" i="35" s="1"/>
  <c r="P286" i="35" s="1"/>
  <c r="P287" i="35" s="1"/>
  <c r="P288" i="35" s="1"/>
  <c r="P289" i="35" s="1"/>
  <c r="P290" i="35" s="1"/>
  <c r="P291" i="35" s="1"/>
  <c r="P292" i="35" s="1"/>
  <c r="P293" i="35" s="1"/>
  <c r="P294" i="35" s="1"/>
  <c r="P295" i="35" s="1"/>
  <c r="P296" i="35" s="1"/>
  <c r="P297" i="35" s="1"/>
  <c r="P298" i="35" s="1"/>
  <c r="P299" i="35" s="1"/>
  <c r="P300" i="35" s="1"/>
  <c r="P301" i="35" s="1"/>
  <c r="P302" i="35" s="1"/>
  <c r="P303" i="35" s="1"/>
  <c r="P304" i="35" s="1"/>
  <c r="P305" i="35" s="1"/>
  <c r="P306" i="35" s="1"/>
  <c r="P307" i="35" s="1"/>
  <c r="P308" i="35" s="1"/>
  <c r="P309" i="35" s="1"/>
  <c r="P310" i="35" s="1"/>
  <c r="P311" i="35" s="1"/>
  <c r="P312" i="35" s="1"/>
  <c r="P313" i="35" s="1"/>
  <c r="P314" i="35" s="1"/>
  <c r="P315" i="35" s="1"/>
  <c r="P316" i="35" s="1"/>
  <c r="P317" i="35" s="1"/>
  <c r="P318" i="35" s="1"/>
  <c r="P319" i="35" s="1"/>
  <c r="P320" i="35" s="1"/>
  <c r="P321" i="35" s="1"/>
  <c r="P322" i="35" s="1"/>
  <c r="P323" i="35" s="1"/>
  <c r="P324" i="35" s="1"/>
  <c r="P325" i="35" s="1"/>
  <c r="P326" i="35" s="1"/>
  <c r="P327" i="35" s="1"/>
  <c r="P328" i="35" s="1"/>
  <c r="P329" i="35" s="1"/>
  <c r="P330" i="35" s="1"/>
  <c r="P331" i="35" s="1"/>
  <c r="P332" i="35" s="1"/>
  <c r="P333" i="35" s="1"/>
  <c r="P334" i="35" s="1"/>
  <c r="P335" i="35" s="1"/>
  <c r="P336" i="35" s="1"/>
  <c r="P337" i="35" s="1"/>
  <c r="P338" i="35" s="1"/>
  <c r="P339" i="35" s="1"/>
  <c r="P340" i="35" s="1"/>
  <c r="P341" i="35" s="1"/>
  <c r="P342" i="35" s="1"/>
  <c r="P343" i="35" s="1"/>
  <c r="P344" i="35" s="1"/>
  <c r="P345" i="35" s="1"/>
  <c r="P346" i="35" s="1"/>
  <c r="P347" i="35" s="1"/>
  <c r="P348" i="35" s="1"/>
  <c r="P349" i="35" s="1"/>
  <c r="P350" i="35" s="1"/>
  <c r="P351" i="35" s="1"/>
  <c r="P352" i="35" s="1"/>
  <c r="P353" i="35" s="1"/>
  <c r="P354" i="35" s="1"/>
  <c r="P355" i="35" s="1"/>
  <c r="P356" i="35" s="1"/>
  <c r="P357" i="35" s="1"/>
  <c r="P358" i="35" s="1"/>
  <c r="P359" i="35" s="1"/>
  <c r="P360" i="35" s="1"/>
  <c r="P361" i="35" s="1"/>
  <c r="P362" i="35" s="1"/>
  <c r="P363" i="35" s="1"/>
  <c r="P364" i="35" s="1"/>
  <c r="P365" i="35" s="1"/>
  <c r="P366" i="35" s="1"/>
  <c r="P367" i="35" s="1"/>
  <c r="P368" i="35" s="1"/>
  <c r="P369" i="35" s="1"/>
  <c r="P370" i="35" s="1"/>
  <c r="P371" i="35" s="1"/>
  <c r="P372" i="35" s="1"/>
  <c r="P373" i="35" s="1"/>
  <c r="P374" i="35" s="1"/>
  <c r="P375" i="35" s="1"/>
  <c r="P376" i="35" s="1"/>
  <c r="P377" i="35" s="1"/>
  <c r="P378" i="35" s="1"/>
  <c r="P379" i="35" s="1"/>
  <c r="P380" i="35" s="1"/>
  <c r="P381" i="35" s="1"/>
  <c r="P382" i="35" s="1"/>
  <c r="P383" i="35" s="1"/>
  <c r="P384" i="35" s="1"/>
  <c r="P385" i="35" s="1"/>
  <c r="P386" i="35" s="1"/>
  <c r="P387" i="35" s="1"/>
  <c r="P388" i="35" s="1"/>
  <c r="P389" i="35" s="1"/>
  <c r="P390" i="35" s="1"/>
  <c r="P391" i="35" s="1"/>
  <c r="P392" i="35" s="1"/>
  <c r="P393" i="35" s="1"/>
  <c r="P394" i="35" s="1"/>
  <c r="P395" i="35" s="1"/>
  <c r="P396" i="35" s="1"/>
  <c r="P397" i="35" s="1"/>
  <c r="P398" i="35" s="1"/>
  <c r="P399" i="35" s="1"/>
  <c r="P400" i="35" s="1"/>
  <c r="P401" i="35" s="1"/>
  <c r="P402" i="35" s="1"/>
  <c r="P403" i="35" s="1"/>
  <c r="P404" i="35" s="1"/>
  <c r="P405" i="35" s="1"/>
  <c r="P406" i="35" s="1"/>
  <c r="P407" i="35" s="1"/>
  <c r="P408" i="35" s="1"/>
  <c r="P409" i="35" s="1"/>
  <c r="P410" i="35" s="1"/>
  <c r="P411" i="35" s="1"/>
  <c r="P412" i="35" s="1"/>
  <c r="P413" i="35" s="1"/>
  <c r="P414" i="35" s="1"/>
  <c r="P415" i="35" s="1"/>
  <c r="P416" i="35" s="1"/>
  <c r="P417" i="35" s="1"/>
  <c r="P418" i="35" s="1"/>
  <c r="P419" i="35" s="1"/>
  <c r="P420" i="35" s="1"/>
  <c r="P421" i="35" s="1"/>
  <c r="P422" i="35" s="1"/>
  <c r="P423" i="35" s="1"/>
  <c r="P424" i="35" s="1"/>
  <c r="P425" i="35" s="1"/>
  <c r="P426" i="35" s="1"/>
  <c r="P427" i="35" s="1"/>
  <c r="P428" i="35" s="1"/>
  <c r="P429" i="35" s="1"/>
  <c r="P430" i="35" s="1"/>
  <c r="P431" i="35" s="1"/>
  <c r="P432" i="35" s="1"/>
  <c r="P433" i="35" s="1"/>
  <c r="P434" i="35" s="1"/>
  <c r="P435" i="35" s="1"/>
  <c r="P436" i="35" s="1"/>
  <c r="P437" i="35" s="1"/>
  <c r="P438" i="35" s="1"/>
  <c r="P439" i="35" s="1"/>
  <c r="P440" i="35" s="1"/>
  <c r="P441" i="35" s="1"/>
  <c r="P442" i="35" s="1"/>
  <c r="P443" i="35" s="1"/>
  <c r="P444" i="35" s="1"/>
  <c r="P445" i="35" s="1"/>
  <c r="P446" i="35" s="1"/>
  <c r="P447" i="35" s="1"/>
  <c r="P448" i="35" s="1"/>
  <c r="P449" i="35" s="1"/>
  <c r="P450" i="35" s="1"/>
  <c r="P451" i="35" s="1"/>
  <c r="P452" i="35" s="1"/>
  <c r="P453" i="35" s="1"/>
  <c r="P454" i="35" s="1"/>
  <c r="P455" i="35" s="1"/>
  <c r="P456" i="35" s="1"/>
  <c r="P457" i="35" s="1"/>
  <c r="P458" i="35" s="1"/>
  <c r="P459" i="35" s="1"/>
  <c r="P460" i="35" s="1"/>
  <c r="P461" i="35" s="1"/>
  <c r="P462" i="35" s="1"/>
  <c r="P463" i="35" s="1"/>
  <c r="P464" i="35" s="1"/>
  <c r="P465" i="35" s="1"/>
  <c r="P466" i="35" s="1"/>
  <c r="P467" i="35" s="1"/>
  <c r="P468" i="35" s="1"/>
  <c r="P469" i="35" s="1"/>
  <c r="P470" i="35" s="1"/>
  <c r="P471" i="35" s="1"/>
  <c r="P472" i="35" s="1"/>
  <c r="P473" i="35" s="1"/>
  <c r="P474" i="35" s="1"/>
  <c r="P475" i="35" s="1"/>
  <c r="P476" i="35" s="1"/>
  <c r="P477" i="35" s="1"/>
  <c r="P478" i="35" s="1"/>
  <c r="P479" i="35" s="1"/>
  <c r="P480" i="35" s="1"/>
  <c r="P481" i="35" s="1"/>
  <c r="P482" i="35" s="1"/>
  <c r="P483" i="35" s="1"/>
  <c r="P484" i="35" s="1"/>
  <c r="P485" i="35" s="1"/>
  <c r="P486" i="35" s="1"/>
  <c r="P487" i="35" s="1"/>
  <c r="P488" i="35" s="1"/>
  <c r="P489" i="35" s="1"/>
  <c r="P490" i="35" s="1"/>
  <c r="P491" i="35" s="1"/>
  <c r="P492" i="35" s="1"/>
  <c r="P493" i="35" s="1"/>
  <c r="P494" i="35" s="1"/>
  <c r="P495" i="35" s="1"/>
  <c r="P496" i="35" s="1"/>
  <c r="P497" i="35" s="1"/>
  <c r="P498" i="35" s="1"/>
  <c r="P499" i="35" s="1"/>
  <c r="P500" i="35" s="1"/>
  <c r="P501" i="35" s="1"/>
  <c r="P502" i="35" s="1"/>
  <c r="P503" i="35" s="1"/>
  <c r="P504" i="35" s="1"/>
  <c r="P505" i="35" s="1"/>
  <c r="P506" i="35" s="1"/>
  <c r="P507" i="35" s="1"/>
  <c r="P508" i="35" s="1"/>
  <c r="P509" i="35" s="1"/>
  <c r="P510" i="35" s="1"/>
  <c r="P511" i="35" s="1"/>
  <c r="P512" i="35" s="1"/>
  <c r="P513" i="35" s="1"/>
  <c r="P514" i="35" s="1"/>
  <c r="P515" i="35" s="1"/>
  <c r="P516" i="35" s="1"/>
  <c r="P517" i="35" s="1"/>
  <c r="P518" i="35" s="1"/>
  <c r="P519" i="35" s="1"/>
  <c r="P520" i="35" s="1"/>
  <c r="P521" i="35" s="1"/>
  <c r="P522" i="35" s="1"/>
  <c r="P523" i="35" s="1"/>
  <c r="P524" i="35" s="1"/>
  <c r="P525" i="35" s="1"/>
  <c r="P526" i="35" s="1"/>
  <c r="P527" i="35" s="1"/>
  <c r="P528" i="35" s="1"/>
  <c r="P529" i="35" s="1"/>
  <c r="P530" i="35" s="1"/>
  <c r="P531" i="35" s="1"/>
  <c r="P532" i="35" s="1"/>
  <c r="P533" i="35" s="1"/>
  <c r="P534" i="35" s="1"/>
  <c r="P535" i="35" s="1"/>
  <c r="P536" i="35" s="1"/>
  <c r="P537" i="35" s="1"/>
  <c r="P538" i="35" s="1"/>
  <c r="P539" i="35" s="1"/>
  <c r="P540" i="35" s="1"/>
  <c r="P541" i="35" s="1"/>
  <c r="P542" i="35" s="1"/>
  <c r="P543" i="35" s="1"/>
  <c r="P544" i="35" s="1"/>
  <c r="P545" i="35" s="1"/>
  <c r="P546" i="35" s="1"/>
  <c r="P547" i="35" s="1"/>
  <c r="P548" i="35" s="1"/>
  <c r="P549" i="35" s="1"/>
  <c r="P550" i="35" s="1"/>
  <c r="P551" i="35" s="1"/>
  <c r="P552" i="35" s="1"/>
  <c r="P553" i="35" s="1"/>
  <c r="P554" i="35" s="1"/>
  <c r="P555" i="35" s="1"/>
  <c r="P556" i="35" s="1"/>
  <c r="P557" i="35" s="1"/>
  <c r="P558" i="35" s="1"/>
  <c r="P559" i="35" s="1"/>
  <c r="P560" i="35" s="1"/>
  <c r="P561" i="35" s="1"/>
  <c r="P562" i="35" s="1"/>
  <c r="P563" i="35" s="1"/>
  <c r="P564" i="35" s="1"/>
  <c r="P565" i="35" s="1"/>
  <c r="P566" i="35" s="1"/>
  <c r="P567" i="35" s="1"/>
  <c r="P568" i="35" s="1"/>
  <c r="P569" i="35" s="1"/>
  <c r="P570" i="35" s="1"/>
  <c r="P571" i="35" s="1"/>
  <c r="P572" i="35" s="1"/>
  <c r="P573" i="35" s="1"/>
  <c r="P574" i="35" s="1"/>
  <c r="P575" i="35" s="1"/>
  <c r="P576" i="35" s="1"/>
  <c r="P577" i="35" s="1"/>
  <c r="P578" i="35" s="1"/>
  <c r="P579" i="35" s="1"/>
  <c r="P580" i="35" s="1"/>
  <c r="P581" i="35" s="1"/>
  <c r="P582" i="35" s="1"/>
  <c r="P583" i="35" s="1"/>
  <c r="P584" i="35" s="1"/>
  <c r="P585" i="35" s="1"/>
  <c r="P586" i="35" s="1"/>
  <c r="P587" i="35" s="1"/>
  <c r="P588" i="35" s="1"/>
  <c r="P589" i="35" s="1"/>
  <c r="P590" i="35" s="1"/>
  <c r="P591" i="35" s="1"/>
  <c r="P592" i="35" s="1"/>
  <c r="P593" i="35" s="1"/>
  <c r="P594" i="35" s="1"/>
  <c r="P595" i="35" s="1"/>
  <c r="P596" i="35" s="1"/>
  <c r="P597" i="35" s="1"/>
  <c r="P598" i="35" s="1"/>
  <c r="P599" i="35" s="1"/>
  <c r="P600" i="35" s="1"/>
  <c r="P601" i="35" s="1"/>
  <c r="P602" i="35" s="1"/>
  <c r="P603" i="35" s="1"/>
  <c r="P604" i="35" s="1"/>
  <c r="P605" i="35" s="1"/>
  <c r="P606" i="35" s="1"/>
  <c r="P607" i="35" s="1"/>
  <c r="P608" i="35" s="1"/>
  <c r="P609" i="35" s="1"/>
  <c r="P610" i="35" s="1"/>
  <c r="P611" i="35" s="1"/>
  <c r="P612" i="35" s="1"/>
  <c r="P613" i="35" s="1"/>
  <c r="P614" i="35" s="1"/>
  <c r="P615" i="35" s="1"/>
  <c r="P616" i="35" s="1"/>
  <c r="P617" i="35" s="1"/>
  <c r="P618" i="35" s="1"/>
  <c r="P619" i="35" s="1"/>
  <c r="P620" i="35" s="1"/>
  <c r="P621" i="35" s="1"/>
  <c r="P622" i="35" s="1"/>
  <c r="P623" i="35" s="1"/>
  <c r="P624" i="35" s="1"/>
  <c r="P625" i="35" s="1"/>
  <c r="P626" i="35" s="1"/>
  <c r="P627" i="35" s="1"/>
  <c r="P628" i="35" s="1"/>
  <c r="P629" i="35" s="1"/>
  <c r="P630" i="35" s="1"/>
  <c r="P631" i="35" s="1"/>
  <c r="P632" i="35" s="1"/>
  <c r="P633" i="35" s="1"/>
  <c r="P634" i="35" s="1"/>
  <c r="P635" i="35" s="1"/>
  <c r="P636" i="35" s="1"/>
  <c r="P637" i="35" s="1"/>
  <c r="P638" i="35" s="1"/>
  <c r="P639" i="35" s="1"/>
  <c r="P640" i="35" s="1"/>
  <c r="P641" i="35" s="1"/>
  <c r="P642" i="35" s="1"/>
  <c r="P643" i="35" s="1"/>
  <c r="P644" i="35" s="1"/>
  <c r="P645" i="35" s="1"/>
  <c r="P646" i="35" s="1"/>
  <c r="P647" i="35" s="1"/>
  <c r="P648" i="35" s="1"/>
  <c r="P649" i="35" s="1"/>
  <c r="P650" i="35" s="1"/>
  <c r="P651" i="35" s="1"/>
  <c r="P652" i="35" s="1"/>
  <c r="P653" i="35" s="1"/>
  <c r="P654" i="35" s="1"/>
  <c r="P655" i="35" s="1"/>
  <c r="P656" i="35" s="1"/>
  <c r="P657" i="35" s="1"/>
  <c r="P658" i="35" s="1"/>
  <c r="P659" i="35" s="1"/>
  <c r="P660" i="35" s="1"/>
  <c r="P661" i="35" s="1"/>
  <c r="P662" i="35" s="1"/>
  <c r="P663" i="35" s="1"/>
  <c r="P664" i="35" s="1"/>
  <c r="P665" i="35" s="1"/>
  <c r="P666" i="35" s="1"/>
  <c r="P667" i="35" s="1"/>
  <c r="P668" i="35" s="1"/>
  <c r="P669" i="35" s="1"/>
  <c r="P670" i="35" s="1"/>
  <c r="P671" i="35" s="1"/>
  <c r="P672" i="35" s="1"/>
  <c r="P673" i="35" s="1"/>
  <c r="P674" i="35" s="1"/>
  <c r="P675" i="35" s="1"/>
  <c r="P676" i="35" s="1"/>
  <c r="P677" i="35" s="1"/>
  <c r="P678" i="35" s="1"/>
  <c r="P679" i="35" s="1"/>
  <c r="P680" i="35" s="1"/>
  <c r="P681" i="35" s="1"/>
  <c r="P682" i="35" s="1"/>
  <c r="P683" i="35" s="1"/>
  <c r="P684" i="35" s="1"/>
  <c r="P685" i="35" s="1"/>
  <c r="P686" i="35" s="1"/>
  <c r="P687" i="35" s="1"/>
  <c r="P688" i="35" s="1"/>
  <c r="P689" i="35" s="1"/>
  <c r="P690" i="35" s="1"/>
  <c r="P691" i="35" s="1"/>
  <c r="P692" i="35" s="1"/>
  <c r="P693" i="35" s="1"/>
  <c r="P694" i="35" s="1"/>
  <c r="P695" i="35" s="1"/>
  <c r="P696" i="35" s="1"/>
  <c r="P697" i="35" s="1"/>
  <c r="P698" i="35" s="1"/>
  <c r="P699" i="35" s="1"/>
  <c r="P700" i="35" s="1"/>
  <c r="P701" i="35" s="1"/>
  <c r="A4" i="33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3" i="31" l="1"/>
  <c r="A4" i="31" s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C4" i="10" l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98" i="10" s="1"/>
  <c r="C299" i="10" s="1"/>
  <c r="C300" i="10" s="1"/>
  <c r="C301" i="10" s="1"/>
  <c r="C302" i="10" s="1"/>
  <c r="C303" i="10" s="1"/>
  <c r="C304" i="10" s="1"/>
  <c r="C305" i="10" s="1"/>
  <c r="C306" i="10" s="1"/>
  <c r="C307" i="10" s="1"/>
  <c r="C308" i="10" s="1"/>
  <c r="C309" i="10" s="1"/>
  <c r="C310" i="10" s="1"/>
  <c r="C311" i="10" s="1"/>
  <c r="C312" i="10" s="1"/>
  <c r="C313" i="10" s="1"/>
  <c r="C314" i="10" s="1"/>
  <c r="C315" i="10" s="1"/>
  <c r="C316" i="10" s="1"/>
  <c r="C317" i="10" s="1"/>
  <c r="C318" i="10" s="1"/>
  <c r="C319" i="10" s="1"/>
  <c r="C320" i="10" s="1"/>
  <c r="C321" i="10" s="1"/>
  <c r="C322" i="10" s="1"/>
  <c r="C323" i="10" s="1"/>
  <c r="C324" i="10" s="1"/>
  <c r="C325" i="10" s="1"/>
  <c r="C326" i="10" s="1"/>
  <c r="C327" i="10" s="1"/>
  <c r="C328" i="10" s="1"/>
  <c r="C329" i="10" s="1"/>
  <c r="C330" i="10" s="1"/>
  <c r="C331" i="10" s="1"/>
  <c r="C332" i="10" s="1"/>
  <c r="C333" i="10" s="1"/>
  <c r="C334" i="10" s="1"/>
  <c r="C335" i="10" s="1"/>
  <c r="C336" i="10" s="1"/>
  <c r="C337" i="10" s="1"/>
  <c r="C338" i="10" s="1"/>
  <c r="C339" i="10" s="1"/>
  <c r="C340" i="10" s="1"/>
  <c r="C341" i="10" s="1"/>
  <c r="C342" i="10" s="1"/>
  <c r="C343" i="10" s="1"/>
  <c r="C344" i="10" s="1"/>
  <c r="C345" i="10" s="1"/>
  <c r="C346" i="10" s="1"/>
  <c r="C347" i="10" s="1"/>
  <c r="C348" i="10" s="1"/>
  <c r="C349" i="10" s="1"/>
  <c r="C350" i="10" s="1"/>
  <c r="C351" i="10" s="1"/>
  <c r="C352" i="10" s="1"/>
  <c r="C353" i="10" s="1"/>
  <c r="C354" i="10" s="1"/>
  <c r="C355" i="10" s="1"/>
  <c r="C356" i="10" s="1"/>
  <c r="C357" i="10" s="1"/>
  <c r="C358" i="10" s="1"/>
  <c r="C359" i="10" s="1"/>
  <c r="C360" i="10" s="1"/>
  <c r="C361" i="10" s="1"/>
  <c r="C362" i="10" s="1"/>
  <c r="C363" i="10" s="1"/>
  <c r="C364" i="10" s="1"/>
  <c r="C365" i="10" s="1"/>
  <c r="C366" i="10" s="1"/>
  <c r="C367" i="10" s="1"/>
  <c r="C368" i="10" s="1"/>
  <c r="C369" i="10" s="1"/>
  <c r="C370" i="10" s="1"/>
  <c r="C371" i="10" s="1"/>
  <c r="C372" i="10" s="1"/>
  <c r="C373" i="10" s="1"/>
  <c r="C374" i="10" s="1"/>
  <c r="C375" i="10" s="1"/>
  <c r="C376" i="10" s="1"/>
  <c r="C377" i="10" s="1"/>
  <c r="C378" i="10" s="1"/>
  <c r="C379" i="10" s="1"/>
  <c r="C380" i="10" s="1"/>
  <c r="C381" i="10" s="1"/>
  <c r="C382" i="10" s="1"/>
  <c r="C383" i="10" s="1"/>
  <c r="C384" i="10" s="1"/>
  <c r="C385" i="10" s="1"/>
  <c r="C386" i="10" s="1"/>
  <c r="C387" i="10" s="1"/>
  <c r="C388" i="10" s="1"/>
  <c r="C389" i="10" s="1"/>
  <c r="C390" i="10" s="1"/>
  <c r="C391" i="10" s="1"/>
  <c r="C392" i="10" s="1"/>
  <c r="C393" i="10" s="1"/>
  <c r="C394" i="10" s="1"/>
  <c r="C395" i="10" s="1"/>
  <c r="C396" i="10" s="1"/>
  <c r="C397" i="10" s="1"/>
  <c r="C398" i="10" s="1"/>
  <c r="C399" i="10" s="1"/>
  <c r="C400" i="10" s="1"/>
  <c r="C401" i="10" s="1"/>
  <c r="C402" i="10" s="1"/>
  <c r="C403" i="10" s="1"/>
  <c r="C404" i="10" s="1"/>
  <c r="C405" i="10" s="1"/>
  <c r="C406" i="10" s="1"/>
  <c r="C407" i="10" s="1"/>
  <c r="C408" i="10" s="1"/>
  <c r="C409" i="10" s="1"/>
  <c r="C410" i="10" s="1"/>
  <c r="C411" i="10" s="1"/>
  <c r="C412" i="10" s="1"/>
  <c r="C413" i="10" s="1"/>
  <c r="C414" i="10" s="1"/>
  <c r="C415" i="10" s="1"/>
  <c r="C416" i="10" s="1"/>
  <c r="C417" i="10" s="1"/>
  <c r="C418" i="10" s="1"/>
  <c r="C419" i="10" s="1"/>
  <c r="C420" i="10" s="1"/>
  <c r="C421" i="10" s="1"/>
  <c r="C422" i="10" s="1"/>
  <c r="C423" i="10" s="1"/>
  <c r="C424" i="10" s="1"/>
  <c r="C425" i="10" s="1"/>
  <c r="C426" i="10" s="1"/>
  <c r="C427" i="10" s="1"/>
  <c r="C428" i="10" s="1"/>
  <c r="C429" i="10" s="1"/>
  <c r="C430" i="10" s="1"/>
  <c r="C431" i="10" s="1"/>
  <c r="C432" i="10" s="1"/>
  <c r="C433" i="10" s="1"/>
  <c r="C434" i="10" s="1"/>
  <c r="C435" i="10" s="1"/>
  <c r="C436" i="10" s="1"/>
  <c r="C437" i="10" s="1"/>
  <c r="C438" i="10" s="1"/>
  <c r="C439" i="10" s="1"/>
  <c r="C440" i="10" s="1"/>
  <c r="C441" i="10" s="1"/>
  <c r="C442" i="10" s="1"/>
  <c r="C443" i="10" s="1"/>
  <c r="C444" i="10" s="1"/>
  <c r="C445" i="10" s="1"/>
  <c r="C446" i="10" s="1"/>
  <c r="C447" i="10" s="1"/>
  <c r="C448" i="10" s="1"/>
  <c r="C449" i="10" s="1"/>
  <c r="C450" i="10" s="1"/>
  <c r="C451" i="10" s="1"/>
  <c r="C452" i="10" s="1"/>
  <c r="C453" i="10" s="1"/>
  <c r="C454" i="10" s="1"/>
  <c r="C455" i="10" s="1"/>
  <c r="C456" i="10" s="1"/>
  <c r="C457" i="10" s="1"/>
  <c r="C458" i="10" s="1"/>
  <c r="C459" i="10" s="1"/>
  <c r="C460" i="10" s="1"/>
  <c r="C461" i="10" s="1"/>
  <c r="C462" i="10" s="1"/>
  <c r="C463" i="10" s="1"/>
  <c r="C464" i="10" s="1"/>
  <c r="C465" i="10" s="1"/>
  <c r="C466" i="10" s="1"/>
  <c r="C467" i="10" s="1"/>
  <c r="C468" i="10" s="1"/>
  <c r="C469" i="10" s="1"/>
  <c r="C470" i="10" s="1"/>
  <c r="C471" i="10" s="1"/>
  <c r="C472" i="10" s="1"/>
  <c r="C473" i="10" s="1"/>
  <c r="C474" i="10" s="1"/>
  <c r="C475" i="10" s="1"/>
  <c r="C476" i="10" s="1"/>
  <c r="C477" i="10" s="1"/>
  <c r="C478" i="10" s="1"/>
  <c r="C479" i="10" s="1"/>
  <c r="C480" i="10" s="1"/>
  <c r="C481" i="10" s="1"/>
  <c r="C482" i="10" s="1"/>
  <c r="C483" i="10" s="1"/>
  <c r="C484" i="10" s="1"/>
  <c r="C485" i="10" s="1"/>
  <c r="C486" i="10" s="1"/>
  <c r="C487" i="10" s="1"/>
  <c r="C488" i="10" s="1"/>
  <c r="C489" i="10" s="1"/>
  <c r="C490" i="10" s="1"/>
  <c r="C491" i="10" s="1"/>
  <c r="C492" i="10" s="1"/>
  <c r="C493" i="10" s="1"/>
  <c r="C494" i="10" s="1"/>
  <c r="C495" i="10" s="1"/>
  <c r="C496" i="10" s="1"/>
  <c r="C497" i="10" s="1"/>
  <c r="C498" i="10" s="1"/>
  <c r="C499" i="10" s="1"/>
  <c r="C500" i="10" s="1"/>
  <c r="C501" i="10" s="1"/>
  <c r="C502" i="10" s="1"/>
  <c r="C503" i="10" s="1"/>
  <c r="C504" i="10" s="1"/>
  <c r="C505" i="10" s="1"/>
  <c r="C506" i="10" s="1"/>
  <c r="C507" i="10" s="1"/>
  <c r="C508" i="10" s="1"/>
  <c r="C509" i="10" s="1"/>
  <c r="C510" i="10" s="1"/>
  <c r="C511" i="10" s="1"/>
  <c r="C512" i="10" s="1"/>
  <c r="C513" i="10" s="1"/>
  <c r="C514" i="10" s="1"/>
  <c r="C515" i="10" s="1"/>
  <c r="C516" i="10" s="1"/>
  <c r="C517" i="10" s="1"/>
  <c r="C518" i="10" s="1"/>
  <c r="C519" i="10" s="1"/>
  <c r="C520" i="10" s="1"/>
  <c r="C521" i="10" s="1"/>
  <c r="C522" i="10" s="1"/>
  <c r="C523" i="10" s="1"/>
  <c r="C524" i="10" s="1"/>
  <c r="C525" i="10" s="1"/>
  <c r="C526" i="10" s="1"/>
  <c r="C527" i="10" s="1"/>
  <c r="C528" i="10" s="1"/>
  <c r="C529" i="10" s="1"/>
  <c r="C530" i="10" s="1"/>
  <c r="C531" i="10" s="1"/>
  <c r="C532" i="10" s="1"/>
  <c r="C533" i="10" s="1"/>
  <c r="C534" i="10" s="1"/>
  <c r="C535" i="10" s="1"/>
  <c r="C536" i="10" s="1"/>
  <c r="C537" i="10" s="1"/>
  <c r="C538" i="10" s="1"/>
  <c r="C539" i="10" s="1"/>
  <c r="C540" i="10" s="1"/>
  <c r="C541" i="10" s="1"/>
  <c r="C542" i="10" s="1"/>
  <c r="C543" i="10" s="1"/>
  <c r="C544" i="10" s="1"/>
  <c r="C545" i="10" s="1"/>
  <c r="C546" i="10" s="1"/>
  <c r="C547" i="10" s="1"/>
  <c r="C548" i="10" s="1"/>
  <c r="C549" i="10" s="1"/>
  <c r="C550" i="10" s="1"/>
  <c r="C551" i="10" s="1"/>
  <c r="C552" i="10" s="1"/>
  <c r="C553" i="10" s="1"/>
  <c r="C554" i="10" s="1"/>
  <c r="C555" i="10" s="1"/>
  <c r="C556" i="10" s="1"/>
  <c r="C557" i="10" s="1"/>
  <c r="C558" i="10" s="1"/>
  <c r="C559" i="10" s="1"/>
  <c r="C560" i="10" s="1"/>
  <c r="C561" i="10" s="1"/>
  <c r="C562" i="10" s="1"/>
  <c r="C563" i="10" s="1"/>
  <c r="C564" i="10" s="1"/>
  <c r="C565" i="10" s="1"/>
  <c r="C566" i="10" s="1"/>
  <c r="C567" i="10" s="1"/>
  <c r="C568" i="10" s="1"/>
  <c r="C569" i="10" s="1"/>
  <c r="C570" i="10" s="1"/>
  <c r="C571" i="10" s="1"/>
  <c r="C572" i="10" s="1"/>
  <c r="C573" i="10" s="1"/>
  <c r="C574" i="10" s="1"/>
  <c r="C575" i="10" s="1"/>
  <c r="C576" i="10" s="1"/>
  <c r="C577" i="10" s="1"/>
  <c r="C578" i="10" s="1"/>
  <c r="C579" i="10" s="1"/>
  <c r="C580" i="10" s="1"/>
  <c r="C581" i="10" s="1"/>
  <c r="C582" i="10" s="1"/>
  <c r="C583" i="10" s="1"/>
  <c r="C584" i="10" s="1"/>
  <c r="C585" i="10" s="1"/>
  <c r="C586" i="10" s="1"/>
  <c r="C587" i="10" s="1"/>
  <c r="C588" i="10" s="1"/>
  <c r="C589" i="10" s="1"/>
  <c r="C590" i="10" s="1"/>
  <c r="C591" i="10" s="1"/>
  <c r="C592" i="10" s="1"/>
  <c r="C593" i="10" s="1"/>
  <c r="C594" i="10" s="1"/>
  <c r="C595" i="10" s="1"/>
  <c r="C596" i="10" s="1"/>
  <c r="C597" i="10" s="1"/>
  <c r="C598" i="10" s="1"/>
  <c r="C599" i="10" s="1"/>
  <c r="C600" i="10" s="1"/>
  <c r="C601" i="10" s="1"/>
  <c r="C602" i="10" s="1"/>
  <c r="C603" i="10" s="1"/>
  <c r="C604" i="10" s="1"/>
  <c r="C605" i="10" s="1"/>
  <c r="C606" i="10" s="1"/>
  <c r="C607" i="10" s="1"/>
  <c r="C608" i="10" s="1"/>
  <c r="C609" i="10" s="1"/>
  <c r="C610" i="10" s="1"/>
  <c r="C611" i="10" s="1"/>
  <c r="C612" i="10" s="1"/>
  <c r="C613" i="10" s="1"/>
  <c r="C614" i="10" s="1"/>
  <c r="C615" i="10" s="1"/>
  <c r="C616" i="10" s="1"/>
  <c r="C617" i="10" s="1"/>
  <c r="C618" i="10" s="1"/>
  <c r="C619" i="10" s="1"/>
  <c r="C620" i="10" s="1"/>
  <c r="C621" i="10" s="1"/>
  <c r="C622" i="10" s="1"/>
  <c r="C623" i="10" s="1"/>
  <c r="C624" i="10" s="1"/>
  <c r="C625" i="10" s="1"/>
  <c r="C626" i="10" s="1"/>
  <c r="C627" i="10" s="1"/>
  <c r="C628" i="10" s="1"/>
  <c r="C629" i="10" s="1"/>
  <c r="C630" i="10" s="1"/>
  <c r="C631" i="10" s="1"/>
  <c r="C632" i="10" s="1"/>
  <c r="C633" i="10" s="1"/>
  <c r="C634" i="10" s="1"/>
  <c r="C635" i="10" s="1"/>
  <c r="C636" i="10" s="1"/>
  <c r="C637" i="10" s="1"/>
  <c r="C638" i="10" s="1"/>
  <c r="C639" i="10" s="1"/>
  <c r="C640" i="10" s="1"/>
  <c r="C641" i="10" s="1"/>
  <c r="C642" i="10" s="1"/>
  <c r="C643" i="10" s="1"/>
  <c r="C644" i="10" s="1"/>
  <c r="C645" i="10" s="1"/>
  <c r="C646" i="10" s="1"/>
  <c r="C647" i="10" s="1"/>
  <c r="C648" i="10" s="1"/>
  <c r="C649" i="10" s="1"/>
  <c r="C650" i="10" s="1"/>
  <c r="C651" i="10" s="1"/>
  <c r="C652" i="10" s="1"/>
  <c r="C653" i="10" s="1"/>
  <c r="C654" i="10" s="1"/>
  <c r="C655" i="10" s="1"/>
  <c r="C656" i="10" s="1"/>
  <c r="C657" i="10" s="1"/>
  <c r="C658" i="10" s="1"/>
  <c r="C659" i="10" s="1"/>
  <c r="C660" i="10" s="1"/>
  <c r="C661" i="10" s="1"/>
  <c r="C662" i="10" s="1"/>
  <c r="C663" i="10" s="1"/>
  <c r="C664" i="10" s="1"/>
  <c r="C665" i="10" s="1"/>
  <c r="C666" i="10" s="1"/>
  <c r="C667" i="10" s="1"/>
  <c r="C668" i="10" s="1"/>
  <c r="C669" i="10" s="1"/>
  <c r="C670" i="10" s="1"/>
  <c r="C671" i="10" s="1"/>
  <c r="C672" i="10" s="1"/>
  <c r="C673" i="10" s="1"/>
  <c r="C674" i="10" s="1"/>
  <c r="C675" i="10" s="1"/>
  <c r="C676" i="10" s="1"/>
  <c r="C677" i="10" s="1"/>
  <c r="C678" i="10" s="1"/>
  <c r="C679" i="10" s="1"/>
  <c r="C680" i="10" s="1"/>
  <c r="C681" i="10" s="1"/>
  <c r="C682" i="10" s="1"/>
  <c r="C683" i="10" s="1"/>
  <c r="C684" i="10" s="1"/>
  <c r="C685" i="10" s="1"/>
  <c r="C686" i="10" s="1"/>
  <c r="C687" i="10" s="1"/>
  <c r="C688" i="10" s="1"/>
  <c r="C689" i="10" s="1"/>
  <c r="C690" i="10" s="1"/>
  <c r="C691" i="10" s="1"/>
  <c r="C692" i="10" s="1"/>
  <c r="C693" i="10" s="1"/>
  <c r="C694" i="10" s="1"/>
  <c r="C695" i="10" s="1"/>
  <c r="C696" i="10" s="1"/>
  <c r="C697" i="10" s="1"/>
  <c r="C698" i="10" s="1"/>
  <c r="C699" i="10" s="1"/>
  <c r="C700" i="10" s="1"/>
  <c r="C701" i="10" s="1"/>
  <c r="C702" i="10" s="1"/>
  <c r="C703" i="10" s="1"/>
  <c r="C704" i="10" s="1"/>
  <c r="C705" i="10" s="1"/>
  <c r="C706" i="10" s="1"/>
  <c r="C707" i="10" s="1"/>
  <c r="C708" i="10" s="1"/>
  <c r="C709" i="10" s="1"/>
  <c r="C710" i="10" s="1"/>
  <c r="C711" i="10" s="1"/>
  <c r="C712" i="10" s="1"/>
  <c r="C713" i="10" s="1"/>
  <c r="C714" i="10" s="1"/>
  <c r="C715" i="10" s="1"/>
  <c r="C716" i="10" s="1"/>
  <c r="C717" i="10" s="1"/>
  <c r="C718" i="10" s="1"/>
  <c r="C719" i="10" s="1"/>
  <c r="C720" i="10" s="1"/>
  <c r="C721" i="10" s="1"/>
  <c r="C722" i="10" s="1"/>
  <c r="C723" i="10" s="1"/>
  <c r="C724" i="10" s="1"/>
  <c r="C725" i="10" s="1"/>
  <c r="C726" i="10" s="1"/>
  <c r="C727" i="10" s="1"/>
  <c r="C728" i="10" s="1"/>
  <c r="C729" i="10" s="1"/>
  <c r="C730" i="10" s="1"/>
  <c r="C731" i="10" s="1"/>
  <c r="C732" i="10" s="1"/>
  <c r="C733" i="10" s="1"/>
  <c r="C734" i="10" s="1"/>
  <c r="C735" i="10" s="1"/>
  <c r="C736" i="10" s="1"/>
  <c r="C737" i="10" s="1"/>
  <c r="C738" i="10" s="1"/>
  <c r="C739" i="10" s="1"/>
  <c r="C740" i="10" s="1"/>
  <c r="C741" i="10" s="1"/>
  <c r="C742" i="10" s="1"/>
  <c r="C743" i="10" s="1"/>
  <c r="C744" i="10" s="1"/>
  <c r="C745" i="10" s="1"/>
  <c r="C746" i="10" s="1"/>
  <c r="C747" i="10" s="1"/>
  <c r="C748" i="10" s="1"/>
  <c r="C749" i="10" s="1"/>
  <c r="C750" i="10" s="1"/>
  <c r="C751" i="10" s="1"/>
  <c r="C752" i="10" s="1"/>
  <c r="C753" i="10" s="1"/>
  <c r="C754" i="10" s="1"/>
  <c r="C755" i="10" s="1"/>
  <c r="C756" i="10" s="1"/>
  <c r="C757" i="10" s="1"/>
  <c r="C758" i="10" s="1"/>
  <c r="C759" i="10" s="1"/>
  <c r="C760" i="10" s="1"/>
  <c r="C761" i="10" s="1"/>
  <c r="C762" i="10" s="1"/>
  <c r="C763" i="10" s="1"/>
  <c r="C764" i="10" s="1"/>
  <c r="C765" i="10" s="1"/>
  <c r="C766" i="10" s="1"/>
  <c r="C767" i="10" s="1"/>
  <c r="C768" i="10" s="1"/>
  <c r="C769" i="10" s="1"/>
  <c r="C770" i="10" s="1"/>
  <c r="C771" i="10" s="1"/>
  <c r="C772" i="10" s="1"/>
  <c r="C773" i="10" s="1"/>
  <c r="C774" i="10" s="1"/>
  <c r="C775" i="10" s="1"/>
  <c r="C776" i="10" s="1"/>
  <c r="C777" i="10" s="1"/>
  <c r="C778" i="10" s="1"/>
  <c r="C779" i="10" s="1"/>
  <c r="C780" i="10" s="1"/>
  <c r="C781" i="10" s="1"/>
  <c r="C782" i="10" s="1"/>
  <c r="C783" i="10" s="1"/>
  <c r="C784" i="10" s="1"/>
  <c r="C785" i="10" s="1"/>
  <c r="C786" i="10" s="1"/>
  <c r="C787" i="10" s="1"/>
  <c r="C788" i="10" s="1"/>
  <c r="C789" i="10" s="1"/>
  <c r="C790" i="10" s="1"/>
  <c r="C791" i="10" s="1"/>
  <c r="C792" i="10" s="1"/>
  <c r="C793" i="10" s="1"/>
  <c r="C794" i="10" s="1"/>
  <c r="C795" i="10" s="1"/>
  <c r="C796" i="10" s="1"/>
  <c r="C797" i="10" s="1"/>
  <c r="C798" i="10" s="1"/>
  <c r="C799" i="10" s="1"/>
  <c r="C800" i="10" s="1"/>
  <c r="C801" i="10" s="1"/>
  <c r="C802" i="10" s="1"/>
  <c r="C803" i="10" s="1"/>
  <c r="C804" i="10" s="1"/>
  <c r="C805" i="10" s="1"/>
  <c r="C806" i="10" s="1"/>
  <c r="C807" i="10" s="1"/>
  <c r="C808" i="10" s="1"/>
  <c r="C809" i="10" s="1"/>
  <c r="C810" i="10" s="1"/>
  <c r="C811" i="10" s="1"/>
  <c r="C812" i="10" s="1"/>
  <c r="C813" i="10" s="1"/>
  <c r="C814" i="10" s="1"/>
  <c r="C815" i="10" s="1"/>
  <c r="C816" i="10" s="1"/>
  <c r="C817" i="10" s="1"/>
  <c r="C818" i="10" s="1"/>
  <c r="C819" i="10" s="1"/>
  <c r="C820" i="10" s="1"/>
  <c r="C821" i="10" s="1"/>
  <c r="C822" i="10" s="1"/>
  <c r="C823" i="10" s="1"/>
  <c r="C824" i="10" s="1"/>
  <c r="C825" i="10" s="1"/>
  <c r="C826" i="10" s="1"/>
  <c r="C827" i="10" s="1"/>
  <c r="C828" i="10" s="1"/>
  <c r="C829" i="10" s="1"/>
  <c r="C830" i="10" s="1"/>
  <c r="C831" i="10" s="1"/>
  <c r="C832" i="10" s="1"/>
  <c r="C833" i="10" s="1"/>
  <c r="C834" i="10" s="1"/>
  <c r="C835" i="10" s="1"/>
  <c r="C836" i="10" s="1"/>
  <c r="C837" i="10" s="1"/>
  <c r="C838" i="10" s="1"/>
  <c r="C839" i="10" s="1"/>
  <c r="C840" i="10" s="1"/>
  <c r="C841" i="10" s="1"/>
  <c r="C842" i="10" s="1"/>
  <c r="C843" i="10" s="1"/>
  <c r="C844" i="10" s="1"/>
  <c r="C845" i="10" s="1"/>
  <c r="C846" i="10" s="1"/>
  <c r="C847" i="10" s="1"/>
  <c r="C848" i="10" s="1"/>
  <c r="C849" i="10" s="1"/>
  <c r="C850" i="10" s="1"/>
  <c r="C851" i="10" s="1"/>
  <c r="C852" i="10" s="1"/>
  <c r="C853" i="10" s="1"/>
  <c r="C854" i="10" s="1"/>
  <c r="C855" i="10" s="1"/>
  <c r="C856" i="10" s="1"/>
  <c r="C857" i="10" s="1"/>
  <c r="C858" i="10" s="1"/>
  <c r="C859" i="10" s="1"/>
  <c r="C860" i="10" s="1"/>
  <c r="C861" i="10" s="1"/>
  <c r="C862" i="10" s="1"/>
  <c r="C863" i="10" s="1"/>
  <c r="C864" i="10" s="1"/>
  <c r="C865" i="10" s="1"/>
  <c r="C866" i="10" s="1"/>
  <c r="C867" i="10" s="1"/>
  <c r="C868" i="10" s="1"/>
  <c r="C869" i="10" s="1"/>
  <c r="C870" i="10" s="1"/>
  <c r="C871" i="10" s="1"/>
  <c r="C872" i="10" s="1"/>
  <c r="C873" i="10" s="1"/>
  <c r="C874" i="10" s="1"/>
  <c r="C875" i="10" s="1"/>
  <c r="C876" i="10" s="1"/>
  <c r="C877" i="10" s="1"/>
  <c r="C878" i="10" s="1"/>
  <c r="C879" i="10" s="1"/>
  <c r="C880" i="10" s="1"/>
  <c r="C881" i="10" s="1"/>
  <c r="C882" i="10" s="1"/>
  <c r="C883" i="10" s="1"/>
  <c r="C884" i="10" s="1"/>
  <c r="C885" i="10" s="1"/>
  <c r="C886" i="10" s="1"/>
  <c r="C887" i="10" s="1"/>
  <c r="C888" i="10" s="1"/>
  <c r="C889" i="10" s="1"/>
  <c r="C890" i="10" s="1"/>
  <c r="C891" i="10" s="1"/>
  <c r="C892" i="10" s="1"/>
  <c r="C893" i="10" s="1"/>
  <c r="C894" i="10" s="1"/>
  <c r="C895" i="10" s="1"/>
  <c r="C896" i="10" s="1"/>
  <c r="C897" i="10" s="1"/>
  <c r="C898" i="10" s="1"/>
  <c r="C899" i="10" s="1"/>
  <c r="C900" i="10" s="1"/>
  <c r="C901" i="10" s="1"/>
  <c r="C902" i="10" s="1"/>
  <c r="C903" i="10" s="1"/>
  <c r="C904" i="10" s="1"/>
  <c r="C905" i="10" s="1"/>
  <c r="C906" i="10" s="1"/>
  <c r="C907" i="10" s="1"/>
  <c r="C908" i="10" s="1"/>
  <c r="C909" i="10" s="1"/>
  <c r="C910" i="10" s="1"/>
  <c r="C911" i="10" s="1"/>
  <c r="C912" i="10" s="1"/>
  <c r="C913" i="10" s="1"/>
  <c r="C914" i="10" s="1"/>
  <c r="C915" i="10" s="1"/>
  <c r="C916" i="10" s="1"/>
  <c r="C917" i="10" s="1"/>
  <c r="C918" i="10" s="1"/>
  <c r="C919" i="10" s="1"/>
  <c r="C920" i="10" s="1"/>
  <c r="C921" i="10" s="1"/>
  <c r="C922" i="10" s="1"/>
  <c r="C923" i="10" s="1"/>
  <c r="C924" i="10" s="1"/>
  <c r="C925" i="10" s="1"/>
  <c r="C926" i="10" s="1"/>
  <c r="C927" i="10" s="1"/>
  <c r="C928" i="10" s="1"/>
  <c r="C929" i="10" s="1"/>
  <c r="C930" i="10" s="1"/>
  <c r="C931" i="10" s="1"/>
  <c r="C932" i="10" s="1"/>
  <c r="C933" i="10" s="1"/>
  <c r="C934" i="10" s="1"/>
  <c r="C935" i="10" s="1"/>
  <c r="C936" i="10" s="1"/>
  <c r="C937" i="10" s="1"/>
  <c r="C938" i="10" s="1"/>
  <c r="C939" i="10" s="1"/>
  <c r="C940" i="10" s="1"/>
  <c r="C941" i="10" s="1"/>
  <c r="C942" i="10" s="1"/>
  <c r="C943" i="10" s="1"/>
  <c r="C944" i="10" s="1"/>
  <c r="C945" i="10" s="1"/>
  <c r="C946" i="10" s="1"/>
  <c r="C947" i="10" s="1"/>
  <c r="C948" i="10" s="1"/>
  <c r="C949" i="10" s="1"/>
  <c r="C950" i="10" s="1"/>
  <c r="C951" i="10" s="1"/>
  <c r="C952" i="10" s="1"/>
  <c r="C953" i="10" s="1"/>
  <c r="C954" i="10" s="1"/>
  <c r="C955" i="10" s="1"/>
  <c r="C956" i="10" s="1"/>
  <c r="C957" i="10" s="1"/>
  <c r="C958" i="10" s="1"/>
  <c r="C959" i="10" s="1"/>
  <c r="C960" i="10" s="1"/>
  <c r="C961" i="10" s="1"/>
  <c r="C962" i="10" s="1"/>
  <c r="C963" i="10" s="1"/>
  <c r="C964" i="10" s="1"/>
  <c r="C965" i="10" s="1"/>
  <c r="C966" i="10" s="1"/>
  <c r="C967" i="10" s="1"/>
  <c r="C968" i="10" s="1"/>
  <c r="C969" i="10" s="1"/>
  <c r="C970" i="10" s="1"/>
  <c r="C971" i="10" s="1"/>
  <c r="C972" i="10" s="1"/>
  <c r="C973" i="10" s="1"/>
  <c r="C974" i="10" s="1"/>
  <c r="C975" i="10" s="1"/>
  <c r="C976" i="10" s="1"/>
  <c r="C977" i="10" s="1"/>
  <c r="C978" i="10" s="1"/>
  <c r="C979" i="10" s="1"/>
  <c r="C980" i="10" s="1"/>
  <c r="C981" i="10" s="1"/>
  <c r="C982" i="10" s="1"/>
  <c r="C983" i="10" s="1"/>
  <c r="C984" i="10" s="1"/>
  <c r="C985" i="10" s="1"/>
  <c r="C986" i="10" s="1"/>
  <c r="C987" i="10" s="1"/>
  <c r="C988" i="10" s="1"/>
  <c r="C989" i="10" s="1"/>
  <c r="C990" i="10" s="1"/>
  <c r="C991" i="10" s="1"/>
  <c r="C992" i="10" s="1"/>
  <c r="C993" i="10" s="1"/>
  <c r="C994" i="10" s="1"/>
  <c r="C995" i="10" s="1"/>
  <c r="C996" i="10" s="1"/>
  <c r="C997" i="10" s="1"/>
  <c r="C998" i="10" s="1"/>
  <c r="C999" i="10" s="1"/>
  <c r="C1000" i="10" s="1"/>
  <c r="C1001" i="10" s="1"/>
  <c r="C1002" i="10" s="1"/>
  <c r="C1003" i="10" s="1"/>
  <c r="C1004" i="10" s="1"/>
  <c r="C1005" i="10" s="1"/>
  <c r="C1006" i="10" s="1"/>
  <c r="C1007" i="10" s="1"/>
  <c r="C1008" i="10" s="1"/>
  <c r="C1009" i="10" s="1"/>
  <c r="C1010" i="10" s="1"/>
  <c r="C1011" i="10" s="1"/>
  <c r="C1012" i="10" s="1"/>
  <c r="C1013" i="10" s="1"/>
  <c r="C1014" i="10" s="1"/>
  <c r="C1015" i="10" s="1"/>
  <c r="C1016" i="10" s="1"/>
  <c r="C1017" i="10" s="1"/>
  <c r="C1018" i="10" s="1"/>
  <c r="C1019" i="10" s="1"/>
  <c r="C1020" i="10" s="1"/>
  <c r="C1021" i="10" s="1"/>
  <c r="C1022" i="10" s="1"/>
  <c r="C1023" i="10" s="1"/>
  <c r="C1024" i="10" s="1"/>
  <c r="C1025" i="10" s="1"/>
  <c r="C1026" i="10" s="1"/>
  <c r="C1027" i="10" s="1"/>
  <c r="C1028" i="10" s="1"/>
  <c r="C1029" i="10" s="1"/>
  <c r="C1030" i="10" s="1"/>
  <c r="C1031" i="10" s="1"/>
  <c r="C1032" i="10" s="1"/>
  <c r="C1033" i="10" s="1"/>
  <c r="C1034" i="10" s="1"/>
  <c r="C1035" i="10" s="1"/>
  <c r="C1036" i="10" s="1"/>
  <c r="C1037" i="10" s="1"/>
  <c r="C1038" i="10" s="1"/>
  <c r="C1039" i="10" s="1"/>
  <c r="C1040" i="10" s="1"/>
  <c r="C1041" i="10" s="1"/>
  <c r="C1042" i="10" s="1"/>
  <c r="C1043" i="10" s="1"/>
  <c r="C1044" i="10" s="1"/>
  <c r="C1045" i="10" s="1"/>
  <c r="C1046" i="10" s="1"/>
  <c r="C1047" i="10" s="1"/>
  <c r="C1048" i="10" s="1"/>
  <c r="C1049" i="10" s="1"/>
  <c r="C1050" i="10" s="1"/>
  <c r="C1051" i="10" s="1"/>
  <c r="C1052" i="10" s="1"/>
  <c r="C1053" i="10" s="1"/>
  <c r="C1054" i="10" s="1"/>
  <c r="C1055" i="10" s="1"/>
  <c r="C1056" i="10" s="1"/>
  <c r="C1057" i="10" s="1"/>
  <c r="C1058" i="10" s="1"/>
  <c r="C1059" i="10" s="1"/>
  <c r="C1060" i="10" s="1"/>
  <c r="C1061" i="10" s="1"/>
  <c r="C1062" i="10" s="1"/>
  <c r="C1063" i="10" s="1"/>
  <c r="C1064" i="10" s="1"/>
  <c r="C1065" i="10" s="1"/>
  <c r="C1066" i="10" s="1"/>
  <c r="C1067" i="10" s="1"/>
  <c r="C1068" i="10" s="1"/>
  <c r="C1069" i="10" s="1"/>
  <c r="C1070" i="10" s="1"/>
  <c r="C1071" i="10" s="1"/>
  <c r="C1072" i="10" s="1"/>
  <c r="C1073" i="10" s="1"/>
  <c r="C1074" i="10" s="1"/>
  <c r="C1075" i="10" s="1"/>
  <c r="C1076" i="10" s="1"/>
  <c r="C1077" i="10" s="1"/>
  <c r="C1078" i="10" s="1"/>
  <c r="C1079" i="10" s="1"/>
  <c r="C1080" i="10" s="1"/>
  <c r="C1081" i="10" s="1"/>
  <c r="C1082" i="10" s="1"/>
  <c r="C1083" i="10" s="1"/>
  <c r="C1084" i="10" s="1"/>
  <c r="C1085" i="10" s="1"/>
  <c r="C1086" i="10" s="1"/>
  <c r="C1087" i="10" s="1"/>
  <c r="C1088" i="10" s="1"/>
  <c r="C1089" i="10" s="1"/>
  <c r="C1090" i="10" s="1"/>
  <c r="C1091" i="10" s="1"/>
  <c r="C1092" i="10" s="1"/>
  <c r="C1093" i="10" s="1"/>
  <c r="C1094" i="10" s="1"/>
  <c r="C1095" i="10" s="1"/>
  <c r="C1096" i="10" s="1"/>
  <c r="C1097" i="10" s="1"/>
  <c r="C1098" i="10" s="1"/>
  <c r="C1099" i="10" s="1"/>
  <c r="C1100" i="10" s="1"/>
  <c r="C1101" i="10" s="1"/>
  <c r="C1102" i="10" s="1"/>
  <c r="C1103" i="10" s="1"/>
  <c r="C1104" i="10" s="1"/>
  <c r="C1105" i="10" s="1"/>
  <c r="C1106" i="10" s="1"/>
  <c r="C1107" i="10" s="1"/>
  <c r="C1108" i="10" s="1"/>
  <c r="C1109" i="10" s="1"/>
  <c r="C1110" i="10" s="1"/>
  <c r="C1111" i="10" s="1"/>
  <c r="C1112" i="10" s="1"/>
  <c r="C1113" i="10" s="1"/>
  <c r="C1114" i="10" s="1"/>
  <c r="C1115" i="10" s="1"/>
  <c r="C1116" i="10" s="1"/>
  <c r="C1117" i="10" s="1"/>
  <c r="C1118" i="10" s="1"/>
  <c r="C1119" i="10" s="1"/>
  <c r="C1120" i="10" s="1"/>
  <c r="C1121" i="10" s="1"/>
  <c r="C1122" i="10" s="1"/>
  <c r="C1123" i="10" s="1"/>
  <c r="C1124" i="10" s="1"/>
  <c r="C1125" i="10" s="1"/>
  <c r="C1126" i="10" s="1"/>
  <c r="C1127" i="10" s="1"/>
  <c r="C1128" i="10" s="1"/>
  <c r="C1129" i="10" s="1"/>
  <c r="C1130" i="10" s="1"/>
  <c r="C1131" i="10" s="1"/>
  <c r="C1132" i="10" s="1"/>
  <c r="C1133" i="10" s="1"/>
  <c r="C1134" i="10" s="1"/>
  <c r="C1135" i="10" s="1"/>
  <c r="C1136" i="10" s="1"/>
  <c r="C1137" i="10" s="1"/>
  <c r="C1138" i="10" s="1"/>
  <c r="C1139" i="10" s="1"/>
  <c r="C1140" i="10" s="1"/>
  <c r="C1141" i="10" s="1"/>
  <c r="C1142" i="10" s="1"/>
  <c r="C1143" i="10" s="1"/>
  <c r="C1144" i="10" s="1"/>
  <c r="C1145" i="10" s="1"/>
  <c r="C1146" i="10" s="1"/>
  <c r="C1147" i="10" s="1"/>
  <c r="C1148" i="10" s="1"/>
  <c r="C1149" i="10" s="1"/>
  <c r="C1150" i="10" s="1"/>
  <c r="C1151" i="10" s="1"/>
  <c r="C1152" i="10" s="1"/>
  <c r="C1153" i="10" s="1"/>
  <c r="C1154" i="10" s="1"/>
  <c r="C1155" i="10" s="1"/>
  <c r="C1156" i="10" s="1"/>
  <c r="C1157" i="10" s="1"/>
  <c r="C1158" i="10" s="1"/>
  <c r="C1159" i="10" s="1"/>
  <c r="C1160" i="10" s="1"/>
  <c r="C1161" i="10" s="1"/>
  <c r="C1162" i="10" s="1"/>
  <c r="C1163" i="10" s="1"/>
  <c r="C1164" i="10" s="1"/>
  <c r="C1165" i="10" s="1"/>
  <c r="C1166" i="10" s="1"/>
  <c r="C1167" i="10" s="1"/>
  <c r="C1168" i="10" s="1"/>
  <c r="C1169" i="10" s="1"/>
  <c r="C1170" i="10" s="1"/>
  <c r="C1171" i="10" s="1"/>
  <c r="C1172" i="10" s="1"/>
  <c r="C1173" i="10" s="1"/>
  <c r="C1174" i="10" s="1"/>
  <c r="C1175" i="10" s="1"/>
  <c r="C1176" i="10" s="1"/>
  <c r="C1177" i="10" s="1"/>
  <c r="C1178" i="10" s="1"/>
  <c r="C1179" i="10" s="1"/>
  <c r="C1180" i="10" s="1"/>
  <c r="C1181" i="10" s="1"/>
  <c r="C1182" i="10" s="1"/>
  <c r="C1183" i="10" s="1"/>
  <c r="C1184" i="10" s="1"/>
  <c r="C1185" i="10" s="1"/>
  <c r="C1186" i="10" s="1"/>
  <c r="C1187" i="10" s="1"/>
  <c r="C1188" i="10" s="1"/>
  <c r="C1189" i="10" s="1"/>
  <c r="C1190" i="10" s="1"/>
  <c r="C1191" i="10" s="1"/>
  <c r="C1192" i="10" s="1"/>
  <c r="C1193" i="10" s="1"/>
  <c r="C1194" i="10" s="1"/>
  <c r="C1195" i="10" s="1"/>
  <c r="C1196" i="10" s="1"/>
  <c r="C1197" i="10" s="1"/>
  <c r="C1198" i="10" s="1"/>
  <c r="C1199" i="10" s="1"/>
  <c r="C1200" i="10" s="1"/>
  <c r="C1201" i="10" s="1"/>
  <c r="C1202" i="10" s="1"/>
  <c r="C1203" i="10" s="1"/>
  <c r="C1204" i="10" s="1"/>
  <c r="C1205" i="10" s="1"/>
  <c r="C1206" i="10" s="1"/>
  <c r="C1207" i="10" s="1"/>
  <c r="C1208" i="10" s="1"/>
  <c r="C1209" i="10" s="1"/>
  <c r="C1210" i="10" s="1"/>
  <c r="C1211" i="10" s="1"/>
  <c r="C1212" i="10" s="1"/>
  <c r="C1213" i="10" s="1"/>
  <c r="C1214" i="10" s="1"/>
  <c r="C1215" i="10" s="1"/>
  <c r="C1216" i="10" s="1"/>
  <c r="C1217" i="10" s="1"/>
  <c r="C1218" i="10" s="1"/>
  <c r="C1219" i="10" s="1"/>
  <c r="C1220" i="10" s="1"/>
  <c r="C1221" i="10" s="1"/>
  <c r="C1222" i="10" s="1"/>
  <c r="C1223" i="10" s="1"/>
  <c r="C1224" i="10" s="1"/>
  <c r="C1225" i="10" s="1"/>
  <c r="C1226" i="10" s="1"/>
  <c r="C1227" i="10" s="1"/>
  <c r="C1228" i="10" s="1"/>
  <c r="C1229" i="10" s="1"/>
  <c r="C1230" i="10" s="1"/>
  <c r="C1231" i="10" s="1"/>
  <c r="C1232" i="10" s="1"/>
  <c r="C1233" i="10" s="1"/>
  <c r="C1234" i="10" s="1"/>
  <c r="C1235" i="10" s="1"/>
  <c r="C1236" i="10" s="1"/>
  <c r="C1237" i="10" s="1"/>
  <c r="C1238" i="10" s="1"/>
  <c r="C1239" i="10" s="1"/>
  <c r="C1240" i="10" s="1"/>
  <c r="C1241" i="10" s="1"/>
  <c r="C1242" i="10" s="1"/>
  <c r="C1243" i="10" s="1"/>
  <c r="C1244" i="10" s="1"/>
  <c r="C1245" i="10" s="1"/>
  <c r="C1246" i="10" s="1"/>
  <c r="C1247" i="10" s="1"/>
  <c r="C1248" i="10" s="1"/>
  <c r="C1249" i="10" s="1"/>
  <c r="C1250" i="10" s="1"/>
  <c r="C1251" i="10" s="1"/>
  <c r="C1252" i="10" s="1"/>
  <c r="C1253" i="10" s="1"/>
  <c r="C1254" i="10" s="1"/>
  <c r="C1255" i="10" s="1"/>
  <c r="C1256" i="10" s="1"/>
  <c r="C1257" i="10" s="1"/>
  <c r="C1258" i="10" s="1"/>
  <c r="C1259" i="10" s="1"/>
  <c r="C1260" i="10" s="1"/>
  <c r="C1261" i="10" s="1"/>
  <c r="C1262" i="10" s="1"/>
  <c r="C1263" i="10" s="1"/>
  <c r="C1264" i="10" s="1"/>
  <c r="C1265" i="10" s="1"/>
  <c r="C1266" i="10" s="1"/>
  <c r="C1267" i="10" s="1"/>
  <c r="C1268" i="10" s="1"/>
  <c r="C1269" i="10" s="1"/>
  <c r="C1270" i="10" s="1"/>
  <c r="C1271" i="10" s="1"/>
  <c r="C1272" i="10" s="1"/>
  <c r="C1273" i="10" s="1"/>
  <c r="B4" i="10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372" i="10" s="1"/>
  <c r="B373" i="10" s="1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B384" i="10" s="1"/>
  <c r="B385" i="10" s="1"/>
  <c r="B386" i="10" s="1"/>
  <c r="B387" i="10" s="1"/>
  <c r="B388" i="10" s="1"/>
  <c r="B389" i="10" s="1"/>
  <c r="B390" i="10" s="1"/>
  <c r="B391" i="10" s="1"/>
  <c r="B392" i="10" s="1"/>
  <c r="B393" i="10" s="1"/>
  <c r="B394" i="10" s="1"/>
  <c r="B395" i="10" s="1"/>
  <c r="B396" i="10" s="1"/>
  <c r="B397" i="10" s="1"/>
  <c r="B398" i="10" s="1"/>
  <c r="B399" i="10" s="1"/>
  <c r="B400" i="10" s="1"/>
  <c r="B401" i="10" s="1"/>
  <c r="B402" i="10" s="1"/>
  <c r="B403" i="10" s="1"/>
  <c r="B404" i="10" s="1"/>
  <c r="B405" i="10" s="1"/>
  <c r="B406" i="10" s="1"/>
  <c r="B407" i="10" s="1"/>
  <c r="B408" i="10" s="1"/>
  <c r="B409" i="10" s="1"/>
  <c r="B410" i="10" s="1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22" i="10" s="1"/>
  <c r="B423" i="10" s="1"/>
  <c r="B424" i="10" s="1"/>
  <c r="B425" i="10" s="1"/>
  <c r="B426" i="10" s="1"/>
  <c r="B427" i="10" s="1"/>
  <c r="B428" i="10" s="1"/>
  <c r="B429" i="10" s="1"/>
  <c r="B430" i="10" s="1"/>
  <c r="B431" i="10" s="1"/>
  <c r="B432" i="10" s="1"/>
  <c r="B433" i="10" s="1"/>
  <c r="B434" i="10" s="1"/>
  <c r="B435" i="10" s="1"/>
  <c r="B436" i="10" s="1"/>
  <c r="B437" i="10" s="1"/>
  <c r="B438" i="10" s="1"/>
  <c r="B439" i="10" s="1"/>
  <c r="B440" i="10" s="1"/>
  <c r="B441" i="10" s="1"/>
  <c r="B442" i="10" s="1"/>
  <c r="B443" i="10" s="1"/>
  <c r="B444" i="10" s="1"/>
  <c r="B445" i="10" s="1"/>
  <c r="B446" i="10" s="1"/>
  <c r="B447" i="10" s="1"/>
  <c r="B448" i="10" s="1"/>
  <c r="B449" i="10" s="1"/>
  <c r="B450" i="10" s="1"/>
  <c r="B451" i="10" s="1"/>
  <c r="B452" i="10" s="1"/>
  <c r="B453" i="10" s="1"/>
  <c r="B454" i="10" s="1"/>
  <c r="B455" i="10" s="1"/>
  <c r="B456" i="10" s="1"/>
  <c r="B457" i="10" s="1"/>
  <c r="B458" i="10" s="1"/>
  <c r="B459" i="10" s="1"/>
  <c r="B460" i="10" s="1"/>
  <c r="B461" i="10" s="1"/>
  <c r="B462" i="10" s="1"/>
  <c r="B463" i="10" s="1"/>
  <c r="B464" i="10" s="1"/>
  <c r="B465" i="10" s="1"/>
  <c r="B466" i="10" s="1"/>
  <c r="B467" i="10" s="1"/>
  <c r="B468" i="10" s="1"/>
  <c r="B469" i="10" s="1"/>
  <c r="B470" i="10" s="1"/>
  <c r="B471" i="10" s="1"/>
  <c r="B472" i="10" s="1"/>
  <c r="B473" i="10" s="1"/>
  <c r="B474" i="10" s="1"/>
  <c r="B475" i="10" s="1"/>
  <c r="B476" i="10" s="1"/>
  <c r="B477" i="10" s="1"/>
  <c r="B478" i="10" s="1"/>
  <c r="B479" i="10" s="1"/>
  <c r="B480" i="10" s="1"/>
  <c r="B481" i="10" s="1"/>
  <c r="B482" i="10" s="1"/>
  <c r="B483" i="10" s="1"/>
  <c r="B484" i="10" s="1"/>
  <c r="B485" i="10" s="1"/>
  <c r="B486" i="10" s="1"/>
  <c r="B487" i="10" s="1"/>
  <c r="B488" i="10" s="1"/>
  <c r="B489" i="10" s="1"/>
  <c r="B490" i="10" s="1"/>
  <c r="B491" i="10" s="1"/>
  <c r="B492" i="10" s="1"/>
  <c r="B493" i="10" s="1"/>
  <c r="B494" i="10" s="1"/>
  <c r="B495" i="10" s="1"/>
  <c r="B496" i="10" s="1"/>
  <c r="B497" i="10" s="1"/>
  <c r="B498" i="10" s="1"/>
  <c r="B499" i="10" s="1"/>
  <c r="B500" i="10" s="1"/>
  <c r="B501" i="10" s="1"/>
  <c r="B502" i="10" s="1"/>
  <c r="B503" i="10" s="1"/>
  <c r="B504" i="10" s="1"/>
  <c r="B505" i="10" s="1"/>
  <c r="B506" i="10" s="1"/>
  <c r="B507" i="10" s="1"/>
  <c r="B508" i="10" s="1"/>
  <c r="B509" i="10" s="1"/>
  <c r="B510" i="10" s="1"/>
  <c r="B511" i="10" s="1"/>
  <c r="B512" i="10" s="1"/>
  <c r="B513" i="10" s="1"/>
  <c r="B514" i="10" s="1"/>
  <c r="B515" i="10" s="1"/>
  <c r="B516" i="10" s="1"/>
  <c r="B517" i="10" s="1"/>
  <c r="B518" i="10" s="1"/>
  <c r="B519" i="10" s="1"/>
  <c r="B520" i="10" s="1"/>
  <c r="B521" i="10" s="1"/>
  <c r="B522" i="10" s="1"/>
  <c r="B523" i="10" s="1"/>
  <c r="B524" i="10" s="1"/>
  <c r="B525" i="10" s="1"/>
  <c r="B526" i="10" s="1"/>
  <c r="B527" i="10" s="1"/>
  <c r="B528" i="10" s="1"/>
  <c r="B529" i="10" s="1"/>
  <c r="B530" i="10" s="1"/>
  <c r="B531" i="10" s="1"/>
  <c r="B532" i="10" s="1"/>
  <c r="B533" i="10" s="1"/>
  <c r="B534" i="10" s="1"/>
  <c r="B535" i="10" s="1"/>
  <c r="B536" i="10" s="1"/>
  <c r="B537" i="10" s="1"/>
  <c r="B538" i="10" s="1"/>
  <c r="B539" i="10" s="1"/>
  <c r="B540" i="10" s="1"/>
  <c r="B541" i="10" s="1"/>
  <c r="B542" i="10" s="1"/>
  <c r="B543" i="10" s="1"/>
  <c r="B544" i="10" s="1"/>
  <c r="B545" i="10" s="1"/>
  <c r="B546" i="10" s="1"/>
  <c r="B547" i="10" s="1"/>
  <c r="B548" i="10" s="1"/>
  <c r="B549" i="10" s="1"/>
  <c r="B550" i="10" s="1"/>
  <c r="B551" i="10" s="1"/>
  <c r="B552" i="10" s="1"/>
  <c r="B553" i="10" s="1"/>
  <c r="B554" i="10" s="1"/>
  <c r="B555" i="10" s="1"/>
  <c r="B556" i="10" s="1"/>
  <c r="B557" i="10" s="1"/>
  <c r="B558" i="10" s="1"/>
  <c r="B559" i="10" s="1"/>
  <c r="B560" i="10" s="1"/>
  <c r="B561" i="10" s="1"/>
  <c r="B562" i="10" s="1"/>
  <c r="B563" i="10" s="1"/>
  <c r="B564" i="10" s="1"/>
  <c r="B565" i="10" s="1"/>
  <c r="B566" i="10" s="1"/>
  <c r="B567" i="10" s="1"/>
  <c r="B568" i="10" s="1"/>
  <c r="B569" i="10" s="1"/>
  <c r="B570" i="10" s="1"/>
  <c r="B571" i="10" s="1"/>
  <c r="B572" i="10" s="1"/>
  <c r="B573" i="10" s="1"/>
  <c r="B574" i="10" s="1"/>
  <c r="B575" i="10" s="1"/>
  <c r="B576" i="10" s="1"/>
  <c r="B577" i="10" s="1"/>
  <c r="B578" i="10" s="1"/>
  <c r="B579" i="10" s="1"/>
  <c r="B580" i="10" s="1"/>
  <c r="B581" i="10" s="1"/>
  <c r="B582" i="10" s="1"/>
  <c r="B583" i="10" s="1"/>
  <c r="B584" i="10" s="1"/>
  <c r="B585" i="10" s="1"/>
  <c r="B586" i="10" s="1"/>
  <c r="B587" i="10" s="1"/>
  <c r="B588" i="10" s="1"/>
  <c r="B589" i="10" s="1"/>
  <c r="B590" i="10" s="1"/>
  <c r="B591" i="10" s="1"/>
  <c r="B592" i="10" s="1"/>
  <c r="B593" i="10" s="1"/>
  <c r="B594" i="10" s="1"/>
  <c r="B595" i="10" s="1"/>
  <c r="B596" i="10" s="1"/>
  <c r="B597" i="10" s="1"/>
  <c r="B598" i="10" s="1"/>
  <c r="B599" i="10" s="1"/>
  <c r="B600" i="10" s="1"/>
  <c r="B601" i="10" s="1"/>
  <c r="B602" i="10" s="1"/>
  <c r="B603" i="10" s="1"/>
  <c r="B604" i="10" s="1"/>
  <c r="B605" i="10" s="1"/>
  <c r="B606" i="10" s="1"/>
  <c r="B607" i="10" s="1"/>
  <c r="B608" i="10" s="1"/>
  <c r="B609" i="10" s="1"/>
  <c r="B610" i="10" s="1"/>
  <c r="B611" i="10" s="1"/>
  <c r="B612" i="10" s="1"/>
  <c r="B613" i="10" s="1"/>
  <c r="B614" i="10" s="1"/>
  <c r="B615" i="10" s="1"/>
  <c r="B616" i="10" s="1"/>
  <c r="B617" i="10" s="1"/>
  <c r="B618" i="10" s="1"/>
  <c r="B619" i="10" s="1"/>
  <c r="B620" i="10" s="1"/>
  <c r="B621" i="10" s="1"/>
  <c r="B622" i="10" s="1"/>
  <c r="B623" i="10" s="1"/>
  <c r="B624" i="10" s="1"/>
  <c r="B625" i="10" s="1"/>
  <c r="B626" i="10" s="1"/>
  <c r="B627" i="10" s="1"/>
  <c r="B628" i="10" s="1"/>
  <c r="B629" i="10" s="1"/>
  <c r="B630" i="10" s="1"/>
  <c r="B631" i="10" s="1"/>
  <c r="B632" i="10" s="1"/>
  <c r="B633" i="10" s="1"/>
  <c r="B634" i="10" s="1"/>
  <c r="B635" i="10" s="1"/>
  <c r="B636" i="10" s="1"/>
  <c r="B637" i="10" s="1"/>
  <c r="B638" i="10" s="1"/>
  <c r="B639" i="10" s="1"/>
  <c r="B640" i="10" s="1"/>
  <c r="B641" i="10" s="1"/>
  <c r="B642" i="10" s="1"/>
  <c r="B643" i="10" s="1"/>
  <c r="B644" i="10" s="1"/>
  <c r="B645" i="10" s="1"/>
  <c r="B646" i="10" s="1"/>
  <c r="B647" i="10" s="1"/>
  <c r="B648" i="10" s="1"/>
  <c r="B649" i="10" s="1"/>
  <c r="B650" i="10" s="1"/>
  <c r="B651" i="10" s="1"/>
  <c r="B652" i="10" s="1"/>
  <c r="B653" i="10" s="1"/>
  <c r="B654" i="10" s="1"/>
  <c r="B655" i="10" s="1"/>
  <c r="B656" i="10" s="1"/>
  <c r="B657" i="10" s="1"/>
  <c r="B658" i="10" s="1"/>
  <c r="B659" i="10" s="1"/>
  <c r="B660" i="10" s="1"/>
  <c r="B661" i="10" s="1"/>
  <c r="B662" i="10" s="1"/>
  <c r="B663" i="10" s="1"/>
  <c r="B664" i="10" s="1"/>
  <c r="B665" i="10" s="1"/>
  <c r="B666" i="10" s="1"/>
  <c r="B667" i="10" s="1"/>
  <c r="B668" i="10" s="1"/>
  <c r="B669" i="10" s="1"/>
  <c r="B670" i="10" s="1"/>
  <c r="B671" i="10" s="1"/>
  <c r="B672" i="10" s="1"/>
  <c r="B673" i="10" s="1"/>
  <c r="B674" i="10" s="1"/>
  <c r="B675" i="10" s="1"/>
  <c r="B676" i="10" s="1"/>
  <c r="B677" i="10" s="1"/>
  <c r="B678" i="10" s="1"/>
  <c r="B679" i="10" s="1"/>
  <c r="B680" i="10" s="1"/>
  <c r="B681" i="10" s="1"/>
  <c r="B682" i="10" s="1"/>
  <c r="B683" i="10" s="1"/>
  <c r="B684" i="10" s="1"/>
  <c r="B685" i="10" s="1"/>
  <c r="B686" i="10" s="1"/>
  <c r="B687" i="10" s="1"/>
  <c r="B688" i="10" s="1"/>
  <c r="B689" i="10" s="1"/>
  <c r="B690" i="10" s="1"/>
  <c r="B691" i="10" s="1"/>
  <c r="B692" i="10" s="1"/>
  <c r="B693" i="10" s="1"/>
  <c r="B694" i="10" s="1"/>
  <c r="B695" i="10" s="1"/>
  <c r="B696" i="10" s="1"/>
  <c r="B697" i="10" s="1"/>
  <c r="B698" i="10" s="1"/>
  <c r="B699" i="10" s="1"/>
  <c r="B700" i="10" s="1"/>
  <c r="B701" i="10" s="1"/>
  <c r="B702" i="10" s="1"/>
  <c r="B703" i="10" s="1"/>
  <c r="B704" i="10" s="1"/>
  <c r="B705" i="10" s="1"/>
  <c r="B706" i="10" s="1"/>
  <c r="B707" i="10" s="1"/>
  <c r="B708" i="10" s="1"/>
  <c r="B709" i="10" s="1"/>
  <c r="B710" i="10" s="1"/>
  <c r="B711" i="10" s="1"/>
  <c r="B712" i="10" s="1"/>
  <c r="B713" i="10" s="1"/>
  <c r="B714" i="10" s="1"/>
  <c r="B715" i="10" s="1"/>
  <c r="B716" i="10" s="1"/>
  <c r="B717" i="10" s="1"/>
  <c r="B718" i="10" s="1"/>
  <c r="B719" i="10" s="1"/>
  <c r="B720" i="10" s="1"/>
  <c r="B721" i="10" s="1"/>
  <c r="B722" i="10" s="1"/>
  <c r="B723" i="10" s="1"/>
  <c r="B724" i="10" s="1"/>
  <c r="B725" i="10" s="1"/>
  <c r="B726" i="10" s="1"/>
  <c r="B727" i="10" s="1"/>
  <c r="B728" i="10" s="1"/>
  <c r="B729" i="10" s="1"/>
  <c r="B730" i="10" s="1"/>
  <c r="B731" i="10" s="1"/>
  <c r="B732" i="10" s="1"/>
  <c r="B733" i="10" s="1"/>
  <c r="B734" i="10" s="1"/>
  <c r="B735" i="10" s="1"/>
  <c r="B736" i="10" s="1"/>
  <c r="B737" i="10" s="1"/>
  <c r="B738" i="10" s="1"/>
  <c r="B739" i="10" s="1"/>
  <c r="B740" i="10" s="1"/>
  <c r="B741" i="10" s="1"/>
  <c r="B742" i="10" s="1"/>
  <c r="B743" i="10" s="1"/>
  <c r="B744" i="10" s="1"/>
  <c r="B745" i="10" s="1"/>
  <c r="B746" i="10" s="1"/>
  <c r="B747" i="10" s="1"/>
  <c r="B748" i="10" s="1"/>
  <c r="B749" i="10" s="1"/>
  <c r="B750" i="10" s="1"/>
  <c r="B751" i="10" s="1"/>
  <c r="B752" i="10" s="1"/>
  <c r="B753" i="10" s="1"/>
  <c r="B754" i="10" s="1"/>
  <c r="B755" i="10" s="1"/>
  <c r="B756" i="10" s="1"/>
  <c r="B757" i="10" s="1"/>
  <c r="B758" i="10" s="1"/>
  <c r="B759" i="10" s="1"/>
  <c r="B760" i="10" s="1"/>
  <c r="B761" i="10" s="1"/>
  <c r="B762" i="10" s="1"/>
  <c r="B763" i="10" s="1"/>
  <c r="B764" i="10" s="1"/>
  <c r="B765" i="10" s="1"/>
  <c r="B766" i="10" s="1"/>
  <c r="B767" i="10" s="1"/>
  <c r="B768" i="10" s="1"/>
  <c r="B769" i="10" s="1"/>
  <c r="B770" i="10" s="1"/>
  <c r="B771" i="10" s="1"/>
  <c r="B772" i="10" s="1"/>
  <c r="B773" i="10" s="1"/>
  <c r="B774" i="10" s="1"/>
  <c r="B775" i="10" s="1"/>
  <c r="B776" i="10" s="1"/>
  <c r="B777" i="10" s="1"/>
  <c r="B778" i="10" s="1"/>
  <c r="B779" i="10" s="1"/>
  <c r="B780" i="10" s="1"/>
  <c r="B781" i="10" s="1"/>
  <c r="B782" i="10" s="1"/>
  <c r="B783" i="10" s="1"/>
  <c r="B784" i="10" s="1"/>
  <c r="B785" i="10" s="1"/>
  <c r="B786" i="10" s="1"/>
  <c r="B787" i="10" s="1"/>
  <c r="B788" i="10" s="1"/>
  <c r="B789" i="10" s="1"/>
  <c r="B790" i="10" s="1"/>
  <c r="B791" i="10" s="1"/>
  <c r="B792" i="10" s="1"/>
  <c r="B793" i="10" s="1"/>
  <c r="B794" i="10" s="1"/>
  <c r="B795" i="10" s="1"/>
  <c r="B796" i="10" s="1"/>
  <c r="B797" i="10" s="1"/>
  <c r="B798" i="10" s="1"/>
  <c r="B799" i="10" s="1"/>
  <c r="B800" i="10" s="1"/>
  <c r="B801" i="10" s="1"/>
  <c r="B802" i="10" s="1"/>
  <c r="B803" i="10" s="1"/>
  <c r="B804" i="10" s="1"/>
  <c r="B805" i="10" s="1"/>
  <c r="B806" i="10" s="1"/>
  <c r="B807" i="10" s="1"/>
  <c r="B808" i="10" s="1"/>
  <c r="B809" i="10" s="1"/>
  <c r="B810" i="10" s="1"/>
  <c r="B811" i="10" s="1"/>
  <c r="B812" i="10" s="1"/>
  <c r="B813" i="10" s="1"/>
  <c r="B814" i="10" s="1"/>
  <c r="B815" i="10" s="1"/>
  <c r="B816" i="10" s="1"/>
  <c r="B817" i="10" s="1"/>
  <c r="B818" i="10" s="1"/>
  <c r="B819" i="10" s="1"/>
  <c r="B820" i="10" s="1"/>
  <c r="B821" i="10" s="1"/>
  <c r="B822" i="10" s="1"/>
  <c r="B823" i="10" s="1"/>
  <c r="B824" i="10" s="1"/>
  <c r="B825" i="10" s="1"/>
  <c r="B826" i="10" s="1"/>
  <c r="B827" i="10" s="1"/>
  <c r="B828" i="10" s="1"/>
  <c r="B829" i="10" s="1"/>
  <c r="B830" i="10" s="1"/>
  <c r="B831" i="10" s="1"/>
  <c r="B832" i="10" s="1"/>
  <c r="B833" i="10" s="1"/>
  <c r="B834" i="10" s="1"/>
  <c r="B835" i="10" s="1"/>
  <c r="B836" i="10" s="1"/>
  <c r="B837" i="10" s="1"/>
  <c r="B838" i="10" s="1"/>
  <c r="B839" i="10" s="1"/>
  <c r="B840" i="10" s="1"/>
  <c r="B841" i="10" s="1"/>
  <c r="B842" i="10" s="1"/>
  <c r="B843" i="10" s="1"/>
  <c r="B844" i="10" s="1"/>
  <c r="B845" i="10" s="1"/>
  <c r="B846" i="10" s="1"/>
  <c r="B847" i="10" s="1"/>
  <c r="B848" i="10" s="1"/>
  <c r="B849" i="10" s="1"/>
  <c r="B850" i="10" s="1"/>
  <c r="B851" i="10" s="1"/>
  <c r="B852" i="10" s="1"/>
  <c r="B853" i="10" s="1"/>
  <c r="B854" i="10" s="1"/>
  <c r="B855" i="10" s="1"/>
  <c r="B856" i="10" s="1"/>
  <c r="B857" i="10" s="1"/>
  <c r="B858" i="10" s="1"/>
  <c r="B859" i="10" s="1"/>
  <c r="B860" i="10" s="1"/>
  <c r="B861" i="10" s="1"/>
  <c r="B862" i="10" s="1"/>
  <c r="B863" i="10" s="1"/>
  <c r="B864" i="10" s="1"/>
  <c r="B865" i="10" s="1"/>
  <c r="B866" i="10" s="1"/>
  <c r="B867" i="10" s="1"/>
  <c r="B868" i="10" s="1"/>
  <c r="B869" i="10" s="1"/>
  <c r="B870" i="10" s="1"/>
  <c r="B871" i="10" s="1"/>
  <c r="B872" i="10" s="1"/>
  <c r="B873" i="10" s="1"/>
  <c r="B874" i="10" s="1"/>
  <c r="B875" i="10" s="1"/>
  <c r="B876" i="10" s="1"/>
  <c r="B877" i="10" s="1"/>
  <c r="B878" i="10" s="1"/>
  <c r="B879" i="10" s="1"/>
  <c r="B880" i="10" s="1"/>
  <c r="B881" i="10" s="1"/>
  <c r="B882" i="10" s="1"/>
  <c r="B883" i="10" s="1"/>
  <c r="B884" i="10" s="1"/>
  <c r="B885" i="10" s="1"/>
  <c r="B886" i="10" s="1"/>
  <c r="B887" i="10" s="1"/>
  <c r="B888" i="10" s="1"/>
  <c r="B889" i="10" s="1"/>
  <c r="B890" i="10" s="1"/>
  <c r="B891" i="10" s="1"/>
  <c r="B892" i="10" s="1"/>
  <c r="B893" i="10" s="1"/>
  <c r="B894" i="10" s="1"/>
  <c r="B895" i="10" s="1"/>
  <c r="B896" i="10" s="1"/>
  <c r="B897" i="10" s="1"/>
  <c r="B898" i="10" s="1"/>
  <c r="B899" i="10" s="1"/>
  <c r="B900" i="10" s="1"/>
  <c r="B901" i="10" s="1"/>
  <c r="B902" i="10" s="1"/>
  <c r="B903" i="10" s="1"/>
  <c r="B904" i="10" s="1"/>
  <c r="B905" i="10" s="1"/>
  <c r="B906" i="10" s="1"/>
  <c r="B907" i="10" s="1"/>
  <c r="B908" i="10" s="1"/>
  <c r="B909" i="10" s="1"/>
  <c r="B910" i="10" s="1"/>
  <c r="B911" i="10" s="1"/>
  <c r="B912" i="10" s="1"/>
  <c r="B913" i="10" s="1"/>
  <c r="B914" i="10" s="1"/>
  <c r="B915" i="10" s="1"/>
  <c r="B916" i="10" s="1"/>
  <c r="B917" i="10" s="1"/>
  <c r="B918" i="10" s="1"/>
  <c r="B919" i="10" s="1"/>
  <c r="B920" i="10" s="1"/>
  <c r="B921" i="10" s="1"/>
  <c r="B922" i="10" s="1"/>
  <c r="B923" i="10" s="1"/>
  <c r="B924" i="10" s="1"/>
  <c r="B925" i="10" s="1"/>
  <c r="B926" i="10" s="1"/>
  <c r="B927" i="10" s="1"/>
  <c r="B928" i="10" s="1"/>
  <c r="B929" i="10" s="1"/>
  <c r="B930" i="10" s="1"/>
  <c r="B931" i="10" s="1"/>
  <c r="B932" i="10" s="1"/>
  <c r="B933" i="10" s="1"/>
  <c r="B934" i="10" s="1"/>
  <c r="B935" i="10" s="1"/>
  <c r="B936" i="10" s="1"/>
  <c r="B937" i="10" s="1"/>
  <c r="B938" i="10" s="1"/>
  <c r="B939" i="10" s="1"/>
  <c r="B940" i="10" s="1"/>
  <c r="B941" i="10" s="1"/>
  <c r="B942" i="10" s="1"/>
  <c r="B943" i="10" s="1"/>
  <c r="B944" i="10" s="1"/>
  <c r="B945" i="10" s="1"/>
  <c r="B946" i="10" s="1"/>
  <c r="B947" i="10" s="1"/>
  <c r="B948" i="10" s="1"/>
  <c r="B949" i="10" s="1"/>
  <c r="B950" i="10" s="1"/>
  <c r="B951" i="10" s="1"/>
  <c r="B952" i="10" s="1"/>
  <c r="B953" i="10" s="1"/>
  <c r="B954" i="10" s="1"/>
  <c r="B955" i="10" s="1"/>
  <c r="B956" i="10" s="1"/>
  <c r="B957" i="10" s="1"/>
  <c r="B958" i="10" s="1"/>
  <c r="B959" i="10" s="1"/>
  <c r="B960" i="10" s="1"/>
  <c r="B961" i="10" s="1"/>
  <c r="B962" i="10" s="1"/>
  <c r="B963" i="10" s="1"/>
  <c r="B964" i="10" s="1"/>
  <c r="B965" i="10" s="1"/>
  <c r="B966" i="10" s="1"/>
  <c r="B967" i="10" s="1"/>
  <c r="B968" i="10" s="1"/>
  <c r="B969" i="10" s="1"/>
  <c r="B970" i="10" s="1"/>
  <c r="B971" i="10" s="1"/>
  <c r="B972" i="10" s="1"/>
  <c r="B973" i="10" s="1"/>
  <c r="B974" i="10" s="1"/>
  <c r="B975" i="10" s="1"/>
  <c r="B976" i="10" s="1"/>
  <c r="B977" i="10" s="1"/>
  <c r="B978" i="10" s="1"/>
  <c r="B979" i="10" s="1"/>
  <c r="B980" i="10" s="1"/>
  <c r="B981" i="10" s="1"/>
  <c r="B982" i="10" s="1"/>
  <c r="B983" i="10" s="1"/>
  <c r="B984" i="10" s="1"/>
  <c r="B985" i="10" s="1"/>
  <c r="B986" i="10" s="1"/>
  <c r="B987" i="10" s="1"/>
  <c r="B988" i="10" s="1"/>
  <c r="B989" i="10" s="1"/>
  <c r="B990" i="10" s="1"/>
  <c r="B991" i="10" s="1"/>
  <c r="B992" i="10" s="1"/>
  <c r="B993" i="10" s="1"/>
  <c r="B994" i="10" s="1"/>
  <c r="B995" i="10" s="1"/>
  <c r="B996" i="10" s="1"/>
  <c r="B997" i="10" s="1"/>
  <c r="B998" i="10" s="1"/>
  <c r="B999" i="10" s="1"/>
  <c r="B1000" i="10" s="1"/>
  <c r="B1001" i="10" s="1"/>
  <c r="B1002" i="10" s="1"/>
  <c r="B1003" i="10" s="1"/>
  <c r="B1004" i="10" s="1"/>
  <c r="B1005" i="10" s="1"/>
  <c r="B1006" i="10" s="1"/>
  <c r="B1007" i="10" s="1"/>
  <c r="B1008" i="10" s="1"/>
  <c r="B1009" i="10" s="1"/>
  <c r="B1010" i="10" s="1"/>
  <c r="B1011" i="10" s="1"/>
  <c r="B1012" i="10" s="1"/>
  <c r="B1013" i="10" s="1"/>
  <c r="B1014" i="10" s="1"/>
  <c r="B1015" i="10" s="1"/>
  <c r="B1016" i="10" s="1"/>
  <c r="B1017" i="10" s="1"/>
  <c r="B1018" i="10" s="1"/>
  <c r="B1019" i="10" s="1"/>
  <c r="B1020" i="10" s="1"/>
  <c r="B1021" i="10" s="1"/>
  <c r="B1022" i="10" s="1"/>
  <c r="B1023" i="10" s="1"/>
  <c r="B1024" i="10" s="1"/>
  <c r="B1025" i="10" s="1"/>
  <c r="B1026" i="10" s="1"/>
  <c r="B1027" i="10" s="1"/>
  <c r="B1028" i="10" s="1"/>
  <c r="B1029" i="10" s="1"/>
  <c r="B1030" i="10" s="1"/>
  <c r="B1031" i="10" s="1"/>
  <c r="B1032" i="10" s="1"/>
  <c r="B1033" i="10" s="1"/>
  <c r="B1034" i="10" s="1"/>
  <c r="B1035" i="10" s="1"/>
  <c r="B1036" i="10" s="1"/>
  <c r="B1037" i="10" s="1"/>
  <c r="B1038" i="10" s="1"/>
  <c r="B1039" i="10" s="1"/>
  <c r="B1040" i="10" s="1"/>
  <c r="B1041" i="10" s="1"/>
  <c r="B1042" i="10" s="1"/>
  <c r="B1043" i="10" s="1"/>
  <c r="B1044" i="10" s="1"/>
  <c r="B1045" i="10" s="1"/>
  <c r="B1046" i="10" s="1"/>
  <c r="B1047" i="10" s="1"/>
  <c r="B1048" i="10" s="1"/>
  <c r="B1049" i="10" s="1"/>
  <c r="B1050" i="10" s="1"/>
  <c r="B1051" i="10" s="1"/>
  <c r="B1052" i="10" s="1"/>
  <c r="B1053" i="10" s="1"/>
  <c r="B1054" i="10" s="1"/>
  <c r="B1055" i="10" s="1"/>
  <c r="B1056" i="10" s="1"/>
  <c r="B1057" i="10" s="1"/>
  <c r="B1058" i="10" s="1"/>
  <c r="B1059" i="10" s="1"/>
  <c r="B1060" i="10" s="1"/>
  <c r="B1061" i="10" s="1"/>
  <c r="B1062" i="10" s="1"/>
  <c r="B1063" i="10" s="1"/>
  <c r="B1064" i="10" s="1"/>
  <c r="B1065" i="10" s="1"/>
  <c r="B1066" i="10" s="1"/>
  <c r="B1067" i="10" s="1"/>
  <c r="B1068" i="10" s="1"/>
  <c r="B1069" i="10" s="1"/>
  <c r="B1070" i="10" s="1"/>
  <c r="B1071" i="10" s="1"/>
  <c r="B1072" i="10" s="1"/>
  <c r="B1073" i="10" s="1"/>
  <c r="B1074" i="10" s="1"/>
  <c r="B1075" i="10" s="1"/>
  <c r="B1076" i="10" s="1"/>
  <c r="B1077" i="10" s="1"/>
  <c r="B1078" i="10" s="1"/>
  <c r="B1079" i="10" s="1"/>
  <c r="B1080" i="10" s="1"/>
  <c r="B1081" i="10" s="1"/>
  <c r="B1082" i="10" s="1"/>
  <c r="B1083" i="10" s="1"/>
  <c r="B1084" i="10" s="1"/>
  <c r="B1085" i="10" s="1"/>
  <c r="B1086" i="10" s="1"/>
  <c r="B1087" i="10" s="1"/>
  <c r="B1088" i="10" s="1"/>
  <c r="B1089" i="10" s="1"/>
  <c r="B1090" i="10" s="1"/>
  <c r="B1091" i="10" s="1"/>
  <c r="B1092" i="10" s="1"/>
  <c r="B1093" i="10" s="1"/>
  <c r="B1094" i="10" s="1"/>
  <c r="B1095" i="10" s="1"/>
  <c r="B1096" i="10" s="1"/>
  <c r="B1097" i="10" s="1"/>
  <c r="B1098" i="10" s="1"/>
  <c r="B1099" i="10" s="1"/>
  <c r="B1100" i="10" s="1"/>
  <c r="B1101" i="10" s="1"/>
  <c r="B1102" i="10" s="1"/>
  <c r="B1103" i="10" s="1"/>
  <c r="B1104" i="10" s="1"/>
  <c r="B1105" i="10" s="1"/>
  <c r="B1106" i="10" s="1"/>
  <c r="B1107" i="10" s="1"/>
  <c r="B1108" i="10" s="1"/>
  <c r="B1109" i="10" s="1"/>
  <c r="B1110" i="10" s="1"/>
  <c r="B1111" i="10" s="1"/>
  <c r="B1112" i="10" s="1"/>
  <c r="B1113" i="10" s="1"/>
  <c r="B1114" i="10" s="1"/>
  <c r="B1115" i="10" s="1"/>
  <c r="B1116" i="10" s="1"/>
  <c r="B1117" i="10" s="1"/>
  <c r="B1118" i="10" s="1"/>
  <c r="B1119" i="10" s="1"/>
  <c r="B1120" i="10" s="1"/>
  <c r="B1121" i="10" s="1"/>
  <c r="B1122" i="10" s="1"/>
  <c r="B1123" i="10" s="1"/>
  <c r="B1124" i="10" s="1"/>
  <c r="B1125" i="10" s="1"/>
  <c r="B1126" i="10" s="1"/>
  <c r="B1127" i="10" s="1"/>
  <c r="B1128" i="10" s="1"/>
  <c r="B1129" i="10" s="1"/>
  <c r="B1130" i="10" s="1"/>
  <c r="B1131" i="10" s="1"/>
  <c r="B1132" i="10" s="1"/>
  <c r="B1133" i="10" s="1"/>
  <c r="B1134" i="10" s="1"/>
  <c r="B1135" i="10" s="1"/>
  <c r="B1136" i="10" s="1"/>
  <c r="B1137" i="10" s="1"/>
  <c r="B1138" i="10" s="1"/>
  <c r="B1139" i="10" s="1"/>
  <c r="B1140" i="10" s="1"/>
  <c r="B1141" i="10" s="1"/>
  <c r="B1142" i="10" s="1"/>
  <c r="B1143" i="10" s="1"/>
  <c r="B1144" i="10" s="1"/>
  <c r="B1145" i="10" s="1"/>
  <c r="B1146" i="10" s="1"/>
  <c r="B1147" i="10" s="1"/>
  <c r="B1148" i="10" s="1"/>
  <c r="B1149" i="10" s="1"/>
  <c r="B1150" i="10" s="1"/>
  <c r="B1151" i="10" s="1"/>
  <c r="B1152" i="10" s="1"/>
  <c r="B1153" i="10" s="1"/>
  <c r="B1154" i="10" s="1"/>
  <c r="B1155" i="10" s="1"/>
  <c r="B1156" i="10" s="1"/>
  <c r="B1157" i="10" s="1"/>
  <c r="B1158" i="10" s="1"/>
  <c r="B1159" i="10" s="1"/>
  <c r="B1160" i="10" s="1"/>
  <c r="B1161" i="10" s="1"/>
  <c r="B1162" i="10" s="1"/>
  <c r="B1163" i="10" s="1"/>
  <c r="B1164" i="10" s="1"/>
  <c r="B1165" i="10" s="1"/>
  <c r="B1166" i="10" s="1"/>
  <c r="B1167" i="10" s="1"/>
  <c r="B1168" i="10" s="1"/>
  <c r="B1169" i="10" s="1"/>
  <c r="B1170" i="10" s="1"/>
  <c r="B1171" i="10" s="1"/>
  <c r="B1172" i="10" s="1"/>
  <c r="B1173" i="10" s="1"/>
  <c r="B1174" i="10" s="1"/>
  <c r="B1175" i="10" s="1"/>
  <c r="B1176" i="10" s="1"/>
  <c r="B1177" i="10" s="1"/>
  <c r="B1178" i="10" s="1"/>
  <c r="B1179" i="10" s="1"/>
  <c r="B1180" i="10" s="1"/>
  <c r="B1181" i="10" s="1"/>
  <c r="B1182" i="10" s="1"/>
  <c r="B1183" i="10" s="1"/>
  <c r="B1184" i="10" s="1"/>
  <c r="B1185" i="10" s="1"/>
  <c r="B1186" i="10" s="1"/>
  <c r="B1187" i="10" s="1"/>
  <c r="B1188" i="10" s="1"/>
  <c r="B1189" i="10" s="1"/>
  <c r="B1190" i="10" s="1"/>
  <c r="B1191" i="10" s="1"/>
  <c r="B1192" i="10" s="1"/>
  <c r="B1193" i="10" s="1"/>
  <c r="B1194" i="10" s="1"/>
  <c r="B1195" i="10" s="1"/>
  <c r="B1196" i="10" s="1"/>
  <c r="B1197" i="10" s="1"/>
  <c r="B1198" i="10" s="1"/>
  <c r="B1199" i="10" s="1"/>
  <c r="B1200" i="10" s="1"/>
  <c r="B1201" i="10" s="1"/>
  <c r="B1202" i="10" s="1"/>
  <c r="B1203" i="10" s="1"/>
  <c r="B1204" i="10" s="1"/>
  <c r="B1205" i="10" s="1"/>
  <c r="B1206" i="10" s="1"/>
  <c r="B1207" i="10" s="1"/>
  <c r="B1208" i="10" s="1"/>
  <c r="B1209" i="10" s="1"/>
  <c r="B1210" i="10" s="1"/>
  <c r="B1211" i="10" s="1"/>
  <c r="B1212" i="10" s="1"/>
  <c r="B1213" i="10" s="1"/>
  <c r="B1214" i="10" s="1"/>
  <c r="B1215" i="10" s="1"/>
  <c r="B1216" i="10" s="1"/>
  <c r="B1217" i="10" s="1"/>
  <c r="B1218" i="10" s="1"/>
  <c r="B1219" i="10" s="1"/>
  <c r="B1220" i="10" s="1"/>
  <c r="B1221" i="10" s="1"/>
  <c r="B1222" i="10" s="1"/>
  <c r="B1223" i="10" s="1"/>
  <c r="B1224" i="10" s="1"/>
  <c r="B1225" i="10" s="1"/>
  <c r="B1226" i="10" s="1"/>
  <c r="B1227" i="10" s="1"/>
  <c r="B1228" i="10" s="1"/>
  <c r="B1229" i="10" s="1"/>
  <c r="B1230" i="10" s="1"/>
  <c r="B1231" i="10" s="1"/>
  <c r="B1232" i="10" s="1"/>
  <c r="B1233" i="10" s="1"/>
  <c r="B1234" i="10" s="1"/>
  <c r="B1235" i="10" s="1"/>
  <c r="B1236" i="10" s="1"/>
  <c r="B1237" i="10" s="1"/>
  <c r="B1238" i="10" s="1"/>
  <c r="B1239" i="10" s="1"/>
  <c r="B1240" i="10" s="1"/>
  <c r="B1241" i="10" s="1"/>
  <c r="B1242" i="10" s="1"/>
  <c r="B1243" i="10" s="1"/>
  <c r="B1244" i="10" s="1"/>
  <c r="B1245" i="10" s="1"/>
  <c r="B1246" i="10" s="1"/>
  <c r="B1247" i="10" s="1"/>
  <c r="B1248" i="10" s="1"/>
  <c r="B1249" i="10" s="1"/>
  <c r="B1250" i="10" s="1"/>
  <c r="B1251" i="10" s="1"/>
  <c r="B1252" i="10" s="1"/>
  <c r="B1253" i="10" s="1"/>
  <c r="B1254" i="10" s="1"/>
  <c r="B1255" i="10" s="1"/>
  <c r="B1256" i="10" s="1"/>
  <c r="B1257" i="10" s="1"/>
  <c r="B1258" i="10" s="1"/>
  <c r="B1259" i="10" s="1"/>
  <c r="B1260" i="10" s="1"/>
  <c r="B1261" i="10" s="1"/>
  <c r="B1262" i="10" s="1"/>
  <c r="B1263" i="10" s="1"/>
  <c r="B1264" i="10" s="1"/>
  <c r="B1265" i="10" s="1"/>
  <c r="B1266" i="10" s="1"/>
  <c r="B1267" i="10" s="1"/>
  <c r="B1268" i="10" s="1"/>
  <c r="B1269" i="10" s="1"/>
  <c r="B1270" i="10" s="1"/>
  <c r="B1271" i="10" s="1"/>
  <c r="B1272" i="10" s="1"/>
  <c r="B1273" i="10" s="1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201" i="8" s="1"/>
  <c r="C202" i="8" s="1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C403" i="8" s="1"/>
  <c r="C404" i="8" s="1"/>
  <c r="C405" i="8" s="1"/>
  <c r="C406" i="8" s="1"/>
  <c r="C407" i="8" s="1"/>
  <c r="C408" i="8" s="1"/>
  <c r="C409" i="8" s="1"/>
  <c r="C410" i="8" s="1"/>
  <c r="C411" i="8" s="1"/>
  <c r="C412" i="8" s="1"/>
  <c r="C413" i="8" s="1"/>
  <c r="C414" i="8" s="1"/>
  <c r="C415" i="8" s="1"/>
  <c r="C416" i="8" s="1"/>
  <c r="C417" i="8" s="1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B403" i="8" s="1"/>
  <c r="B404" i="8" s="1"/>
  <c r="B405" i="8" s="1"/>
  <c r="B406" i="8" s="1"/>
  <c r="B407" i="8" s="1"/>
  <c r="B408" i="8" s="1"/>
  <c r="B409" i="8" s="1"/>
  <c r="B410" i="8" s="1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C4" i="9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216" i="9" s="1"/>
  <c r="C217" i="9" s="1"/>
  <c r="C218" i="9" s="1"/>
  <c r="C219" i="9" s="1"/>
  <c r="C220" i="9" s="1"/>
  <c r="C221" i="9" s="1"/>
  <c r="C222" i="9" s="1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 s="1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 s="1"/>
  <c r="C258" i="9" s="1"/>
  <c r="C259" i="9" s="1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71" i="9" s="1"/>
  <c r="C272" i="9" s="1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C299" i="9" s="1"/>
  <c r="C300" i="9" s="1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313" i="9" s="1"/>
  <c r="C314" i="9" s="1"/>
  <c r="C315" i="9" s="1"/>
  <c r="C316" i="9" s="1"/>
  <c r="C317" i="9" s="1"/>
  <c r="C318" i="9" s="1"/>
  <c r="C319" i="9" s="1"/>
  <c r="C320" i="9" s="1"/>
  <c r="C321" i="9" s="1"/>
  <c r="C322" i="9" s="1"/>
  <c r="C323" i="9" s="1"/>
  <c r="C324" i="9" s="1"/>
  <c r="C325" i="9" s="1"/>
  <c r="C326" i="9" s="1"/>
  <c r="C327" i="9" s="1"/>
  <c r="C328" i="9" s="1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C355" i="9" s="1"/>
  <c r="C356" i="9" s="1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C367" i="9" s="1"/>
  <c r="C368" i="9" s="1"/>
  <c r="C369" i="9" s="1"/>
  <c r="C370" i="9" s="1"/>
  <c r="C371" i="9" s="1"/>
  <c r="C372" i="9" s="1"/>
  <c r="C373" i="9" s="1"/>
  <c r="C374" i="9" s="1"/>
  <c r="C375" i="9" s="1"/>
  <c r="C376" i="9" s="1"/>
  <c r="C377" i="9" s="1"/>
  <c r="C378" i="9" s="1"/>
  <c r="C379" i="9" s="1"/>
  <c r="C380" i="9" s="1"/>
  <c r="C381" i="9" s="1"/>
  <c r="C382" i="9" s="1"/>
  <c r="C383" i="9" s="1"/>
  <c r="C384" i="9" s="1"/>
  <c r="C385" i="9" s="1"/>
  <c r="C386" i="9" s="1"/>
  <c r="C387" i="9" s="1"/>
  <c r="C388" i="9" s="1"/>
  <c r="C389" i="9" s="1"/>
  <c r="C390" i="9" s="1"/>
  <c r="C391" i="9" s="1"/>
  <c r="C392" i="9" s="1"/>
  <c r="C393" i="9" s="1"/>
  <c r="C394" i="9" s="1"/>
  <c r="C395" i="9" s="1"/>
  <c r="C396" i="9" s="1"/>
  <c r="C397" i="9" s="1"/>
  <c r="C398" i="9" s="1"/>
  <c r="C399" i="9" s="1"/>
  <c r="C400" i="9" s="1"/>
  <c r="C401" i="9" s="1"/>
  <c r="C402" i="9" s="1"/>
  <c r="C403" i="9" s="1"/>
  <c r="C404" i="9" s="1"/>
  <c r="C405" i="9" s="1"/>
  <c r="C406" i="9" s="1"/>
  <c r="C407" i="9" s="1"/>
  <c r="C408" i="9" s="1"/>
  <c r="C409" i="9" s="1"/>
  <c r="C410" i="9" s="1"/>
  <c r="C411" i="9" s="1"/>
  <c r="C412" i="9" s="1"/>
  <c r="C413" i="9" s="1"/>
  <c r="C414" i="9" s="1"/>
  <c r="C415" i="9" s="1"/>
  <c r="C416" i="9" s="1"/>
  <c r="C417" i="9" s="1"/>
  <c r="C418" i="9" s="1"/>
  <c r="C419" i="9" s="1"/>
  <c r="C420" i="9" s="1"/>
  <c r="C421" i="9" s="1"/>
  <c r="C422" i="9" s="1"/>
  <c r="C423" i="9" s="1"/>
  <c r="C424" i="9" s="1"/>
  <c r="C425" i="9" s="1"/>
  <c r="C426" i="9" s="1"/>
  <c r="C427" i="9" s="1"/>
  <c r="C428" i="9" s="1"/>
  <c r="C429" i="9" s="1"/>
  <c r="C430" i="9" s="1"/>
  <c r="C431" i="9" s="1"/>
  <c r="C432" i="9" s="1"/>
  <c r="C433" i="9" s="1"/>
  <c r="C434" i="9" s="1"/>
  <c r="C435" i="9" s="1"/>
  <c r="C436" i="9" s="1"/>
  <c r="C437" i="9" s="1"/>
  <c r="C438" i="9" s="1"/>
  <c r="C439" i="9" s="1"/>
  <c r="C440" i="9" s="1"/>
  <c r="C441" i="9" s="1"/>
  <c r="C442" i="9" s="1"/>
  <c r="C443" i="9" s="1"/>
  <c r="C444" i="9" s="1"/>
  <c r="C445" i="9" s="1"/>
  <c r="C446" i="9" s="1"/>
  <c r="C447" i="9" s="1"/>
  <c r="C448" i="9" s="1"/>
  <c r="C449" i="9" s="1"/>
  <c r="C450" i="9" s="1"/>
  <c r="C451" i="9" s="1"/>
  <c r="C452" i="9" s="1"/>
  <c r="C453" i="9" s="1"/>
  <c r="C454" i="9" s="1"/>
  <c r="C455" i="9" s="1"/>
  <c r="C456" i="9" s="1"/>
  <c r="C457" i="9" s="1"/>
  <c r="C458" i="9" s="1"/>
  <c r="C459" i="9" s="1"/>
  <c r="C460" i="9" s="1"/>
  <c r="C461" i="9" s="1"/>
  <c r="C462" i="9" s="1"/>
  <c r="C463" i="9" s="1"/>
  <c r="C464" i="9" s="1"/>
  <c r="C465" i="9" s="1"/>
  <c r="C466" i="9" s="1"/>
  <c r="C467" i="9" s="1"/>
  <c r="C468" i="9" s="1"/>
  <c r="C469" i="9" s="1"/>
  <c r="C470" i="9" s="1"/>
  <c r="C471" i="9" s="1"/>
  <c r="C472" i="9" s="1"/>
  <c r="C473" i="9" s="1"/>
  <c r="C474" i="9" s="1"/>
  <c r="C475" i="9" s="1"/>
  <c r="C476" i="9" s="1"/>
  <c r="C477" i="9" s="1"/>
  <c r="C478" i="9" s="1"/>
  <c r="C479" i="9" s="1"/>
  <c r="C480" i="9" s="1"/>
  <c r="C481" i="9" s="1"/>
  <c r="C482" i="9" s="1"/>
  <c r="C483" i="9" s="1"/>
  <c r="C484" i="9" s="1"/>
  <c r="C485" i="9" s="1"/>
  <c r="C486" i="9" s="1"/>
  <c r="C487" i="9" s="1"/>
  <c r="C488" i="9" s="1"/>
  <c r="C489" i="9" s="1"/>
  <c r="C490" i="9" s="1"/>
  <c r="C491" i="9" s="1"/>
  <c r="C492" i="9" s="1"/>
  <c r="C493" i="9" s="1"/>
  <c r="C494" i="9" s="1"/>
  <c r="C495" i="9" s="1"/>
  <c r="C496" i="9" s="1"/>
  <c r="C497" i="9" s="1"/>
  <c r="C498" i="9" s="1"/>
  <c r="C499" i="9" s="1"/>
  <c r="C500" i="9" s="1"/>
  <c r="C501" i="9" s="1"/>
  <c r="C502" i="9" s="1"/>
  <c r="C503" i="9" s="1"/>
  <c r="C504" i="9" s="1"/>
  <c r="C505" i="9" s="1"/>
  <c r="C506" i="9" s="1"/>
  <c r="C507" i="9" s="1"/>
  <c r="C508" i="9" s="1"/>
  <c r="C509" i="9" s="1"/>
  <c r="C510" i="9" s="1"/>
  <c r="C511" i="9" s="1"/>
  <c r="C512" i="9" s="1"/>
  <c r="C513" i="9" s="1"/>
  <c r="C514" i="9" s="1"/>
  <c r="C515" i="9" s="1"/>
  <c r="C516" i="9" s="1"/>
  <c r="C517" i="9" s="1"/>
  <c r="C518" i="9" s="1"/>
  <c r="C519" i="9" s="1"/>
  <c r="C520" i="9" s="1"/>
  <c r="C521" i="9" s="1"/>
  <c r="C522" i="9" s="1"/>
  <c r="C523" i="9" s="1"/>
  <c r="C524" i="9" s="1"/>
  <c r="C525" i="9" s="1"/>
  <c r="C526" i="9" s="1"/>
  <c r="C527" i="9" s="1"/>
  <c r="C528" i="9" s="1"/>
  <c r="C529" i="9" s="1"/>
  <c r="C530" i="9" s="1"/>
  <c r="C531" i="9" s="1"/>
  <c r="C532" i="9" s="1"/>
  <c r="C533" i="9" s="1"/>
  <c r="C534" i="9" s="1"/>
  <c r="C535" i="9" s="1"/>
  <c r="C536" i="9" s="1"/>
  <c r="C537" i="9" s="1"/>
  <c r="C538" i="9" s="1"/>
  <c r="C539" i="9" s="1"/>
  <c r="C540" i="9" s="1"/>
  <c r="C541" i="9" s="1"/>
  <c r="C542" i="9" s="1"/>
  <c r="C543" i="9" s="1"/>
  <c r="C544" i="9" s="1"/>
  <c r="C545" i="9" s="1"/>
  <c r="C546" i="9" s="1"/>
  <c r="C547" i="9" s="1"/>
  <c r="C548" i="9" s="1"/>
  <c r="C549" i="9" s="1"/>
  <c r="C550" i="9" s="1"/>
  <c r="C551" i="9" s="1"/>
  <c r="C552" i="9" s="1"/>
  <c r="C553" i="9" s="1"/>
  <c r="C554" i="9" s="1"/>
  <c r="C555" i="9" s="1"/>
  <c r="C556" i="9" s="1"/>
  <c r="C557" i="9" s="1"/>
  <c r="C558" i="9" s="1"/>
  <c r="C559" i="9" s="1"/>
  <c r="C560" i="9" s="1"/>
  <c r="C561" i="9" s="1"/>
  <c r="C562" i="9" s="1"/>
  <c r="C563" i="9" s="1"/>
  <c r="C564" i="9" s="1"/>
  <c r="C565" i="9" s="1"/>
  <c r="C566" i="9" s="1"/>
  <c r="C567" i="9" s="1"/>
  <c r="C568" i="9" s="1"/>
  <c r="C569" i="9" s="1"/>
  <c r="C570" i="9" s="1"/>
  <c r="C571" i="9" s="1"/>
  <c r="C572" i="9" s="1"/>
  <c r="C573" i="9" s="1"/>
  <c r="C574" i="9" s="1"/>
  <c r="C575" i="9" s="1"/>
  <c r="C576" i="9" s="1"/>
  <c r="C577" i="9" s="1"/>
  <c r="C578" i="9" s="1"/>
  <c r="C579" i="9" s="1"/>
  <c r="C580" i="9" s="1"/>
  <c r="C581" i="9" s="1"/>
  <c r="C582" i="9" s="1"/>
  <c r="C583" i="9" s="1"/>
  <c r="C584" i="9" s="1"/>
  <c r="C585" i="9" s="1"/>
  <c r="C586" i="9" s="1"/>
  <c r="C587" i="9" s="1"/>
  <c r="C588" i="9" s="1"/>
  <c r="C589" i="9" s="1"/>
  <c r="C590" i="9" s="1"/>
  <c r="C591" i="9" s="1"/>
  <c r="C592" i="9" s="1"/>
  <c r="C593" i="9" s="1"/>
  <c r="C594" i="9" s="1"/>
  <c r="C595" i="9" s="1"/>
  <c r="C596" i="9" s="1"/>
  <c r="C597" i="9" s="1"/>
  <c r="C598" i="9" s="1"/>
  <c r="C599" i="9" s="1"/>
  <c r="C600" i="9" s="1"/>
  <c r="C601" i="9" s="1"/>
  <c r="C602" i="9" s="1"/>
  <c r="C603" i="9" s="1"/>
  <c r="C604" i="9" s="1"/>
  <c r="C605" i="9" s="1"/>
  <c r="C606" i="9" s="1"/>
  <c r="C607" i="9" s="1"/>
  <c r="C608" i="9" s="1"/>
  <c r="C609" i="9" s="1"/>
  <c r="C610" i="9" s="1"/>
  <c r="C611" i="9" s="1"/>
  <c r="C612" i="9" s="1"/>
  <c r="C613" i="9" s="1"/>
  <c r="C614" i="9" s="1"/>
  <c r="C615" i="9" s="1"/>
  <c r="C616" i="9" s="1"/>
  <c r="C617" i="9" s="1"/>
  <c r="C618" i="9" s="1"/>
  <c r="C619" i="9" s="1"/>
  <c r="C620" i="9" s="1"/>
  <c r="C621" i="9" s="1"/>
  <c r="C622" i="9" s="1"/>
  <c r="C623" i="9" s="1"/>
  <c r="C624" i="9" s="1"/>
  <c r="C625" i="9" s="1"/>
  <c r="C626" i="9" s="1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B218" i="9" s="1"/>
  <c r="B219" i="9" s="1"/>
  <c r="B220" i="9" s="1"/>
  <c r="B221" i="9" s="1"/>
  <c r="B222" i="9" s="1"/>
  <c r="B223" i="9" s="1"/>
  <c r="B224" i="9" s="1"/>
  <c r="B225" i="9" s="1"/>
  <c r="B226" i="9" s="1"/>
  <c r="B227" i="9" s="1"/>
  <c r="B228" i="9" s="1"/>
  <c r="B229" i="9" s="1"/>
  <c r="B230" i="9" s="1"/>
  <c r="B231" i="9" s="1"/>
  <c r="B232" i="9" s="1"/>
  <c r="B233" i="9" s="1"/>
  <c r="B234" i="9" s="1"/>
  <c r="B235" i="9" s="1"/>
  <c r="B236" i="9" s="1"/>
  <c r="B237" i="9" s="1"/>
  <c r="B238" i="9" s="1"/>
  <c r="B239" i="9" s="1"/>
  <c r="B240" i="9" s="1"/>
  <c r="B241" i="9" s="1"/>
  <c r="B242" i="9" s="1"/>
  <c r="B243" i="9" s="1"/>
  <c r="B244" i="9" s="1"/>
  <c r="B245" i="9" s="1"/>
  <c r="B246" i="9" s="1"/>
  <c r="B247" i="9" s="1"/>
  <c r="B248" i="9" s="1"/>
  <c r="B249" i="9" s="1"/>
  <c r="B250" i="9" s="1"/>
  <c r="B251" i="9" s="1"/>
  <c r="B252" i="9" s="1"/>
  <c r="B253" i="9" s="1"/>
  <c r="B254" i="9" s="1"/>
  <c r="B255" i="9" s="1"/>
  <c r="B256" i="9" s="1"/>
  <c r="B257" i="9" s="1"/>
  <c r="B258" i="9" s="1"/>
  <c r="B259" i="9" s="1"/>
  <c r="B260" i="9" s="1"/>
  <c r="B261" i="9" s="1"/>
  <c r="B262" i="9" s="1"/>
  <c r="B263" i="9" s="1"/>
  <c r="B264" i="9" s="1"/>
  <c r="B265" i="9" s="1"/>
  <c r="B266" i="9" s="1"/>
  <c r="B267" i="9" s="1"/>
  <c r="B268" i="9" s="1"/>
  <c r="B269" i="9" s="1"/>
  <c r="B270" i="9" s="1"/>
  <c r="B271" i="9" s="1"/>
  <c r="B272" i="9" s="1"/>
  <c r="B273" i="9" s="1"/>
  <c r="B274" i="9" s="1"/>
  <c r="B275" i="9" s="1"/>
  <c r="B276" i="9" s="1"/>
  <c r="B277" i="9" s="1"/>
  <c r="B278" i="9" s="1"/>
  <c r="B279" i="9" s="1"/>
  <c r="B280" i="9" s="1"/>
  <c r="B281" i="9" s="1"/>
  <c r="B282" i="9" s="1"/>
  <c r="B283" i="9" s="1"/>
  <c r="B284" i="9" s="1"/>
  <c r="B285" i="9" s="1"/>
  <c r="B286" i="9" s="1"/>
  <c r="B287" i="9" s="1"/>
  <c r="B288" i="9" s="1"/>
  <c r="B289" i="9" s="1"/>
  <c r="B290" i="9" s="1"/>
  <c r="B291" i="9" s="1"/>
  <c r="B292" i="9" s="1"/>
  <c r="B293" i="9" s="1"/>
  <c r="B294" i="9" s="1"/>
  <c r="B295" i="9" s="1"/>
  <c r="B296" i="9" s="1"/>
  <c r="B297" i="9" s="1"/>
  <c r="B298" i="9" s="1"/>
  <c r="B299" i="9" s="1"/>
  <c r="B300" i="9" s="1"/>
  <c r="B301" i="9" s="1"/>
  <c r="B302" i="9" s="1"/>
  <c r="B303" i="9" s="1"/>
  <c r="B304" i="9" s="1"/>
  <c r="B305" i="9" s="1"/>
  <c r="B306" i="9" s="1"/>
  <c r="B307" i="9" s="1"/>
  <c r="B308" i="9" s="1"/>
  <c r="B309" i="9" s="1"/>
  <c r="B310" i="9" s="1"/>
  <c r="B311" i="9" s="1"/>
  <c r="B312" i="9" s="1"/>
  <c r="B313" i="9" s="1"/>
  <c r="B314" i="9" s="1"/>
  <c r="B315" i="9" s="1"/>
  <c r="B316" i="9" s="1"/>
  <c r="B317" i="9" s="1"/>
  <c r="B318" i="9" s="1"/>
  <c r="B319" i="9" s="1"/>
  <c r="B320" i="9" s="1"/>
  <c r="B321" i="9" s="1"/>
  <c r="B322" i="9" s="1"/>
  <c r="B323" i="9" s="1"/>
  <c r="B324" i="9" s="1"/>
  <c r="B325" i="9" s="1"/>
  <c r="B326" i="9" s="1"/>
  <c r="B327" i="9" s="1"/>
  <c r="B328" i="9" s="1"/>
  <c r="B329" i="9" s="1"/>
  <c r="B330" i="9" s="1"/>
  <c r="B331" i="9" s="1"/>
  <c r="B332" i="9" s="1"/>
  <c r="B333" i="9" s="1"/>
  <c r="B334" i="9" s="1"/>
  <c r="B335" i="9" s="1"/>
  <c r="B336" i="9" s="1"/>
  <c r="B337" i="9" s="1"/>
  <c r="B338" i="9" s="1"/>
  <c r="B339" i="9" s="1"/>
  <c r="B340" i="9" s="1"/>
  <c r="B341" i="9" s="1"/>
  <c r="B342" i="9" s="1"/>
  <c r="B343" i="9" s="1"/>
  <c r="B344" i="9" s="1"/>
  <c r="B345" i="9" s="1"/>
  <c r="B346" i="9" s="1"/>
  <c r="B347" i="9" s="1"/>
  <c r="B348" i="9" s="1"/>
  <c r="B349" i="9" s="1"/>
  <c r="B350" i="9" s="1"/>
  <c r="B351" i="9" s="1"/>
  <c r="B352" i="9" s="1"/>
  <c r="B353" i="9" s="1"/>
  <c r="B354" i="9" s="1"/>
  <c r="B355" i="9" s="1"/>
  <c r="B356" i="9" s="1"/>
  <c r="B357" i="9" s="1"/>
  <c r="B358" i="9" s="1"/>
  <c r="B359" i="9" s="1"/>
  <c r="B360" i="9" s="1"/>
  <c r="B361" i="9" s="1"/>
  <c r="B362" i="9" s="1"/>
  <c r="B363" i="9" s="1"/>
  <c r="B364" i="9" s="1"/>
  <c r="B365" i="9" s="1"/>
  <c r="B366" i="9" s="1"/>
  <c r="B367" i="9" s="1"/>
  <c r="B368" i="9" s="1"/>
  <c r="B369" i="9" s="1"/>
  <c r="B370" i="9" s="1"/>
  <c r="B371" i="9" s="1"/>
  <c r="B372" i="9" s="1"/>
  <c r="B373" i="9" s="1"/>
  <c r="B374" i="9" s="1"/>
  <c r="B375" i="9" s="1"/>
  <c r="B376" i="9" s="1"/>
  <c r="B377" i="9" s="1"/>
  <c r="B378" i="9" s="1"/>
  <c r="B379" i="9" s="1"/>
  <c r="B380" i="9" s="1"/>
  <c r="B381" i="9" s="1"/>
  <c r="B382" i="9" s="1"/>
  <c r="B383" i="9" s="1"/>
  <c r="B384" i="9" s="1"/>
  <c r="B385" i="9" s="1"/>
  <c r="B386" i="9" s="1"/>
  <c r="B387" i="9" s="1"/>
  <c r="B388" i="9" s="1"/>
  <c r="B389" i="9" s="1"/>
  <c r="B390" i="9" s="1"/>
  <c r="B391" i="9" s="1"/>
  <c r="B392" i="9" s="1"/>
  <c r="B393" i="9" s="1"/>
  <c r="B394" i="9" s="1"/>
  <c r="B395" i="9" s="1"/>
  <c r="B396" i="9" s="1"/>
  <c r="B397" i="9" s="1"/>
  <c r="B398" i="9" s="1"/>
  <c r="B399" i="9" s="1"/>
  <c r="B400" i="9" s="1"/>
  <c r="B401" i="9" s="1"/>
  <c r="B402" i="9" s="1"/>
  <c r="B403" i="9" s="1"/>
  <c r="B404" i="9" s="1"/>
  <c r="B405" i="9" s="1"/>
  <c r="B406" i="9" s="1"/>
  <c r="B407" i="9" s="1"/>
  <c r="B408" i="9" s="1"/>
  <c r="B409" i="9" s="1"/>
  <c r="B410" i="9" s="1"/>
  <c r="B411" i="9" s="1"/>
  <c r="B412" i="9" s="1"/>
  <c r="B413" i="9" s="1"/>
  <c r="B414" i="9" s="1"/>
  <c r="B415" i="9" s="1"/>
  <c r="B416" i="9" s="1"/>
  <c r="B417" i="9" s="1"/>
  <c r="B418" i="9" s="1"/>
  <c r="B419" i="9" s="1"/>
  <c r="B420" i="9" s="1"/>
  <c r="B421" i="9" s="1"/>
  <c r="B422" i="9" s="1"/>
  <c r="B423" i="9" s="1"/>
  <c r="B424" i="9" s="1"/>
  <c r="B425" i="9" s="1"/>
  <c r="B426" i="9" s="1"/>
  <c r="B427" i="9" s="1"/>
  <c r="B428" i="9" s="1"/>
  <c r="B429" i="9" s="1"/>
  <c r="B430" i="9" s="1"/>
  <c r="B431" i="9" s="1"/>
  <c r="B432" i="9" s="1"/>
  <c r="B433" i="9" s="1"/>
  <c r="B434" i="9" s="1"/>
  <c r="B435" i="9" s="1"/>
  <c r="B436" i="9" s="1"/>
  <c r="B437" i="9" s="1"/>
  <c r="B438" i="9" s="1"/>
  <c r="B439" i="9" s="1"/>
  <c r="B440" i="9" s="1"/>
  <c r="B441" i="9" s="1"/>
  <c r="B442" i="9" s="1"/>
  <c r="B443" i="9" s="1"/>
  <c r="B444" i="9" s="1"/>
  <c r="B445" i="9" s="1"/>
  <c r="B446" i="9" s="1"/>
  <c r="B447" i="9" s="1"/>
  <c r="B448" i="9" s="1"/>
  <c r="B449" i="9" s="1"/>
  <c r="B450" i="9" s="1"/>
  <c r="B451" i="9" s="1"/>
  <c r="B452" i="9" s="1"/>
  <c r="B453" i="9" s="1"/>
  <c r="B454" i="9" s="1"/>
  <c r="B455" i="9" s="1"/>
  <c r="B456" i="9" s="1"/>
  <c r="B457" i="9" s="1"/>
  <c r="B458" i="9" s="1"/>
  <c r="B459" i="9" s="1"/>
  <c r="B460" i="9" s="1"/>
  <c r="B461" i="9" s="1"/>
  <c r="B462" i="9" s="1"/>
  <c r="B463" i="9" s="1"/>
  <c r="B464" i="9" s="1"/>
  <c r="B465" i="9" s="1"/>
  <c r="B466" i="9" s="1"/>
  <c r="B467" i="9" s="1"/>
  <c r="B468" i="9" s="1"/>
  <c r="B469" i="9" s="1"/>
  <c r="B470" i="9" s="1"/>
  <c r="B471" i="9" s="1"/>
  <c r="B472" i="9" s="1"/>
  <c r="B473" i="9" s="1"/>
  <c r="B474" i="9" s="1"/>
  <c r="B475" i="9" s="1"/>
  <c r="B476" i="9" s="1"/>
  <c r="B477" i="9" s="1"/>
  <c r="B478" i="9" s="1"/>
  <c r="B479" i="9" s="1"/>
  <c r="B480" i="9" s="1"/>
  <c r="B481" i="9" s="1"/>
  <c r="B482" i="9" s="1"/>
  <c r="B483" i="9" s="1"/>
  <c r="B484" i="9" s="1"/>
  <c r="B485" i="9" s="1"/>
  <c r="B486" i="9" s="1"/>
  <c r="B487" i="9" s="1"/>
  <c r="B488" i="9" s="1"/>
  <c r="B489" i="9" s="1"/>
  <c r="B490" i="9" s="1"/>
  <c r="B491" i="9" s="1"/>
  <c r="B492" i="9" s="1"/>
  <c r="B493" i="9" s="1"/>
  <c r="B494" i="9" s="1"/>
  <c r="B495" i="9" s="1"/>
  <c r="B496" i="9" s="1"/>
  <c r="B497" i="9" s="1"/>
  <c r="B498" i="9" s="1"/>
  <c r="B499" i="9" s="1"/>
  <c r="B500" i="9" s="1"/>
  <c r="B501" i="9" s="1"/>
  <c r="B502" i="9" s="1"/>
  <c r="B503" i="9" s="1"/>
  <c r="B504" i="9" s="1"/>
  <c r="B505" i="9" s="1"/>
  <c r="B506" i="9" s="1"/>
  <c r="B507" i="9" s="1"/>
  <c r="B508" i="9" s="1"/>
  <c r="B509" i="9" s="1"/>
  <c r="B510" i="9" s="1"/>
  <c r="B511" i="9" s="1"/>
  <c r="B512" i="9" s="1"/>
  <c r="B513" i="9" s="1"/>
  <c r="B514" i="9" s="1"/>
  <c r="B515" i="9" s="1"/>
  <c r="B516" i="9" s="1"/>
  <c r="B517" i="9" s="1"/>
  <c r="B518" i="9" s="1"/>
  <c r="B519" i="9" s="1"/>
  <c r="B520" i="9" s="1"/>
  <c r="B521" i="9" s="1"/>
  <c r="B522" i="9" s="1"/>
  <c r="B523" i="9" s="1"/>
  <c r="B524" i="9" s="1"/>
  <c r="B525" i="9" s="1"/>
  <c r="B526" i="9" s="1"/>
  <c r="B527" i="9" s="1"/>
  <c r="B528" i="9" s="1"/>
  <c r="B529" i="9" s="1"/>
  <c r="B530" i="9" s="1"/>
  <c r="B531" i="9" s="1"/>
  <c r="B532" i="9" s="1"/>
  <c r="B533" i="9" s="1"/>
  <c r="B534" i="9" s="1"/>
  <c r="B535" i="9" s="1"/>
  <c r="B536" i="9" s="1"/>
  <c r="B537" i="9" s="1"/>
  <c r="B538" i="9" s="1"/>
  <c r="B539" i="9" s="1"/>
  <c r="B540" i="9" s="1"/>
  <c r="B541" i="9" s="1"/>
  <c r="B542" i="9" s="1"/>
  <c r="B543" i="9" s="1"/>
  <c r="B544" i="9" s="1"/>
  <c r="B545" i="9" s="1"/>
  <c r="B546" i="9" s="1"/>
  <c r="B547" i="9" s="1"/>
  <c r="B548" i="9" s="1"/>
  <c r="B549" i="9" s="1"/>
  <c r="B550" i="9" s="1"/>
  <c r="B551" i="9" s="1"/>
  <c r="B552" i="9" s="1"/>
  <c r="B553" i="9" s="1"/>
  <c r="B554" i="9" s="1"/>
  <c r="B555" i="9" s="1"/>
  <c r="B556" i="9" s="1"/>
  <c r="B557" i="9" s="1"/>
  <c r="B558" i="9" s="1"/>
  <c r="B559" i="9" s="1"/>
  <c r="B560" i="9" s="1"/>
  <c r="B561" i="9" s="1"/>
  <c r="B562" i="9" s="1"/>
  <c r="B563" i="9" s="1"/>
  <c r="B564" i="9" s="1"/>
  <c r="B565" i="9" s="1"/>
  <c r="B566" i="9" s="1"/>
  <c r="B567" i="9" s="1"/>
  <c r="B568" i="9" s="1"/>
  <c r="B569" i="9" s="1"/>
  <c r="B570" i="9" s="1"/>
  <c r="B571" i="9" s="1"/>
  <c r="B572" i="9" s="1"/>
  <c r="B573" i="9" s="1"/>
  <c r="B574" i="9" s="1"/>
  <c r="B575" i="9" s="1"/>
  <c r="B576" i="9" s="1"/>
  <c r="B577" i="9" s="1"/>
  <c r="B578" i="9" s="1"/>
  <c r="B579" i="9" s="1"/>
  <c r="B580" i="9" s="1"/>
  <c r="B581" i="9" s="1"/>
  <c r="B582" i="9" s="1"/>
  <c r="B583" i="9" s="1"/>
  <c r="B584" i="9" s="1"/>
  <c r="B585" i="9" s="1"/>
  <c r="B586" i="9" s="1"/>
  <c r="B587" i="9" s="1"/>
  <c r="B588" i="9" s="1"/>
  <c r="B589" i="9" s="1"/>
  <c r="B590" i="9" s="1"/>
  <c r="B591" i="9" s="1"/>
  <c r="B592" i="9" s="1"/>
  <c r="B593" i="9" s="1"/>
  <c r="B594" i="9" s="1"/>
  <c r="B595" i="9" s="1"/>
  <c r="B596" i="9" s="1"/>
  <c r="B597" i="9" s="1"/>
  <c r="B598" i="9" s="1"/>
  <c r="B599" i="9" s="1"/>
  <c r="B600" i="9" s="1"/>
  <c r="B601" i="9" s="1"/>
  <c r="B602" i="9" s="1"/>
  <c r="B603" i="9" s="1"/>
  <c r="B604" i="9" s="1"/>
  <c r="B605" i="9" s="1"/>
  <c r="B606" i="9" s="1"/>
  <c r="B607" i="9" s="1"/>
  <c r="B608" i="9" s="1"/>
  <c r="B609" i="9" s="1"/>
  <c r="B610" i="9" s="1"/>
  <c r="B611" i="9" s="1"/>
  <c r="B612" i="9" s="1"/>
  <c r="B613" i="9" s="1"/>
  <c r="B614" i="9" s="1"/>
  <c r="B615" i="9" s="1"/>
  <c r="B616" i="9" s="1"/>
  <c r="B617" i="9" s="1"/>
  <c r="B618" i="9" s="1"/>
  <c r="B619" i="9" s="1"/>
  <c r="B620" i="9" s="1"/>
  <c r="B621" i="9" s="1"/>
  <c r="B622" i="9" s="1"/>
  <c r="B623" i="9" s="1"/>
  <c r="B624" i="9" s="1"/>
  <c r="B625" i="9" s="1"/>
  <c r="B626" i="9" s="1"/>
  <c r="C4" i="31" l="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C37" i="31" s="1"/>
  <c r="C38" i="31" s="1"/>
  <c r="C39" i="31" s="1"/>
  <c r="C40" i="31" s="1"/>
  <c r="C41" i="31" s="1"/>
  <c r="C42" i="31" s="1"/>
  <c r="C43" i="31" s="1"/>
  <c r="C44" i="31" s="1"/>
  <c r="C45" i="31" s="1"/>
  <c r="C46" i="31" s="1"/>
  <c r="C47" i="31" s="1"/>
  <c r="C48" i="31" s="1"/>
  <c r="C49" i="31" s="1"/>
  <c r="C50" i="31" s="1"/>
  <c r="C51" i="31" s="1"/>
  <c r="C52" i="31" s="1"/>
  <c r="C53" i="31" s="1"/>
  <c r="C54" i="31" s="1"/>
  <c r="C55" i="31" s="1"/>
  <c r="C56" i="31" s="1"/>
  <c r="C57" i="31" s="1"/>
  <c r="C58" i="31" s="1"/>
  <c r="C59" i="31" s="1"/>
  <c r="C60" i="31" s="1"/>
  <c r="C61" i="31" s="1"/>
  <c r="C62" i="31" s="1"/>
  <c r="C63" i="31" s="1"/>
  <c r="C64" i="31" s="1"/>
  <c r="C65" i="31" s="1"/>
  <c r="C66" i="31" s="1"/>
  <c r="B4" i="3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B46" i="31" s="1"/>
  <c r="B47" i="31" s="1"/>
  <c r="B48" i="31" s="1"/>
  <c r="B49" i="31" s="1"/>
  <c r="B50" i="31" s="1"/>
  <c r="B51" i="31" s="1"/>
  <c r="B52" i="31" s="1"/>
  <c r="B53" i="31" s="1"/>
  <c r="B54" i="31" s="1"/>
  <c r="B55" i="31" s="1"/>
  <c r="B56" i="31" s="1"/>
  <c r="B57" i="31" s="1"/>
  <c r="B58" i="31" s="1"/>
  <c r="B59" i="31" s="1"/>
  <c r="B60" i="31" s="1"/>
  <c r="B61" i="31" s="1"/>
  <c r="B62" i="31" s="1"/>
  <c r="B63" i="31" s="1"/>
  <c r="B64" i="31" s="1"/>
  <c r="B65" i="31" s="1"/>
  <c r="B66" i="31" s="1"/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N3" i="9"/>
  <c r="N4" i="9" s="1"/>
  <c r="N5" i="9" s="1"/>
  <c r="N6" i="9" s="1"/>
  <c r="N7" i="9" s="1"/>
  <c r="N8" i="9" s="1"/>
  <c r="N9" i="9" s="1"/>
  <c r="N10" i="9" s="1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43" i="9" s="1"/>
  <c r="N44" i="9" s="1"/>
  <c r="N45" i="9" s="1"/>
  <c r="N46" i="9" s="1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N65" i="9" s="1"/>
  <c r="N66" i="9" s="1"/>
  <c r="N67" i="9" s="1"/>
  <c r="N68" i="9" s="1"/>
  <c r="N69" i="9" s="1"/>
  <c r="N70" i="9" s="1"/>
  <c r="N71" i="9" s="1"/>
  <c r="N72" i="9" s="1"/>
  <c r="N73" i="9" s="1"/>
  <c r="N74" i="9" s="1"/>
  <c r="N75" i="9" s="1"/>
  <c r="N76" i="9" s="1"/>
  <c r="N77" i="9" s="1"/>
  <c r="N78" i="9" s="1"/>
  <c r="N79" i="9" s="1"/>
  <c r="N80" i="9" s="1"/>
  <c r="N81" i="9" s="1"/>
  <c r="N82" i="9" s="1"/>
  <c r="N83" i="9" s="1"/>
  <c r="N84" i="9" s="1"/>
  <c r="N85" i="9" s="1"/>
  <c r="N86" i="9" s="1"/>
  <c r="N87" i="9" s="1"/>
  <c r="N88" i="9" s="1"/>
  <c r="N89" i="9" s="1"/>
  <c r="N90" i="9" s="1"/>
  <c r="N91" i="9" s="1"/>
  <c r="N92" i="9" s="1"/>
  <c r="N93" i="9" s="1"/>
  <c r="N94" i="9" s="1"/>
  <c r="N95" i="9" s="1"/>
  <c r="N96" i="9" s="1"/>
  <c r="N97" i="9" s="1"/>
  <c r="N98" i="9" s="1"/>
  <c r="N99" i="9" s="1"/>
  <c r="N100" i="9" s="1"/>
  <c r="N101" i="9" s="1"/>
  <c r="N102" i="9" s="1"/>
  <c r="N103" i="9" s="1"/>
  <c r="N104" i="9" s="1"/>
  <c r="N105" i="9" s="1"/>
  <c r="N106" i="9" s="1"/>
  <c r="N107" i="9" s="1"/>
  <c r="N108" i="9" s="1"/>
  <c r="N109" i="9" s="1"/>
  <c r="N110" i="9" s="1"/>
  <c r="N111" i="9" s="1"/>
  <c r="N112" i="9" s="1"/>
  <c r="N113" i="9" s="1"/>
  <c r="N114" i="9" s="1"/>
  <c r="N115" i="9" s="1"/>
  <c r="N116" i="9" s="1"/>
  <c r="N117" i="9" s="1"/>
  <c r="N118" i="9" s="1"/>
  <c r="N119" i="9" s="1"/>
  <c r="N120" i="9" s="1"/>
  <c r="N121" i="9" s="1"/>
  <c r="N122" i="9" s="1"/>
  <c r="N123" i="9" s="1"/>
  <c r="N124" i="9" s="1"/>
  <c r="N125" i="9" s="1"/>
  <c r="N126" i="9" s="1"/>
  <c r="N127" i="9" s="1"/>
  <c r="N128" i="9" s="1"/>
  <c r="N129" i="9" s="1"/>
  <c r="N130" i="9" s="1"/>
  <c r="N131" i="9" s="1"/>
  <c r="N132" i="9" s="1"/>
  <c r="N133" i="9" s="1"/>
  <c r="N134" i="9" s="1"/>
  <c r="N135" i="9" s="1"/>
  <c r="N136" i="9" s="1"/>
  <c r="N137" i="9" s="1"/>
  <c r="N138" i="9" s="1"/>
  <c r="N139" i="9" s="1"/>
  <c r="N140" i="9" s="1"/>
  <c r="N141" i="9" s="1"/>
  <c r="N142" i="9" s="1"/>
  <c r="N143" i="9" s="1"/>
  <c r="N144" i="9" s="1"/>
  <c r="N145" i="9" s="1"/>
  <c r="N146" i="9" s="1"/>
  <c r="N147" i="9" s="1"/>
  <c r="N148" i="9" s="1"/>
  <c r="N149" i="9" s="1"/>
  <c r="N150" i="9" s="1"/>
  <c r="N151" i="9" s="1"/>
  <c r="N152" i="9" s="1"/>
  <c r="N153" i="9" s="1"/>
  <c r="N154" i="9" s="1"/>
  <c r="N155" i="9" s="1"/>
  <c r="N156" i="9" s="1"/>
  <c r="N157" i="9" s="1"/>
  <c r="N158" i="9" s="1"/>
  <c r="N159" i="9" s="1"/>
  <c r="N160" i="9" s="1"/>
  <c r="N161" i="9" s="1"/>
  <c r="N162" i="9" s="1"/>
  <c r="N163" i="9" s="1"/>
  <c r="N164" i="9" s="1"/>
  <c r="N165" i="9" s="1"/>
  <c r="N166" i="9" s="1"/>
  <c r="N167" i="9" s="1"/>
  <c r="N168" i="9" s="1"/>
  <c r="N169" i="9" s="1"/>
  <c r="N170" i="9" s="1"/>
  <c r="N171" i="9" s="1"/>
  <c r="N172" i="9" s="1"/>
  <c r="N173" i="9" s="1"/>
  <c r="N174" i="9" s="1"/>
  <c r="N175" i="9" s="1"/>
  <c r="N176" i="9" s="1"/>
  <c r="N177" i="9" s="1"/>
  <c r="N178" i="9" s="1"/>
  <c r="N179" i="9" s="1"/>
  <c r="N180" i="9" s="1"/>
  <c r="N181" i="9" s="1"/>
  <c r="N182" i="9" s="1"/>
  <c r="N183" i="9" s="1"/>
  <c r="N184" i="9" s="1"/>
  <c r="N185" i="9" s="1"/>
  <c r="N186" i="9" s="1"/>
  <c r="N187" i="9" s="1"/>
  <c r="N188" i="9" s="1"/>
  <c r="N189" i="9" s="1"/>
  <c r="N190" i="9" s="1"/>
  <c r="N191" i="9" s="1"/>
  <c r="N192" i="9" s="1"/>
  <c r="N193" i="9" s="1"/>
  <c r="N194" i="9" s="1"/>
  <c r="N195" i="9" s="1"/>
  <c r="N196" i="9" s="1"/>
  <c r="N197" i="9" s="1"/>
  <c r="N198" i="9" s="1"/>
  <c r="N199" i="9" s="1"/>
  <c r="N200" i="9" s="1"/>
  <c r="N201" i="9" s="1"/>
  <c r="N202" i="9" s="1"/>
  <c r="N203" i="9" s="1"/>
  <c r="N204" i="9" s="1"/>
  <c r="N205" i="9" s="1"/>
  <c r="N206" i="9" s="1"/>
  <c r="N207" i="9" s="1"/>
  <c r="N208" i="9" s="1"/>
  <c r="N209" i="9" s="1"/>
  <c r="N210" i="9" s="1"/>
  <c r="N211" i="9" s="1"/>
  <c r="N212" i="9" s="1"/>
  <c r="N213" i="9" s="1"/>
  <c r="N214" i="9" s="1"/>
  <c r="N215" i="9" s="1"/>
  <c r="N216" i="9" s="1"/>
  <c r="N217" i="9" s="1"/>
  <c r="N218" i="9" s="1"/>
  <c r="N219" i="9" s="1"/>
  <c r="N220" i="9" s="1"/>
  <c r="N221" i="9" s="1"/>
  <c r="N222" i="9" s="1"/>
  <c r="N223" i="9" s="1"/>
  <c r="N224" i="9" s="1"/>
  <c r="N225" i="9" s="1"/>
  <c r="N226" i="9" s="1"/>
  <c r="N227" i="9" s="1"/>
  <c r="N228" i="9" s="1"/>
  <c r="N229" i="9" s="1"/>
  <c r="N230" i="9" s="1"/>
  <c r="N231" i="9" s="1"/>
  <c r="N232" i="9" s="1"/>
  <c r="N233" i="9" s="1"/>
  <c r="N234" i="9" s="1"/>
  <c r="N235" i="9" s="1"/>
  <c r="N236" i="9" s="1"/>
  <c r="N237" i="9" s="1"/>
  <c r="N238" i="9" s="1"/>
  <c r="N239" i="9" s="1"/>
  <c r="N240" i="9" s="1"/>
  <c r="N241" i="9" s="1"/>
  <c r="N242" i="9" s="1"/>
  <c r="N243" i="9" s="1"/>
  <c r="N244" i="9" s="1"/>
  <c r="N245" i="9" s="1"/>
  <c r="N246" i="9" s="1"/>
  <c r="N247" i="9" s="1"/>
  <c r="N248" i="9" s="1"/>
  <c r="N249" i="9" s="1"/>
  <c r="N250" i="9" s="1"/>
  <c r="N251" i="9" s="1"/>
  <c r="N252" i="9" s="1"/>
  <c r="N253" i="9" s="1"/>
  <c r="N254" i="9" s="1"/>
  <c r="N255" i="9" s="1"/>
  <c r="N256" i="9" s="1"/>
  <c r="N257" i="9" s="1"/>
  <c r="N258" i="9" s="1"/>
  <c r="N259" i="9" s="1"/>
  <c r="N260" i="9" s="1"/>
  <c r="N261" i="9" s="1"/>
  <c r="N262" i="9" s="1"/>
  <c r="N263" i="9" s="1"/>
  <c r="N264" i="9" s="1"/>
  <c r="N265" i="9" s="1"/>
  <c r="N266" i="9" s="1"/>
  <c r="N267" i="9" s="1"/>
  <c r="N268" i="9" s="1"/>
  <c r="N269" i="9" s="1"/>
  <c r="N270" i="9" s="1"/>
  <c r="N271" i="9" s="1"/>
  <c r="N272" i="9" s="1"/>
  <c r="N273" i="9" s="1"/>
  <c r="N274" i="9" s="1"/>
  <c r="N275" i="9" s="1"/>
  <c r="N276" i="9" s="1"/>
  <c r="N277" i="9" s="1"/>
  <c r="N278" i="9" s="1"/>
  <c r="N279" i="9" s="1"/>
  <c r="N280" i="9" s="1"/>
  <c r="N281" i="9" s="1"/>
  <c r="N282" i="9" s="1"/>
  <c r="N283" i="9" s="1"/>
  <c r="N284" i="9" s="1"/>
  <c r="N285" i="9" s="1"/>
  <c r="N286" i="9" s="1"/>
  <c r="N287" i="9" s="1"/>
  <c r="N288" i="9" s="1"/>
  <c r="N289" i="9" s="1"/>
  <c r="N290" i="9" s="1"/>
  <c r="N291" i="9" s="1"/>
  <c r="N292" i="9" s="1"/>
  <c r="N293" i="9" s="1"/>
  <c r="N294" i="9" s="1"/>
  <c r="N295" i="9" s="1"/>
  <c r="N296" i="9" s="1"/>
  <c r="N297" i="9" s="1"/>
  <c r="N298" i="9" s="1"/>
  <c r="N299" i="9" s="1"/>
  <c r="N300" i="9" s="1"/>
  <c r="N301" i="9" s="1"/>
  <c r="N302" i="9" s="1"/>
  <c r="N303" i="9" s="1"/>
  <c r="N304" i="9" s="1"/>
  <c r="N305" i="9" s="1"/>
  <c r="N306" i="9" s="1"/>
  <c r="N307" i="9" s="1"/>
  <c r="N308" i="9" s="1"/>
  <c r="N309" i="9" s="1"/>
  <c r="N310" i="9" s="1"/>
  <c r="N311" i="9" s="1"/>
  <c r="N312" i="9" s="1"/>
  <c r="N313" i="9" s="1"/>
  <c r="N314" i="9" s="1"/>
  <c r="N315" i="9" s="1"/>
  <c r="N316" i="9" s="1"/>
  <c r="N317" i="9" s="1"/>
  <c r="N318" i="9" s="1"/>
  <c r="N319" i="9" s="1"/>
  <c r="N320" i="9" s="1"/>
  <c r="N321" i="9" s="1"/>
  <c r="N322" i="9" s="1"/>
  <c r="N323" i="9" s="1"/>
  <c r="N324" i="9" s="1"/>
  <c r="N325" i="9" s="1"/>
  <c r="N326" i="9" s="1"/>
  <c r="N327" i="9" s="1"/>
  <c r="N328" i="9" s="1"/>
  <c r="N329" i="9" s="1"/>
  <c r="N330" i="9" s="1"/>
  <c r="N331" i="9" s="1"/>
  <c r="N332" i="9" s="1"/>
  <c r="N333" i="9" s="1"/>
  <c r="N334" i="9" s="1"/>
  <c r="N335" i="9" s="1"/>
  <c r="N336" i="9" s="1"/>
  <c r="N337" i="9" s="1"/>
  <c r="N338" i="9" s="1"/>
  <c r="N339" i="9" s="1"/>
  <c r="N340" i="9" s="1"/>
  <c r="N341" i="9" s="1"/>
  <c r="N342" i="9" s="1"/>
  <c r="N343" i="9" s="1"/>
  <c r="N344" i="9" s="1"/>
  <c r="N345" i="9" s="1"/>
  <c r="N346" i="9" s="1"/>
  <c r="N347" i="9" s="1"/>
  <c r="N348" i="9" s="1"/>
  <c r="N349" i="9" s="1"/>
  <c r="N350" i="9" s="1"/>
  <c r="N351" i="9" s="1"/>
  <c r="N352" i="9" s="1"/>
  <c r="N353" i="9" s="1"/>
  <c r="N354" i="9" s="1"/>
  <c r="N355" i="9" s="1"/>
  <c r="N356" i="9" s="1"/>
  <c r="N357" i="9" s="1"/>
  <c r="N358" i="9" s="1"/>
  <c r="N359" i="9" s="1"/>
  <c r="N360" i="9" s="1"/>
  <c r="N361" i="9" s="1"/>
  <c r="N362" i="9" s="1"/>
  <c r="N363" i="9" s="1"/>
  <c r="N364" i="9" s="1"/>
  <c r="N365" i="9" s="1"/>
  <c r="N366" i="9" s="1"/>
  <c r="N367" i="9" s="1"/>
  <c r="N368" i="9" s="1"/>
  <c r="N369" i="9" s="1"/>
  <c r="N370" i="9" s="1"/>
  <c r="N371" i="9" s="1"/>
  <c r="N372" i="9" s="1"/>
  <c r="N373" i="9" s="1"/>
  <c r="N374" i="9" s="1"/>
  <c r="N375" i="9" s="1"/>
  <c r="N376" i="9" s="1"/>
  <c r="N377" i="9" s="1"/>
  <c r="N378" i="9" s="1"/>
  <c r="N379" i="9" s="1"/>
  <c r="N380" i="9" s="1"/>
  <c r="N381" i="9" s="1"/>
  <c r="N382" i="9" s="1"/>
  <c r="N383" i="9" s="1"/>
  <c r="N384" i="9" s="1"/>
  <c r="N385" i="9" s="1"/>
  <c r="N386" i="9" s="1"/>
  <c r="N387" i="9" s="1"/>
  <c r="N388" i="9" s="1"/>
  <c r="N389" i="9" s="1"/>
  <c r="N390" i="9" s="1"/>
  <c r="N391" i="9" s="1"/>
  <c r="N392" i="9" s="1"/>
  <c r="N393" i="9" s="1"/>
  <c r="N394" i="9" s="1"/>
  <c r="N395" i="9" s="1"/>
  <c r="N396" i="9" s="1"/>
  <c r="N397" i="9" s="1"/>
  <c r="N398" i="9" s="1"/>
  <c r="N399" i="9" s="1"/>
  <c r="N400" i="9" s="1"/>
  <c r="N401" i="9" s="1"/>
  <c r="N402" i="9" s="1"/>
  <c r="N403" i="9" s="1"/>
  <c r="N404" i="9" s="1"/>
  <c r="N405" i="9" s="1"/>
  <c r="N406" i="9" s="1"/>
  <c r="N407" i="9" s="1"/>
  <c r="N408" i="9" s="1"/>
  <c r="N409" i="9" s="1"/>
  <c r="N410" i="9" s="1"/>
  <c r="N411" i="9" s="1"/>
  <c r="N412" i="9" s="1"/>
  <c r="N413" i="9" s="1"/>
  <c r="N414" i="9" s="1"/>
  <c r="N415" i="9" s="1"/>
  <c r="N416" i="9" s="1"/>
  <c r="N417" i="9" s="1"/>
  <c r="N418" i="9" s="1"/>
  <c r="N419" i="9" s="1"/>
  <c r="N420" i="9" s="1"/>
  <c r="N421" i="9" s="1"/>
  <c r="N422" i="9" s="1"/>
  <c r="N423" i="9" s="1"/>
  <c r="N424" i="9" s="1"/>
  <c r="N425" i="9" s="1"/>
  <c r="N426" i="9" s="1"/>
  <c r="N427" i="9" s="1"/>
  <c r="N428" i="9" s="1"/>
  <c r="N429" i="9" s="1"/>
  <c r="N430" i="9" s="1"/>
  <c r="N431" i="9" s="1"/>
  <c r="N432" i="9" s="1"/>
  <c r="N433" i="9" s="1"/>
  <c r="N434" i="9" s="1"/>
  <c r="N435" i="9" s="1"/>
  <c r="N436" i="9" s="1"/>
  <c r="N437" i="9" s="1"/>
  <c r="N438" i="9" s="1"/>
  <c r="N439" i="9" s="1"/>
  <c r="N440" i="9" s="1"/>
  <c r="N441" i="9" s="1"/>
  <c r="N442" i="9" s="1"/>
  <c r="N443" i="9" s="1"/>
  <c r="N444" i="9" s="1"/>
  <c r="N445" i="9" s="1"/>
  <c r="N446" i="9" s="1"/>
  <c r="N447" i="9" s="1"/>
  <c r="N448" i="9" s="1"/>
  <c r="N449" i="9" s="1"/>
  <c r="N450" i="9" s="1"/>
  <c r="N451" i="9" s="1"/>
  <c r="N452" i="9" s="1"/>
  <c r="N453" i="9" s="1"/>
  <c r="N454" i="9" s="1"/>
  <c r="N455" i="9" s="1"/>
  <c r="N456" i="9" s="1"/>
  <c r="N457" i="9" s="1"/>
  <c r="N458" i="9" s="1"/>
  <c r="N459" i="9" s="1"/>
  <c r="N460" i="9" s="1"/>
  <c r="N461" i="9" s="1"/>
  <c r="N462" i="9" s="1"/>
  <c r="N463" i="9" s="1"/>
  <c r="N464" i="9" s="1"/>
  <c r="N465" i="9" s="1"/>
  <c r="N466" i="9" s="1"/>
  <c r="N467" i="9" s="1"/>
  <c r="N468" i="9" s="1"/>
  <c r="N469" i="9" s="1"/>
  <c r="N470" i="9" s="1"/>
  <c r="N471" i="9" s="1"/>
  <c r="N472" i="9" s="1"/>
  <c r="N473" i="9" s="1"/>
  <c r="N474" i="9" s="1"/>
  <c r="N475" i="9" s="1"/>
  <c r="N476" i="9" s="1"/>
  <c r="N477" i="9" s="1"/>
  <c r="N478" i="9" s="1"/>
  <c r="N479" i="9" s="1"/>
  <c r="N480" i="9" s="1"/>
  <c r="N481" i="9" s="1"/>
  <c r="N482" i="9" s="1"/>
  <c r="N483" i="9" s="1"/>
  <c r="N484" i="9" s="1"/>
  <c r="N485" i="9" s="1"/>
  <c r="N486" i="9" s="1"/>
  <c r="N487" i="9" s="1"/>
  <c r="N488" i="9" s="1"/>
  <c r="N489" i="9" s="1"/>
  <c r="N490" i="9" s="1"/>
  <c r="N491" i="9" s="1"/>
  <c r="N492" i="9" s="1"/>
  <c r="N493" i="9" s="1"/>
  <c r="N494" i="9" s="1"/>
  <c r="N495" i="9" s="1"/>
  <c r="N496" i="9" s="1"/>
  <c r="N497" i="9" s="1"/>
  <c r="N498" i="9" s="1"/>
  <c r="N499" i="9" s="1"/>
  <c r="N500" i="9" s="1"/>
  <c r="N501" i="9" s="1"/>
  <c r="N502" i="9" s="1"/>
  <c r="N503" i="9" s="1"/>
  <c r="N504" i="9" s="1"/>
  <c r="N505" i="9" s="1"/>
  <c r="N506" i="9" s="1"/>
  <c r="N507" i="9" s="1"/>
  <c r="N508" i="9" s="1"/>
  <c r="N509" i="9" s="1"/>
  <c r="N510" i="9" s="1"/>
  <c r="N511" i="9" s="1"/>
  <c r="N512" i="9" s="1"/>
  <c r="N513" i="9" s="1"/>
  <c r="N514" i="9" s="1"/>
  <c r="N515" i="9" s="1"/>
  <c r="N516" i="9" s="1"/>
  <c r="N517" i="9" s="1"/>
  <c r="N518" i="9" s="1"/>
  <c r="N519" i="9" s="1"/>
  <c r="N520" i="9" s="1"/>
  <c r="N521" i="9" s="1"/>
  <c r="N522" i="9" s="1"/>
  <c r="N523" i="9" s="1"/>
  <c r="N524" i="9" s="1"/>
  <c r="N525" i="9" s="1"/>
  <c r="N526" i="9" s="1"/>
  <c r="N527" i="9" s="1"/>
  <c r="N528" i="9" s="1"/>
  <c r="N529" i="9" s="1"/>
  <c r="N530" i="9" s="1"/>
  <c r="N531" i="9" s="1"/>
  <c r="N532" i="9" s="1"/>
  <c r="N533" i="9" s="1"/>
  <c r="N534" i="9" s="1"/>
  <c r="N535" i="9" s="1"/>
  <c r="N536" i="9" s="1"/>
  <c r="N537" i="9" s="1"/>
  <c r="N538" i="9" s="1"/>
  <c r="N539" i="9" s="1"/>
  <c r="N540" i="9" s="1"/>
  <c r="N541" i="9" s="1"/>
  <c r="N542" i="9" s="1"/>
  <c r="N543" i="9" s="1"/>
  <c r="N544" i="9" s="1"/>
  <c r="N545" i="9" s="1"/>
  <c r="N546" i="9" s="1"/>
  <c r="N547" i="9" s="1"/>
  <c r="N548" i="9" s="1"/>
  <c r="N549" i="9" s="1"/>
  <c r="N550" i="9" s="1"/>
  <c r="N551" i="9" s="1"/>
  <c r="N552" i="9" s="1"/>
  <c r="N553" i="9" s="1"/>
  <c r="N554" i="9" s="1"/>
  <c r="N555" i="9" s="1"/>
  <c r="N556" i="9" s="1"/>
  <c r="N557" i="9" s="1"/>
  <c r="N558" i="9" s="1"/>
  <c r="N559" i="9" s="1"/>
  <c r="N560" i="9" s="1"/>
  <c r="N561" i="9" s="1"/>
  <c r="N562" i="9" s="1"/>
  <c r="N563" i="9" s="1"/>
  <c r="N564" i="9" s="1"/>
  <c r="N565" i="9" s="1"/>
  <c r="N566" i="9" s="1"/>
  <c r="N567" i="9" s="1"/>
  <c r="N568" i="9" s="1"/>
  <c r="N569" i="9" s="1"/>
  <c r="N570" i="9" s="1"/>
  <c r="N571" i="9" s="1"/>
  <c r="N572" i="9" s="1"/>
  <c r="N573" i="9" s="1"/>
  <c r="N574" i="9" s="1"/>
  <c r="N575" i="9" s="1"/>
  <c r="N576" i="9" s="1"/>
  <c r="N577" i="9" s="1"/>
  <c r="N578" i="9" s="1"/>
  <c r="N579" i="9" s="1"/>
  <c r="N580" i="9" s="1"/>
  <c r="N581" i="9" s="1"/>
  <c r="N582" i="9" s="1"/>
  <c r="N583" i="9" s="1"/>
  <c r="N584" i="9" s="1"/>
  <c r="N585" i="9" s="1"/>
  <c r="N586" i="9" s="1"/>
  <c r="N587" i="9" s="1"/>
  <c r="N588" i="9" s="1"/>
  <c r="N589" i="9" s="1"/>
  <c r="N590" i="9" s="1"/>
  <c r="N591" i="9" s="1"/>
  <c r="N592" i="9" s="1"/>
  <c r="N593" i="9" s="1"/>
  <c r="N594" i="9" s="1"/>
  <c r="N595" i="9" s="1"/>
  <c r="N596" i="9" s="1"/>
  <c r="N597" i="9" s="1"/>
  <c r="N598" i="9" s="1"/>
  <c r="N599" i="9" s="1"/>
  <c r="N600" i="9" s="1"/>
  <c r="N601" i="9" s="1"/>
  <c r="N602" i="9" s="1"/>
  <c r="N603" i="9" s="1"/>
  <c r="N604" i="9" s="1"/>
  <c r="N605" i="9" s="1"/>
  <c r="N606" i="9" s="1"/>
  <c r="N607" i="9" s="1"/>
  <c r="N608" i="9" s="1"/>
  <c r="N609" i="9" s="1"/>
  <c r="N610" i="9" s="1"/>
  <c r="N611" i="9" s="1"/>
  <c r="N612" i="9" s="1"/>
  <c r="N613" i="9" s="1"/>
  <c r="N614" i="9" s="1"/>
  <c r="N615" i="9" s="1"/>
  <c r="N616" i="9" s="1"/>
  <c r="N617" i="9" s="1"/>
  <c r="N618" i="9" s="1"/>
  <c r="N619" i="9" s="1"/>
  <c r="N620" i="9" s="1"/>
  <c r="N621" i="9" s="1"/>
  <c r="N622" i="9" s="1"/>
  <c r="N623" i="9" s="1"/>
  <c r="N624" i="9" s="1"/>
  <c r="N625" i="9" s="1"/>
  <c r="N626" i="9" s="1"/>
  <c r="O1273" i="10" l="1"/>
  <c r="O1272" i="10"/>
  <c r="O1271" i="10"/>
  <c r="O1270" i="10"/>
  <c r="O1269" i="10"/>
  <c r="O1268" i="10"/>
  <c r="O1267" i="10"/>
  <c r="O1266" i="10"/>
  <c r="O1265" i="10"/>
  <c r="O1264" i="10"/>
  <c r="O1263" i="10"/>
  <c r="O1262" i="10"/>
  <c r="O1261" i="10"/>
  <c r="O1260" i="10"/>
  <c r="O1259" i="10"/>
  <c r="O1258" i="10"/>
  <c r="O1257" i="10"/>
  <c r="O1256" i="10"/>
  <c r="O1255" i="10"/>
  <c r="O1254" i="10"/>
  <c r="O1253" i="10"/>
  <c r="O1252" i="10"/>
  <c r="O1251" i="10"/>
  <c r="O1250" i="10"/>
  <c r="O1249" i="10"/>
  <c r="O1248" i="10"/>
  <c r="O1247" i="10"/>
  <c r="O1246" i="10"/>
  <c r="O1245" i="10"/>
  <c r="O1244" i="10"/>
  <c r="O1243" i="10"/>
  <c r="O1242" i="10"/>
  <c r="O1241" i="10"/>
  <c r="O1240" i="10"/>
  <c r="O1239" i="10"/>
  <c r="O1238" i="10"/>
  <c r="O1237" i="10"/>
  <c r="O1236" i="10"/>
  <c r="O1235" i="10"/>
  <c r="O1234" i="10"/>
  <c r="O1233" i="10"/>
  <c r="O1232" i="10"/>
  <c r="O1231" i="10"/>
  <c r="O1230" i="10"/>
  <c r="O1229" i="10"/>
  <c r="O1228" i="10"/>
  <c r="O1227" i="10"/>
  <c r="O1226" i="10"/>
  <c r="O1225" i="10"/>
  <c r="O1224" i="10"/>
  <c r="O1223" i="10"/>
  <c r="O1222" i="10"/>
  <c r="O1221" i="10"/>
  <c r="O1220" i="10"/>
  <c r="O1219" i="10"/>
  <c r="O1218" i="10"/>
  <c r="O1217" i="10"/>
  <c r="O1216" i="10"/>
  <c r="O1215" i="10"/>
  <c r="O1214" i="10"/>
  <c r="O1213" i="10"/>
  <c r="O1212" i="10"/>
  <c r="O1211" i="10"/>
  <c r="O1210" i="10"/>
  <c r="O1209" i="10"/>
  <c r="O1208" i="10"/>
  <c r="O1207" i="10"/>
  <c r="O1206" i="10"/>
  <c r="O1205" i="10"/>
  <c r="O1204" i="10"/>
  <c r="O1203" i="10"/>
  <c r="O1202" i="10"/>
  <c r="O1201" i="10"/>
  <c r="O1200" i="10"/>
  <c r="O1199" i="10"/>
  <c r="O1198" i="10"/>
  <c r="O1197" i="10"/>
  <c r="O1196" i="10"/>
  <c r="O1195" i="10"/>
  <c r="O1194" i="10"/>
  <c r="O1193" i="10"/>
  <c r="O1192" i="10"/>
  <c r="O1191" i="10"/>
  <c r="O1190" i="10"/>
  <c r="O1189" i="10"/>
  <c r="O1188" i="10"/>
  <c r="O1187" i="10"/>
  <c r="O1186" i="10"/>
  <c r="O1185" i="10"/>
  <c r="O1184" i="10"/>
  <c r="O1183" i="10"/>
  <c r="O1182" i="10"/>
  <c r="O1181" i="10"/>
  <c r="O1180" i="10"/>
  <c r="O1179" i="10"/>
  <c r="O1178" i="10"/>
  <c r="O1177" i="10"/>
  <c r="O1176" i="10"/>
  <c r="O1175" i="10"/>
  <c r="O1174" i="10"/>
  <c r="O1173" i="10"/>
  <c r="O1172" i="10"/>
  <c r="O1171" i="10"/>
  <c r="O1170" i="10"/>
  <c r="O1169" i="10"/>
  <c r="O1168" i="10"/>
  <c r="O1167" i="10"/>
  <c r="O1166" i="10"/>
  <c r="O1165" i="10"/>
  <c r="O1164" i="10"/>
  <c r="O1163" i="10"/>
  <c r="O1162" i="10"/>
  <c r="O1161" i="10"/>
  <c r="O1160" i="10"/>
  <c r="O1159" i="10"/>
  <c r="O1158" i="10"/>
  <c r="O1157" i="10"/>
  <c r="O1156" i="10"/>
  <c r="O1155" i="10"/>
  <c r="O1154" i="10"/>
  <c r="O1153" i="10"/>
  <c r="O1152" i="10"/>
  <c r="O1151" i="10"/>
  <c r="O1150" i="10"/>
  <c r="O1149" i="10"/>
  <c r="O1148" i="10"/>
  <c r="O1147" i="10"/>
  <c r="O1146" i="10"/>
  <c r="O1145" i="10"/>
  <c r="O1144" i="10"/>
  <c r="O1143" i="10"/>
  <c r="O1142" i="10"/>
  <c r="O1141" i="10"/>
  <c r="O1140" i="10"/>
  <c r="O1139" i="10"/>
  <c r="O1138" i="10"/>
  <c r="O1137" i="10"/>
  <c r="O1136" i="10"/>
  <c r="O1135" i="10"/>
  <c r="O1134" i="10"/>
  <c r="O1133" i="10"/>
  <c r="O1132" i="10"/>
  <c r="O1131" i="10"/>
  <c r="O1130" i="10"/>
  <c r="O1129" i="10"/>
  <c r="O1128" i="10"/>
  <c r="O1127" i="10"/>
  <c r="O1126" i="10"/>
  <c r="O1125" i="10"/>
  <c r="O1124" i="10"/>
  <c r="O1123" i="10"/>
  <c r="O1122" i="10"/>
  <c r="O1121" i="10"/>
  <c r="O1120" i="10"/>
  <c r="O1119" i="10"/>
  <c r="O1118" i="10"/>
  <c r="O1117" i="10"/>
  <c r="O1116" i="10"/>
  <c r="O1115" i="10"/>
  <c r="O1114" i="10"/>
  <c r="O1113" i="10"/>
  <c r="O1112" i="10"/>
  <c r="O1111" i="10"/>
  <c r="O1110" i="10"/>
  <c r="O1109" i="10"/>
  <c r="O1108" i="10"/>
  <c r="O1107" i="10"/>
  <c r="O1106" i="10"/>
  <c r="O1105" i="10"/>
  <c r="O1104" i="10"/>
  <c r="O1103" i="10"/>
  <c r="O1102" i="10"/>
  <c r="O1101" i="10"/>
  <c r="O1100" i="10"/>
  <c r="O1099" i="10"/>
  <c r="O1098" i="10"/>
  <c r="O1097" i="10"/>
  <c r="O1096" i="10"/>
  <c r="O1095" i="10"/>
  <c r="O1094" i="10"/>
  <c r="O1093" i="10"/>
  <c r="O1092" i="10"/>
  <c r="O1091" i="10"/>
  <c r="O1090" i="10"/>
  <c r="O1089" i="10"/>
  <c r="O1088" i="10"/>
  <c r="O1087" i="10"/>
  <c r="O1086" i="10"/>
  <c r="O1085" i="10"/>
  <c r="O1084" i="10"/>
  <c r="O1083" i="10"/>
  <c r="O1082" i="10"/>
  <c r="O1081" i="10"/>
  <c r="O1080" i="10"/>
  <c r="O1079" i="10"/>
  <c r="O1078" i="10"/>
  <c r="O1077" i="10"/>
  <c r="O1076" i="10"/>
  <c r="O1075" i="10"/>
  <c r="O1074" i="10"/>
  <c r="O1073" i="10"/>
  <c r="O1072" i="10"/>
  <c r="O1071" i="10"/>
  <c r="O1070" i="10"/>
  <c r="O1069" i="10"/>
  <c r="O1068" i="10"/>
  <c r="O1067" i="10"/>
  <c r="O1066" i="10"/>
  <c r="O1065" i="10"/>
  <c r="O1064" i="10"/>
  <c r="O1063" i="10"/>
  <c r="O1062" i="10"/>
  <c r="O1061" i="10"/>
  <c r="O1060" i="10"/>
  <c r="O1059" i="10"/>
  <c r="O1058" i="10"/>
  <c r="O1057" i="10"/>
  <c r="O1056" i="10"/>
  <c r="O1055" i="10"/>
  <c r="O1054" i="10"/>
  <c r="O1053" i="10"/>
  <c r="O1052" i="10"/>
  <c r="O1051" i="10"/>
  <c r="O1050" i="10"/>
  <c r="O1049" i="10"/>
  <c r="O1048" i="10"/>
  <c r="O1047" i="10"/>
  <c r="O1046" i="10"/>
  <c r="O1045" i="10"/>
  <c r="O1044" i="10"/>
  <c r="O1043" i="10"/>
  <c r="O1042" i="10"/>
  <c r="O1041" i="10"/>
  <c r="O1040" i="10"/>
  <c r="O1039" i="10"/>
  <c r="O1038" i="10"/>
  <c r="O1037" i="10"/>
  <c r="O1036" i="10"/>
  <c r="O1035" i="10"/>
  <c r="O1034" i="10"/>
  <c r="O1033" i="10"/>
  <c r="O1032" i="10"/>
  <c r="O1031" i="10"/>
  <c r="O1030" i="10"/>
  <c r="O1029" i="10"/>
  <c r="O1028" i="10"/>
  <c r="O1027" i="10"/>
  <c r="O1026" i="10"/>
  <c r="O1025" i="10"/>
  <c r="O1024" i="10"/>
  <c r="O1023" i="10"/>
  <c r="O1022" i="10"/>
  <c r="O1021" i="10"/>
  <c r="O1020" i="10"/>
  <c r="O1019" i="10"/>
  <c r="O1018" i="10"/>
  <c r="O1017" i="10"/>
  <c r="O1016" i="10"/>
  <c r="O1015" i="10"/>
  <c r="O1014" i="10"/>
  <c r="O1013" i="10"/>
  <c r="O1012" i="10"/>
  <c r="O1011" i="10"/>
  <c r="O1010" i="10"/>
  <c r="O1009" i="10"/>
  <c r="O1008" i="10"/>
  <c r="O1007" i="10"/>
  <c r="O1006" i="10"/>
  <c r="O1005" i="10"/>
  <c r="O1004" i="10"/>
  <c r="O1003" i="10"/>
  <c r="O1002" i="10"/>
  <c r="O1001" i="10"/>
  <c r="O1000" i="10"/>
  <c r="O999" i="10"/>
  <c r="O998" i="10"/>
  <c r="O997" i="10"/>
  <c r="O996" i="10"/>
  <c r="O995" i="10"/>
  <c r="O994" i="10"/>
  <c r="O993" i="10"/>
  <c r="O992" i="10"/>
  <c r="O991" i="10"/>
  <c r="O990" i="10"/>
  <c r="O989" i="10"/>
  <c r="O988" i="10"/>
  <c r="O987" i="10"/>
  <c r="O986" i="10"/>
  <c r="O985" i="10"/>
  <c r="O984" i="10"/>
  <c r="O983" i="10"/>
  <c r="O982" i="10"/>
  <c r="O981" i="10"/>
  <c r="O980" i="10"/>
  <c r="O979" i="10"/>
  <c r="O978" i="10"/>
  <c r="O977" i="10"/>
  <c r="O976" i="10"/>
  <c r="O975" i="10"/>
  <c r="O974" i="10"/>
  <c r="O973" i="10"/>
  <c r="O972" i="10"/>
  <c r="O971" i="10"/>
  <c r="O970" i="10"/>
  <c r="O969" i="10"/>
  <c r="O968" i="10"/>
  <c r="O967" i="10"/>
  <c r="O966" i="10"/>
  <c r="O965" i="10"/>
  <c r="O964" i="10"/>
  <c r="O963" i="10"/>
  <c r="O962" i="10"/>
  <c r="O961" i="10"/>
  <c r="O960" i="10"/>
  <c r="O959" i="10"/>
  <c r="O958" i="10"/>
  <c r="O957" i="10"/>
  <c r="O956" i="10"/>
  <c r="O955" i="10"/>
  <c r="O954" i="10"/>
  <c r="O953" i="10"/>
  <c r="O952" i="10"/>
  <c r="O951" i="10"/>
  <c r="O950" i="10"/>
  <c r="O949" i="10"/>
  <c r="O948" i="10"/>
  <c r="O947" i="10"/>
  <c r="O946" i="10"/>
  <c r="O945" i="10"/>
  <c r="O944" i="10"/>
  <c r="O943" i="10"/>
  <c r="O942" i="10"/>
  <c r="O941" i="10"/>
  <c r="O940" i="10"/>
  <c r="O939" i="10"/>
  <c r="O938" i="10"/>
  <c r="O937" i="10"/>
  <c r="O936" i="10"/>
  <c r="O935" i="10"/>
  <c r="O934" i="10"/>
  <c r="O933" i="10"/>
  <c r="O932" i="10"/>
  <c r="O931" i="10"/>
  <c r="O930" i="10"/>
  <c r="O929" i="10"/>
  <c r="O928" i="10"/>
  <c r="O927" i="10"/>
  <c r="O926" i="10"/>
  <c r="O925" i="10"/>
  <c r="O924" i="10"/>
  <c r="O923" i="10"/>
  <c r="O922" i="10"/>
  <c r="O921" i="10"/>
  <c r="O920" i="10"/>
  <c r="O919" i="10"/>
  <c r="O918" i="10"/>
  <c r="O917" i="10"/>
  <c r="O916" i="10"/>
  <c r="O915" i="10"/>
  <c r="O914" i="10"/>
  <c r="O913" i="10"/>
  <c r="O912" i="10"/>
  <c r="O911" i="10"/>
  <c r="O910" i="10"/>
  <c r="O909" i="10"/>
  <c r="O908" i="10"/>
  <c r="O907" i="10"/>
  <c r="O906" i="10"/>
  <c r="O905" i="10"/>
  <c r="O904" i="10"/>
  <c r="O903" i="10"/>
  <c r="O902" i="10"/>
  <c r="O901" i="10"/>
  <c r="O900" i="10"/>
  <c r="O899" i="10"/>
  <c r="O898" i="10"/>
  <c r="O897" i="10"/>
  <c r="O896" i="10"/>
  <c r="O895" i="10"/>
  <c r="O894" i="10"/>
  <c r="O893" i="10"/>
  <c r="O892" i="10"/>
  <c r="O891" i="10"/>
  <c r="O890" i="10"/>
  <c r="O889" i="10"/>
  <c r="O888" i="10"/>
  <c r="O887" i="10"/>
  <c r="O886" i="10"/>
  <c r="O885" i="10"/>
  <c r="O884" i="10"/>
  <c r="O883" i="10"/>
  <c r="O882" i="10"/>
  <c r="O881" i="10"/>
  <c r="O880" i="10"/>
  <c r="O879" i="10"/>
  <c r="O878" i="10"/>
  <c r="O877" i="10"/>
  <c r="O876" i="10"/>
  <c r="O875" i="10"/>
  <c r="O874" i="10"/>
  <c r="O873" i="10"/>
  <c r="O872" i="10"/>
  <c r="O871" i="10"/>
  <c r="O870" i="10"/>
  <c r="O869" i="10"/>
  <c r="O868" i="10"/>
  <c r="O867" i="10"/>
  <c r="O866" i="10"/>
  <c r="O865" i="10"/>
  <c r="O864" i="10"/>
  <c r="O863" i="10"/>
  <c r="O862" i="10"/>
  <c r="O861" i="10"/>
  <c r="O860" i="10"/>
  <c r="O859" i="10"/>
  <c r="O858" i="10"/>
  <c r="O857" i="10"/>
  <c r="O856" i="10"/>
  <c r="O855" i="10"/>
  <c r="O854" i="10"/>
  <c r="O853" i="10"/>
  <c r="O852" i="10"/>
  <c r="O851" i="10"/>
  <c r="O850" i="10"/>
  <c r="O849" i="10"/>
  <c r="O848" i="10"/>
  <c r="O847" i="10"/>
  <c r="O846" i="10"/>
  <c r="O845" i="10"/>
  <c r="O844" i="10"/>
  <c r="O843" i="10"/>
  <c r="O842" i="10"/>
  <c r="O841" i="10"/>
  <c r="O840" i="10"/>
  <c r="O839" i="10"/>
  <c r="O838" i="10"/>
  <c r="O837" i="10"/>
  <c r="O836" i="10"/>
  <c r="O835" i="10"/>
  <c r="O834" i="10"/>
  <c r="O833" i="10"/>
  <c r="O832" i="10"/>
  <c r="O831" i="10"/>
  <c r="O830" i="10"/>
  <c r="O829" i="10"/>
  <c r="O828" i="10"/>
  <c r="O827" i="10"/>
  <c r="O826" i="10"/>
  <c r="O825" i="10"/>
  <c r="O824" i="10"/>
  <c r="O823" i="10"/>
  <c r="O822" i="10"/>
  <c r="O821" i="10"/>
  <c r="O820" i="10"/>
  <c r="O819" i="10"/>
  <c r="O818" i="10"/>
  <c r="O817" i="10"/>
  <c r="O816" i="10"/>
  <c r="O815" i="10"/>
  <c r="O814" i="10"/>
  <c r="O813" i="10"/>
  <c r="O812" i="10"/>
  <c r="O811" i="10"/>
  <c r="O810" i="10"/>
  <c r="O809" i="10"/>
  <c r="O808" i="10"/>
  <c r="O807" i="10"/>
  <c r="O806" i="10"/>
  <c r="O805" i="10"/>
  <c r="O804" i="10"/>
  <c r="O803" i="10"/>
  <c r="O802" i="10"/>
  <c r="O801" i="10"/>
  <c r="O800" i="10"/>
  <c r="O799" i="10"/>
  <c r="O798" i="10"/>
  <c r="O797" i="10"/>
  <c r="O796" i="10"/>
  <c r="O795" i="10"/>
  <c r="O794" i="10"/>
  <c r="O793" i="10"/>
  <c r="O792" i="10"/>
  <c r="O791" i="10"/>
  <c r="O790" i="10"/>
  <c r="O789" i="10"/>
  <c r="O788" i="10"/>
  <c r="O787" i="10"/>
  <c r="O786" i="10"/>
  <c r="O785" i="10"/>
  <c r="O784" i="10"/>
  <c r="O783" i="10"/>
  <c r="O782" i="10"/>
  <c r="O781" i="10"/>
  <c r="O780" i="10"/>
  <c r="O779" i="10"/>
  <c r="O778" i="10"/>
  <c r="O777" i="10"/>
  <c r="O776" i="10"/>
  <c r="O775" i="10"/>
  <c r="O774" i="10"/>
  <c r="O773" i="10"/>
  <c r="O772" i="10"/>
  <c r="O771" i="10"/>
  <c r="O770" i="10"/>
  <c r="O769" i="10"/>
  <c r="O768" i="10"/>
  <c r="O767" i="10"/>
  <c r="O766" i="10"/>
  <c r="O765" i="10"/>
  <c r="O764" i="10"/>
  <c r="O763" i="10"/>
  <c r="O762" i="10"/>
  <c r="O761" i="10"/>
  <c r="O760" i="10"/>
  <c r="O759" i="10"/>
  <c r="O758" i="10"/>
  <c r="O757" i="10"/>
  <c r="O756" i="10"/>
  <c r="O755" i="10"/>
  <c r="O754" i="10"/>
  <c r="O753" i="10"/>
  <c r="O752" i="10"/>
  <c r="O751" i="10"/>
  <c r="O750" i="10"/>
  <c r="O749" i="10"/>
  <c r="O748" i="10"/>
  <c r="O747" i="10"/>
  <c r="O746" i="10"/>
  <c r="O745" i="10"/>
  <c r="O744" i="10"/>
  <c r="O743" i="10"/>
  <c r="O742" i="10"/>
  <c r="O741" i="10"/>
  <c r="O740" i="10"/>
  <c r="O739" i="10"/>
  <c r="O738" i="10"/>
  <c r="O737" i="10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O713" i="10"/>
  <c r="O712" i="10"/>
  <c r="O711" i="10"/>
  <c r="O710" i="10"/>
  <c r="O709" i="10"/>
  <c r="O708" i="10"/>
  <c r="O707" i="10"/>
  <c r="O706" i="10"/>
  <c r="O705" i="10"/>
  <c r="O704" i="10"/>
  <c r="O703" i="10"/>
  <c r="O702" i="10"/>
  <c r="O701" i="10"/>
  <c r="O700" i="10"/>
  <c r="O699" i="10"/>
  <c r="O698" i="10"/>
  <c r="O697" i="10"/>
  <c r="O696" i="10"/>
  <c r="O695" i="10"/>
  <c r="O694" i="10"/>
  <c r="O693" i="10"/>
  <c r="O692" i="10"/>
  <c r="O691" i="10"/>
  <c r="O690" i="10"/>
  <c r="O689" i="10"/>
  <c r="O688" i="10"/>
  <c r="O687" i="10"/>
  <c r="O686" i="10"/>
  <c r="O685" i="10"/>
  <c r="O684" i="10"/>
  <c r="O683" i="10"/>
  <c r="O682" i="10"/>
  <c r="O681" i="10"/>
  <c r="O680" i="10"/>
  <c r="O679" i="10"/>
  <c r="O678" i="10"/>
  <c r="O677" i="10"/>
  <c r="O676" i="10"/>
  <c r="O675" i="10"/>
  <c r="O674" i="10"/>
  <c r="O673" i="10"/>
  <c r="O672" i="10"/>
  <c r="O671" i="10"/>
  <c r="O670" i="10"/>
  <c r="O669" i="10"/>
  <c r="O668" i="10"/>
  <c r="O667" i="10"/>
  <c r="O666" i="10"/>
  <c r="O665" i="10"/>
  <c r="O664" i="10"/>
  <c r="O663" i="10"/>
  <c r="O662" i="10"/>
  <c r="O661" i="10"/>
  <c r="O660" i="10"/>
  <c r="O659" i="10"/>
  <c r="O658" i="10"/>
  <c r="O657" i="10"/>
  <c r="O656" i="10"/>
  <c r="O655" i="10"/>
  <c r="O654" i="10"/>
  <c r="O653" i="10"/>
  <c r="O652" i="10"/>
  <c r="O651" i="10"/>
  <c r="O650" i="10"/>
  <c r="O649" i="10"/>
  <c r="O648" i="10"/>
  <c r="O647" i="10"/>
  <c r="O646" i="10"/>
  <c r="O645" i="10"/>
  <c r="O644" i="10"/>
  <c r="O643" i="10"/>
  <c r="O642" i="10"/>
  <c r="O641" i="10"/>
  <c r="O640" i="10"/>
  <c r="O639" i="10"/>
  <c r="O638" i="10"/>
  <c r="O637" i="10"/>
  <c r="O636" i="10"/>
  <c r="O635" i="10"/>
  <c r="O634" i="10"/>
  <c r="O633" i="10"/>
  <c r="O632" i="10"/>
  <c r="O631" i="10"/>
  <c r="O630" i="10"/>
  <c r="O629" i="10"/>
  <c r="O628" i="10"/>
  <c r="O627" i="10"/>
  <c r="O626" i="10"/>
  <c r="O625" i="10"/>
  <c r="O624" i="10"/>
  <c r="O623" i="10"/>
  <c r="O622" i="10"/>
  <c r="O621" i="10"/>
  <c r="O620" i="10"/>
  <c r="O619" i="10"/>
  <c r="O618" i="10"/>
  <c r="O617" i="10"/>
  <c r="O616" i="10"/>
  <c r="O615" i="10"/>
  <c r="O614" i="10"/>
  <c r="O613" i="10"/>
  <c r="O612" i="10"/>
  <c r="O611" i="10"/>
  <c r="O610" i="10"/>
  <c r="O609" i="10"/>
  <c r="O608" i="10"/>
  <c r="O607" i="10"/>
  <c r="O606" i="10"/>
  <c r="O605" i="10"/>
  <c r="O604" i="10"/>
  <c r="O603" i="10"/>
  <c r="O602" i="10"/>
  <c r="O601" i="10"/>
  <c r="O600" i="10"/>
  <c r="O599" i="10"/>
  <c r="O598" i="10"/>
  <c r="O597" i="10"/>
  <c r="O596" i="10"/>
  <c r="O595" i="10"/>
  <c r="O594" i="10"/>
  <c r="O593" i="10"/>
  <c r="O592" i="10"/>
  <c r="O591" i="10"/>
  <c r="O590" i="10"/>
  <c r="O589" i="10"/>
  <c r="O588" i="10"/>
  <c r="O587" i="10"/>
  <c r="O586" i="10"/>
  <c r="O585" i="10"/>
  <c r="O584" i="10"/>
  <c r="O583" i="10"/>
  <c r="O582" i="10"/>
  <c r="O581" i="10"/>
  <c r="O580" i="10"/>
  <c r="O579" i="10"/>
  <c r="O578" i="10"/>
  <c r="O577" i="10"/>
  <c r="O576" i="10"/>
  <c r="O575" i="10"/>
  <c r="O574" i="10"/>
  <c r="O573" i="10"/>
  <c r="O572" i="10"/>
  <c r="O571" i="10"/>
  <c r="O570" i="10"/>
  <c r="O569" i="10"/>
  <c r="O568" i="10"/>
  <c r="O567" i="10"/>
  <c r="O566" i="10"/>
  <c r="O565" i="10"/>
  <c r="O564" i="10"/>
  <c r="O563" i="10"/>
  <c r="O562" i="10"/>
  <c r="O561" i="10"/>
  <c r="O560" i="10"/>
  <c r="O559" i="10"/>
  <c r="O558" i="10"/>
  <c r="O557" i="10"/>
  <c r="O556" i="10"/>
  <c r="O555" i="10"/>
  <c r="O554" i="10"/>
  <c r="O553" i="10"/>
  <c r="O552" i="10"/>
  <c r="O551" i="10"/>
  <c r="O550" i="10"/>
  <c r="O549" i="10"/>
  <c r="O548" i="10"/>
  <c r="O547" i="10"/>
  <c r="O546" i="10"/>
  <c r="O545" i="10"/>
  <c r="O544" i="10"/>
  <c r="O543" i="10"/>
  <c r="O542" i="10"/>
  <c r="O541" i="10"/>
  <c r="O540" i="10"/>
  <c r="O539" i="10"/>
  <c r="O538" i="10"/>
  <c r="O537" i="10"/>
  <c r="O536" i="10"/>
  <c r="O535" i="10"/>
  <c r="O534" i="10"/>
  <c r="O533" i="10"/>
  <c r="O532" i="10"/>
  <c r="O531" i="10"/>
  <c r="O530" i="10"/>
  <c r="O529" i="10"/>
  <c r="O528" i="10"/>
  <c r="O527" i="10"/>
  <c r="O526" i="10"/>
  <c r="O525" i="10"/>
  <c r="O524" i="10"/>
  <c r="O523" i="10"/>
  <c r="O522" i="10"/>
  <c r="O521" i="10"/>
  <c r="O520" i="10"/>
  <c r="O519" i="10"/>
  <c r="O518" i="10"/>
  <c r="O517" i="10"/>
  <c r="O516" i="10"/>
  <c r="O515" i="10"/>
  <c r="O514" i="10"/>
  <c r="O513" i="10"/>
  <c r="O512" i="10"/>
  <c r="O511" i="10"/>
  <c r="O510" i="10"/>
  <c r="O509" i="10"/>
  <c r="O508" i="10"/>
  <c r="O507" i="10"/>
  <c r="O506" i="10"/>
  <c r="O505" i="10"/>
  <c r="O504" i="10"/>
  <c r="O503" i="10"/>
  <c r="O502" i="10"/>
  <c r="O501" i="10"/>
  <c r="O500" i="10"/>
  <c r="O499" i="10"/>
  <c r="O498" i="10"/>
  <c r="O497" i="10"/>
  <c r="O496" i="10"/>
  <c r="O495" i="10"/>
  <c r="O494" i="10"/>
  <c r="O493" i="10"/>
  <c r="O492" i="10"/>
  <c r="O491" i="10"/>
  <c r="O490" i="10"/>
  <c r="O489" i="10"/>
  <c r="O488" i="10"/>
  <c r="O487" i="10"/>
  <c r="O486" i="10"/>
  <c r="O485" i="10"/>
  <c r="O484" i="10"/>
  <c r="O483" i="10"/>
  <c r="O482" i="10"/>
  <c r="O481" i="10"/>
  <c r="O480" i="10"/>
  <c r="O479" i="10"/>
  <c r="O478" i="10"/>
  <c r="O477" i="10"/>
  <c r="O476" i="10"/>
  <c r="O475" i="10"/>
  <c r="O474" i="10"/>
  <c r="O473" i="10"/>
  <c r="O472" i="10"/>
  <c r="O471" i="10"/>
  <c r="O470" i="10"/>
  <c r="O469" i="10"/>
  <c r="O468" i="10"/>
  <c r="O467" i="10"/>
  <c r="O466" i="10"/>
  <c r="O465" i="10"/>
  <c r="O464" i="10"/>
  <c r="O463" i="10"/>
  <c r="O462" i="10"/>
  <c r="O461" i="10"/>
  <c r="O460" i="10"/>
  <c r="O459" i="10"/>
  <c r="O458" i="10"/>
  <c r="O457" i="10"/>
  <c r="O456" i="10"/>
  <c r="O455" i="10"/>
  <c r="O454" i="10"/>
  <c r="O453" i="10"/>
  <c r="O452" i="10"/>
  <c r="O451" i="10"/>
  <c r="O450" i="10"/>
  <c r="O449" i="10"/>
  <c r="O448" i="10"/>
  <c r="O447" i="10"/>
  <c r="O446" i="10"/>
  <c r="O445" i="10"/>
  <c r="O444" i="10"/>
  <c r="O443" i="10"/>
  <c r="O442" i="10"/>
  <c r="O441" i="10"/>
  <c r="O440" i="10"/>
  <c r="O439" i="10"/>
  <c r="O438" i="10"/>
  <c r="O437" i="10"/>
  <c r="O436" i="10"/>
  <c r="O435" i="10"/>
  <c r="O434" i="10"/>
  <c r="O433" i="10"/>
  <c r="O432" i="10"/>
  <c r="O431" i="10"/>
  <c r="O430" i="10"/>
  <c r="O429" i="10"/>
  <c r="O428" i="10"/>
  <c r="O427" i="10"/>
  <c r="O426" i="10"/>
  <c r="O425" i="10"/>
  <c r="O424" i="10"/>
  <c r="O423" i="10"/>
  <c r="O422" i="10"/>
  <c r="O421" i="10"/>
  <c r="O420" i="10"/>
  <c r="O419" i="10"/>
  <c r="O418" i="10"/>
  <c r="O417" i="10"/>
  <c r="O416" i="10"/>
  <c r="O415" i="10"/>
  <c r="O414" i="10"/>
  <c r="O413" i="10"/>
  <c r="O412" i="10"/>
  <c r="O411" i="10"/>
  <c r="O410" i="10"/>
  <c r="O409" i="10"/>
  <c r="O408" i="10"/>
  <c r="O407" i="10"/>
  <c r="O406" i="10"/>
  <c r="O405" i="10"/>
  <c r="O404" i="10"/>
  <c r="O403" i="10"/>
  <c r="O402" i="10"/>
  <c r="O401" i="10"/>
  <c r="O400" i="10"/>
  <c r="O399" i="10"/>
  <c r="O398" i="10"/>
  <c r="O397" i="10"/>
  <c r="O396" i="10"/>
  <c r="O395" i="10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5CE70E-0900-4B16-815D-D5C43B978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A09BEED-CC28-45FD-A90B-64BE4D83D3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EDBF83-5C63-4EE9-8F97-59F15D4CC8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973C75D-B61A-45AC-A5DA-C7B47E90A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E977DC-C0BA-4A80-A320-10EDD7A29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B0E288-C56E-4B8C-8684-33E50A1596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FBE82D5-4440-4D43-97A4-C81035AB10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4151862-6001-4493-BCAB-37071B4BF2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3A033E-B9A1-40E2-807D-0458A29E50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E68396A-06F8-4809-9214-9CC009DE78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AC42154-9E79-486F-926C-9BFD3ED42C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277AA0D-23DD-4BCD-95C7-5CC632EF0A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3956FD-FA2C-4475-A0B2-0BC3B9959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3F26C42-5212-4246-A436-3ED18604C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74CBE91-E2CF-4D8A-B915-9EF50F0ED2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444998-7FCB-42F9-BF3A-0AA7D225F4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DA1D0A2-911D-44B2-9092-C3E4071CCD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356D4A2-57B5-430B-ACED-D68CF81A3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C23857B-88A3-4DEA-9E9E-F72E079AD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964526F-E40E-4AA6-8A8E-15D712B6C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2526AA7-0B88-43BF-A824-48944B717A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BF7FB9-B5F7-430D-873C-1B810D6E85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5B2BDCC-7C34-4384-95E3-11F2A9C03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AB0E58-BDFE-40BB-A9CB-FDA01974F2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7DB91AA-8439-43E7-BE56-BFD0BC420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AC462A-C949-4F25-AD68-448C61B165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1063AE4-3E53-4684-A289-2750E880C0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4D7B59-7325-4517-8841-1E2AFEB449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403B0CC-C4FB-420D-AB6B-B699F5F441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35CA844-4E89-4E3E-9242-BAAA3C0C80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0BBF62-A518-48D4-ADCE-794BC552D8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A8BBD76-E4D6-4670-9409-86356BD9C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A857C19-CB7C-4DE7-87E4-190BA2C0E7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BAAB310-157A-477C-8E87-0427C9E2C2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E446286-9E62-49A9-A279-5EAB6E6B07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DF0383D-6A4D-4C48-AE98-8582AF6E1F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D84F1DD-3235-4DCF-9CAA-E48A9D645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5C68E9A-F872-41F5-8397-468EA2B0F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3F7DF64-7979-455B-9E7E-57B09E6137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40BFABD-3499-4269-A5DB-B1F143FF59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5C6197-35B8-413B-9EF1-8D9B7F8D3C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6C57FB-D7D0-4B2B-94FE-71BA32811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0F846E-247E-4728-BF80-DDD9DEB6A0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83EE005-7BEA-4ABA-B2F4-582E89D412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4E3C05E-AA67-421E-9462-6454D30335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18DC2F0-900D-4778-9033-63419C81BA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4561F5-31C3-4112-854F-17BF0ED40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8BEAC6-DFE7-48E2-A965-403F09EBF2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0C4DFDA-9563-4F49-89C1-17871A5DD7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16C41F-FCCC-433B-ACCC-8C820ACC0F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1D87912-F832-4DD7-B362-020ACC1D71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3595C0-DAC5-4C49-8819-0AFB6B80E7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E26291F-5299-46EE-B224-D906E9A9F7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DB0E74-A4AA-43B7-9270-A22A28DFE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0A7D3EF-04B1-4109-A88D-2EDE8DF1C2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D3F8EBE-1309-454C-B760-0C25948CE6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F4E916-574E-46C3-BDFF-EC9CB18576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FD09E2-3FCC-4995-B1F6-0F8AEDB23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9AA195-9F11-4F71-B9BB-47B36D324D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55CEDB6-48F3-470C-B33A-863947F6C9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FF3F652-2F1E-4AC3-BF3E-938948A3E3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D8D767-E4FA-467C-8DE1-066197353C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1D4DDB2-8E8B-419D-BE96-D2C6197340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676601-6AC6-40A9-851D-BC518E2AF1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22D22C-73B3-4038-8621-5A350A7126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E023FF-808A-4A70-8CB3-5F674FED40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B90049-500C-4DEB-A24F-CFB43CEB65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FD249A3-32F6-49B0-818D-89502DC1C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6498858-1391-4CD9-A674-901BF1E37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5F29D7F-2AA6-4E68-B9B5-8215CA2D3C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<sst xmlns="http://schemas.openxmlformats.org/spreadsheetml/2006/main" count="15105" uniqueCount="4429">
  <si>
    <t>ACARA</t>
  </si>
  <si>
    <t>DEPT</t>
  </si>
  <si>
    <t>WORLD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</si>
  <si>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</si>
  <si>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</si>
  <si>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</si>
  <si>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</si>
  <si>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</si>
  <si>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</si>
  <si>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</si>
  <si>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</si>
  <si>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</si>
  <si>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</si>
  <si>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</si>
  <si>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</si>
  <si>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</si>
  <si>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MERV100</t>
  </si>
  <si>
    <t>DRESS SIFON BUNGA:PASTEL PINK:8</t>
  </si>
  <si>
    <t>DRESS SIFON BUNGA:PASTEL PINK:12</t>
  </si>
  <si>
    <t>DRESS SIFON BUNGA:PASTEL PINK:10</t>
  </si>
  <si>
    <t>HAPPYBOX</t>
  </si>
  <si>
    <t>GIRL INFANT HAPPY BOX 29900 MAR 2017:ASSORTIVE COLOR:F</t>
  </si>
  <si>
    <t>EV66</t>
  </si>
  <si>
    <t>D BORDIR + APLIKASI BUNGA:NAVY BLUE:8</t>
  </si>
  <si>
    <t>D BORDIR + APLIKASI BUNGA:NAVY BLUE:10</t>
  </si>
  <si>
    <t>AN90</t>
  </si>
  <si>
    <t>D SNOW WHITE:CLASSIC BLUE:4</t>
  </si>
  <si>
    <t>D SNOW WHITE:CLASSIC BLUE:5</t>
  </si>
  <si>
    <t>D SNOW WHITE:CLASSIC BLUE:6</t>
  </si>
  <si>
    <t>D SNOW WHITE:CLASSIC BLUE:8</t>
  </si>
  <si>
    <t>D SNOW WHITE:CLASSIC BLUE:10</t>
  </si>
  <si>
    <t>D SNOW WHITE:CLASSIC BLUE:12</t>
  </si>
  <si>
    <t>AN105</t>
  </si>
  <si>
    <t>D BELLE:CLASSIC YELLOW:5</t>
  </si>
  <si>
    <t>D BELLE:CLASSIC YELLOW:6</t>
  </si>
  <si>
    <t>D BELLE:CLASSIC YELLOW:8</t>
  </si>
  <si>
    <t>D BELLE:CLASSIC YELLOW:10</t>
  </si>
  <si>
    <t>D BELLE:CLASSIC YELLOW:12</t>
  </si>
  <si>
    <t>AN100</t>
  </si>
  <si>
    <t>D CINDERELLA:PASTEL BLUE:4</t>
  </si>
  <si>
    <t>D CINDERELLA:PASTEL BLUE:5</t>
  </si>
  <si>
    <t>D CINDERELLA:PASTEL BLUE:6</t>
  </si>
  <si>
    <t>D CINDERELLA:PASTEL BLUE:8</t>
  </si>
  <si>
    <t>D CINDERELLA:PASTEL BLUE:10</t>
  </si>
  <si>
    <t>R808</t>
  </si>
  <si>
    <t>DRESS BROKAT JARING:PASTEL ORANGE:4</t>
  </si>
  <si>
    <t>DRESS BROKAT JARING:PASTEL ORANGE:5</t>
  </si>
  <si>
    <t>DRESS BROKAT JARING:PASTEL ORANGE:6</t>
  </si>
  <si>
    <t>DRESS BROKAT JARING:PASTEL ORANGE:8</t>
  </si>
  <si>
    <t>RB16</t>
  </si>
  <si>
    <t>D BROKAT KOMB PLISKET A LINE:PASTEL PINK:4</t>
  </si>
  <si>
    <t>D BROKAT KOMB PLISKET A LINE:PASTEL PINK:5</t>
  </si>
  <si>
    <t>D BROKAT KOMB PLISKET A LINE:PASTEL PINK:6</t>
  </si>
  <si>
    <t>D BROKAT KOMB PLISKET A LINE:PASTEL PINK:8</t>
  </si>
  <si>
    <t>D BROKAT KOMB PLISKET A LINE:PASTEL PINK:10</t>
  </si>
  <si>
    <t>D BROKAT KOMB PLISKET A LINE:PASTEL PINK:12</t>
  </si>
  <si>
    <t>MERV90</t>
  </si>
  <si>
    <t>DRESS SATIN KOMB SALUR PINGGANG LACE:NAVY BLUE:4</t>
  </si>
  <si>
    <t>DRESS SATIN KOMB SALUR PINGGANG LACE:NAVY BLUE:10</t>
  </si>
  <si>
    <t>DRESS SATIN KOMB SALUR PINGGANG LACE:NAVY BLUE:6</t>
  </si>
  <si>
    <t>DRESS SATIN KOMB SALUR PINGGANG LACE:NAVY BLUE:12</t>
  </si>
  <si>
    <t>DRESS SATIN KOMB SALUR PINGGANG LACE:NAVY BLUE:5</t>
  </si>
  <si>
    <t>DRESS SATIN KOMB SALUR PINGGANG LACE:NAVY BLUE:8</t>
  </si>
  <si>
    <t>D BORDIR + APLIKASI BUNGA:NAVY BLUE:12</t>
  </si>
  <si>
    <t>D BORDIR + APLIKASI BUNGA:NAVY BLUE:5</t>
  </si>
  <si>
    <t>DRESS BROKAT JARING:PASTEL ORANGE:12</t>
  </si>
  <si>
    <t>DRESS BROKAT JARING:PASTEL ORANGE:10</t>
  </si>
  <si>
    <t>D BORDIR + APLIKASI BUNGA:NAVY BLUE:4</t>
  </si>
  <si>
    <t>DRESS SIFON BUNGA:PASTEL PINK:5</t>
  </si>
  <si>
    <t>DRESS SIFON BUNGA:PASTEL PINK:6</t>
  </si>
  <si>
    <t>D CINDERELLA:PASTEL BLUE:12</t>
  </si>
  <si>
    <t>D BELLE:CLASSIC YELLOW:4</t>
  </si>
  <si>
    <t>D BORDIR + APLIKASI BUNGA:NAVY BLUE:6</t>
  </si>
  <si>
    <t>DRESS SIFON BUNGA:PASTEL PINK:4</t>
  </si>
  <si>
    <t>SS200</t>
  </si>
  <si>
    <t>D ZIG ZAG PASTEL APLIKASI BUNGA:PASTEL PINK:8</t>
  </si>
  <si>
    <t>D ZIG ZAG PASTEL APLIKASI BUNGA:PASTEL PINK:5</t>
  </si>
  <si>
    <t>D ZIG ZAG PASTEL APLIKASI BUNGA:PASTEL PINK:4</t>
  </si>
  <si>
    <t>D ZIG ZAG PASTEL APLIKASI BUNGA:PASTEL PINK:6</t>
  </si>
  <si>
    <t>D ZIG ZAG PASTEL APLIKASI BUNGA:PASTEL PINK:10</t>
  </si>
  <si>
    <t>R809</t>
  </si>
  <si>
    <t>DRESS BUNGA TANGAN DOUBLE GEBER:PASTEL PINK:4</t>
  </si>
  <si>
    <t>DRESS BUNGA TANGAN DOUBLE GEBER:PASTEL PINK:5</t>
  </si>
  <si>
    <t>DRESS BUNGA TANGAN DOUBLE GEBER:PASTEL PINK:6</t>
  </si>
  <si>
    <t>DRESS BUNGA TANGAN DOUBLE GEBER:PASTEL PINK:8</t>
  </si>
  <si>
    <t>DRESS BUNGA TANGAN DOUBLE GEBER:PASTEL PINK:10</t>
  </si>
  <si>
    <t>DRESS BUNGA TANGAN DOUBLE GEBER:PASTEL PINK:12</t>
  </si>
  <si>
    <t>AN82</t>
  </si>
  <si>
    <t>D POLKADOT KOMB BUNGA:CLASSIC RED:10</t>
  </si>
  <si>
    <t>AN101A</t>
  </si>
  <si>
    <t>D TARTAN:GOLDEN BROWN:4</t>
  </si>
  <si>
    <t>D TARTAN:GOLDEN BROWN:5</t>
  </si>
  <si>
    <t>D TARTAN:GOLDEN BROWN:6</t>
  </si>
  <si>
    <t>D TARTAN:GOLDEN BROWN:8</t>
  </si>
  <si>
    <t>D TARTAN:GOLDEN BROWN:10</t>
  </si>
  <si>
    <t>D TARTAN:GOLDEN BROWN:12</t>
  </si>
  <si>
    <t>AN101B</t>
  </si>
  <si>
    <t>D TARTAN A LINE:PASTEL GREY:4</t>
  </si>
  <si>
    <t>D TARTAN A LINE:PASTEL GREY:5</t>
  </si>
  <si>
    <t>D TARTAN A LINE:PASTEL GREY:8</t>
  </si>
  <si>
    <t>D TARTAN A LINE:PASTEL GREY:10</t>
  </si>
  <si>
    <t>D TARTAN A LINE:PASTEL GREY:12</t>
  </si>
  <si>
    <t>EV67</t>
  </si>
  <si>
    <t>DRESS COLD SHOULDER BUNGA MATAHARI:BLACK:4</t>
  </si>
  <si>
    <t>DRESS COLD SHOULDER BUNGA MATAHARI:BLACK:12</t>
  </si>
  <si>
    <t>D POLKADOT KOMB BUNGA:CLASSIC RED:4</t>
  </si>
  <si>
    <t>R805</t>
  </si>
  <si>
    <t>DRESS BABY DOLL BORDIR:NAVY BLUE:8</t>
  </si>
  <si>
    <t>DRESS COLD SHOULDER BUNGA MATAHARI:BLACK:6</t>
  </si>
  <si>
    <t>DRESS BABY DOLL BORDIR:NAVY BLUE:12</t>
  </si>
  <si>
    <t>D TARTAN A LINE:PASTEL GREY:6</t>
  </si>
  <si>
    <t>DRESS BABY DOLL BORDIR:NAVY BLUE:10</t>
  </si>
  <si>
    <t>DRESS BABY DOLL BORDIR:NAVY BLUE:6</t>
  </si>
  <si>
    <t>D POLKADOT KOMB BUNGA:CLASSIC RED:8</t>
  </si>
  <si>
    <t>DRESS COLD SHOULDER BUNGA MATAHARI:BLACK:5</t>
  </si>
  <si>
    <t>DRESS COLD SHOULDER BUNGA MATAHARI:BLACK:10</t>
  </si>
  <si>
    <t>DRESS COLD SHOULDER BUNGA MATAHARI:BLACK:8</t>
  </si>
  <si>
    <t>D POLKADOT KOMB BUNGA:CLASSIC RED:12</t>
  </si>
  <si>
    <t>D POLKADOT KOMB BUNGA:CLASSIC RED:5</t>
  </si>
  <si>
    <t>D ZIG ZAG PASTEL APLIKASI BUNGA:PASTEL PINK:12</t>
  </si>
  <si>
    <t>D POLKADOT KOMB BUNGA:CLASSIC RED:6</t>
  </si>
  <si>
    <t>DRESS BABY DOLL BORDIR:NAVY BLUE:5</t>
  </si>
  <si>
    <t>DRESS BABY DOLL BORDIR:NAVY BLUE:4</t>
  </si>
  <si>
    <t>AN96</t>
  </si>
  <si>
    <t>D RAPUNZEL:PASTEL PINK:4</t>
  </si>
  <si>
    <t>D RAPUNZEL:PASTEL PINK:5</t>
  </si>
  <si>
    <t>SS202</t>
  </si>
  <si>
    <t>D SATIN WITH KALUNG:NAVY BLUE:5</t>
  </si>
  <si>
    <t>D SATIN WITH KALUNG:NAVY BLUE:6</t>
  </si>
  <si>
    <t>R814</t>
  </si>
  <si>
    <t>DRESS STRIPE KOMB POLOS:CORAL:4</t>
  </si>
  <si>
    <t>DRESS STRIPE KOMB POLOS:CORAL:5</t>
  </si>
  <si>
    <t>DRESS STRIPE KOMB POLOS:CORAL:6</t>
  </si>
  <si>
    <t>DRESS STRIPE KOMB POLOS:CORAL:12</t>
  </si>
  <si>
    <t>AN80</t>
  </si>
  <si>
    <t>D MICKEY:BLACK:4</t>
  </si>
  <si>
    <t>D MICKEY:BLACK:5</t>
  </si>
  <si>
    <t>D MICKEY:BLACK:6</t>
  </si>
  <si>
    <t>D MICKEY:BLACK:8</t>
  </si>
  <si>
    <t>EV69</t>
  </si>
  <si>
    <t>D PRINT BUNGA SAKURA:PASTEL PINK:4</t>
  </si>
  <si>
    <t>D PRINT BUNGA SAKURA:PASTEL PINK:5</t>
  </si>
  <si>
    <t>D PRINT BUNGA SAKURA:PASTEL PINK:6</t>
  </si>
  <si>
    <t>D PRINT BUNGA SAKURA:PASTEL PINK:8</t>
  </si>
  <si>
    <t>D PRINT BUNGA SAKURA:PASTEL PINK:10</t>
  </si>
  <si>
    <t>D PRINT BUNGA SAKURA:PASTEL PINK:12</t>
  </si>
  <si>
    <t>LEBR1915</t>
  </si>
  <si>
    <t>GAMIS TILE BORDIR BUNGA:WHITE:6</t>
  </si>
  <si>
    <t>GAMIS TILE BORDIR BUNGA:WHITE:8</t>
  </si>
  <si>
    <t>MERV94</t>
  </si>
  <si>
    <t>DRESS SATIN KOMB SALUR PINGGANG LACE:WHITE:8</t>
  </si>
  <si>
    <t>AN103</t>
  </si>
  <si>
    <t>D FROZEN ANNA:CLASSIC GREEN:4</t>
  </si>
  <si>
    <t>D FROZEN ANNA:CLASSIC GREEN:8</t>
  </si>
  <si>
    <t>DRESS SATIN KOMB SALUR PINGGANG LACE:WHITE:4</t>
  </si>
  <si>
    <t>D RAPUNZEL:PASTEL PINK:8</t>
  </si>
  <si>
    <t>DRESS STRIPE KOMB POLOS:CORAL:10</t>
  </si>
  <si>
    <t>DRESS STRIPE KOMB POLOS:CORAL:8</t>
  </si>
  <si>
    <t>DRESS SATIN KOMB SALUR PINGGANG LACE:WHITE:12</t>
  </si>
  <si>
    <t>D RAPUNZEL:PASTEL PINK:6</t>
  </si>
  <si>
    <t>DRESS SATIN KOMB SALUR PINGGANG LACE:WHITE:5</t>
  </si>
  <si>
    <t>DRESS SATIN KOMB SALUR PINGGANG LACE:WHITE:6</t>
  </si>
  <si>
    <t>D FROZEN ANNA:CLASSIC GREEN:5</t>
  </si>
  <si>
    <t>D SATIN WITH KALUNG:NAVY BLUE:4</t>
  </si>
  <si>
    <t>DRESS SATIN KOMB SALUR PINGGANG LACE:WHITE:10</t>
  </si>
  <si>
    <t>GAMIS TILE BORDIR BUNGA:WHITE:10</t>
  </si>
  <si>
    <t>GAMIS TILE BORDIR BUNGA:WHITE:12</t>
  </si>
  <si>
    <t>D SATIN WITH KALUNG:NAVY BLUE:10</t>
  </si>
  <si>
    <t>D FROZEN ANNA:CLASSIC GREEN:6</t>
  </si>
  <si>
    <t>D SATIN WITH KALUNG:NAVY BLUE:12</t>
  </si>
  <si>
    <t>D SATIN WITH KALUNG:NAVY BLUE:8</t>
  </si>
  <si>
    <t>SS205</t>
  </si>
  <si>
    <t>DRESS CASUAL KOMB ROK POLKADOT:NAVY BLUE:4</t>
  </si>
  <si>
    <t>DRESS CASUAL KOMB ROK POLKADOT:NAVY BLUE:5</t>
  </si>
  <si>
    <t>DRESS CASUAL KOMB ROK POLKADOT:NAVY BLUE:6</t>
  </si>
  <si>
    <t>DRESS CASUAL KOMB ROK POLKADOT:NAVY BLUE:8</t>
  </si>
  <si>
    <t>DRESS CASUAL KOMB ROK POLKADOT:NAVY BLUE:10</t>
  </si>
  <si>
    <t>DRESS CASUAL KOMB ROK POLKADOT:NAVY BLUE:12</t>
  </si>
  <si>
    <t>R806</t>
  </si>
  <si>
    <t>DRESS BORDIR WITH TASSEL:MUSTARD:4</t>
  </si>
  <si>
    <t>DRESS BORDIR WITH TASSEL:MUSTARD:5</t>
  </si>
  <si>
    <t>DRESS BORDIR WITH TASSEL:MUSTARD:6</t>
  </si>
  <si>
    <t>DRESS BORDIR WITH TASSEL:MUSTARD:8</t>
  </si>
  <si>
    <t>DRESS BORDIR WITH TASSEL:MUSTARD:10</t>
  </si>
  <si>
    <t>DRESS BORDIR WITH TASSEL:MUSTARD:12</t>
  </si>
  <si>
    <t>R822</t>
  </si>
  <si>
    <t>DR ORANGE FANTA:SALMON:4</t>
  </si>
  <si>
    <t>DR ORANGE FANTA:SALMON:8</t>
  </si>
  <si>
    <t>DR ORANGE FANTA:SALMON:10</t>
  </si>
  <si>
    <t>DR ORANGE FANTA:SALMON:12</t>
  </si>
  <si>
    <t>R818</t>
  </si>
  <si>
    <t>DR POLKADOT PINK FUZIA:PASTEL PINK:4</t>
  </si>
  <si>
    <t>DR POLKADOT PINK FUZIA:PASTEL PINK:5</t>
  </si>
  <si>
    <t>DR POLKADOT PINK FUZIA:PASTEL PINK:6</t>
  </si>
  <si>
    <t>DR POLKADOT PINK FUZIA:PASTEL PINK:8</t>
  </si>
  <si>
    <t>DR POLKADOT PINK FUZIA:PASTEL PINK:10</t>
  </si>
  <si>
    <t>DR POLKADOT PINK FUZIA:PASTEL PINK:12</t>
  </si>
  <si>
    <t>MERV96</t>
  </si>
  <si>
    <t>DRESS PLAID KOMB KOTAK:BLACK:12</t>
  </si>
  <si>
    <t>MERV92</t>
  </si>
  <si>
    <t>DRESS PLAID PLOI BAN PITA:BLACK:5</t>
  </si>
  <si>
    <t>DRESS PLAID PLOI BAN PITA:BLACK:4</t>
  </si>
  <si>
    <t>DR ORANGE FANTA:SALMON:5</t>
  </si>
  <si>
    <t>DR ORANGE FANTA:SALMON:6</t>
  </si>
  <si>
    <t>DRESS PLAID PLOI BAN PITA:BLACK:10</t>
  </si>
  <si>
    <t>DRESS PLAID KOMB KOTAK:BLACK:6</t>
  </si>
  <si>
    <t>DRESS PLAID KOMB KOTAK:BLACK:5</t>
  </si>
  <si>
    <t>DRESS PLAID PLOI BAN PITA:BLACK:8</t>
  </si>
  <si>
    <t>DRESS PLAID PLOI BAN PITA:BLACK:12</t>
  </si>
  <si>
    <t>DRESS PLAID KOMB KOTAK:BLACK:4</t>
  </si>
  <si>
    <t>DRESS PLAID KOMB KOTAK:BLACK:8</t>
  </si>
  <si>
    <t>DRESS PLAID PLOI BAN PITA:BLACK:6</t>
  </si>
  <si>
    <t>DRESS PLAID KOMB KOTAK:BLACK:10</t>
  </si>
  <si>
    <t>R817</t>
  </si>
  <si>
    <t>D FULL PRINT STRIPE:PASTEL PINK:4</t>
  </si>
  <si>
    <t>AN107</t>
  </si>
  <si>
    <t>D STRIPE PITERBAN PGR:BUBBLEGUM PINK:5</t>
  </si>
  <si>
    <t>D STRIPE PITERBAN PGR:BUBBLEGUM PINK:6</t>
  </si>
  <si>
    <t>D STRIPE PITERBAN PGR:BUBBLEGUM PINK:8</t>
  </si>
  <si>
    <t>D STRIPE PITERBAN PGR:BUBBLEGUM PINK:10</t>
  </si>
  <si>
    <t>D STRIPE PITERBAN PGR:BUBBLEGUM PINK:12</t>
  </si>
  <si>
    <t>LEBR1910</t>
  </si>
  <si>
    <t>GAMIS STRIPE BORDIR TESSEL:PASTEL PINK:8</t>
  </si>
  <si>
    <t>GAMIS STRIPE BORDIR TESSEL:PASTEL PINK:10</t>
  </si>
  <si>
    <t>GAMIS STRIPE BORDIR TESSEL:PASTEL PINK:12</t>
  </si>
  <si>
    <t>LEBR1912</t>
  </si>
  <si>
    <t>GAMIS POLOS PAYET TENGAH:WHITE:6</t>
  </si>
  <si>
    <t>GAMIS POLOS PAYET TENGAH:WHITE:8</t>
  </si>
  <si>
    <t>GAMIS POLOS PAYET TENGAH:WHITE:10</t>
  </si>
  <si>
    <t>GAMIS POLOS PAYET TENGAH:WHITE:12</t>
  </si>
  <si>
    <t>LEBR1904</t>
  </si>
  <si>
    <t>GAMIS BROKAT PAYET LEHER:WHITE:10</t>
  </si>
  <si>
    <t>GAMIS BROKAT PAYET LEHER:WHITE:12</t>
  </si>
  <si>
    <t>LEBR1902</t>
  </si>
  <si>
    <t>GAMIS ROMPI RENDA PAYET:PASTEL PINK:6</t>
  </si>
  <si>
    <t>GAMIS ROMPI RENDA PAYET:PASTEL PINK:8</t>
  </si>
  <si>
    <t>GAMIS ROMPI RENDA PAYET:PASTEL PINK:10</t>
  </si>
  <si>
    <t>GAMIS ROMPI RENDA PAYET:PASTEL PINK:12</t>
  </si>
  <si>
    <t>LEBR1905</t>
  </si>
  <si>
    <t>GAMIS KAFTAN:PASTEL PINK:6</t>
  </si>
  <si>
    <t>GAMIS KAFTAN:PASTEL PINK:8</t>
  </si>
  <si>
    <t>GAMIS KAFTAN:PASTEL PINK:10</t>
  </si>
  <si>
    <t>LEBR1914</t>
  </si>
  <si>
    <t>GAMIS BORDIR BUNGA:PASTEL PINK:8</t>
  </si>
  <si>
    <t>GAMIS BORDIR BUNGA:PASTEL PINK:10</t>
  </si>
  <si>
    <t>GAMIS BORDIR BUNGA:PASTEL PINK:12</t>
  </si>
  <si>
    <t>LEBR1909</t>
  </si>
  <si>
    <t>GAMIS STRIPE BORDIR DADA:CLASSIC BLUE:6</t>
  </si>
  <si>
    <t>GAMIS STRIPE BORDIR DADA:CLASSIC BLUE:8</t>
  </si>
  <si>
    <t>GAMIS STRIPE BORDIR DADA:CLASSIC BLUE:10</t>
  </si>
  <si>
    <t>GAMIS STRIPE BORDIR DADA:CLASSIC BLUE:12</t>
  </si>
  <si>
    <t>LEBR1903</t>
  </si>
  <si>
    <t>GAMIS RENDA PAYET DADA:VANILLA:6</t>
  </si>
  <si>
    <t>GAMIS RENDA PAYET DADA:VANILLA:8</t>
  </si>
  <si>
    <t>GAMIS RENDA PAYET DADA:VANILLA:10</t>
  </si>
  <si>
    <t>GAMIS RENDA PAYET DADA:VANILLA:12</t>
  </si>
  <si>
    <t>LEBR1913</t>
  </si>
  <si>
    <t>GAMIS POLOS BORDIR TESSEL:WHITE:6</t>
  </si>
  <si>
    <t>GAMIS POLOS BORDIR TESSEL:WHITE:8</t>
  </si>
  <si>
    <t>GAMIS POLOS BORDIR TESSEL:WHITE:10</t>
  </si>
  <si>
    <t>GAMIS POLOS BORDIR TESSEL:WHITE:12</t>
  </si>
  <si>
    <t>LEBR1901</t>
  </si>
  <si>
    <t>GAMIS APLIKASI DADA PAYET:NEON GREEN:10</t>
  </si>
  <si>
    <t>GAMIS APLIKASI DADA PAYET:NEON GREEN:12</t>
  </si>
  <si>
    <t>LEBR1907</t>
  </si>
  <si>
    <t>GAMIS BROKAT ROK LAPIS:PASTEL PINK:10</t>
  </si>
  <si>
    <t>GAMIS BROKAT ROK LAPIS:PASTEL PINK:12</t>
  </si>
  <si>
    <t>LEBD1901</t>
  </si>
  <si>
    <t>GAMIS ANAK 1:CLASSIC BLUE:6</t>
  </si>
  <si>
    <t>GAMIS ANAK 1:CLASSIC BLUE:8</t>
  </si>
  <si>
    <t>GAMIS ANAK 1:CLASSIC BLUE:10</t>
  </si>
  <si>
    <t>GAMIS ANAK 1:CLASSIC BLUE:12</t>
  </si>
  <si>
    <t>LEBD1902</t>
  </si>
  <si>
    <t>GAMIS ANAK 2:PASTEL PINK:6</t>
  </si>
  <si>
    <t>GAMIS ANAK 2:PASTEL PINK:8</t>
  </si>
  <si>
    <t>GAMIS ANAK 2:PASTEL PINK:10</t>
  </si>
  <si>
    <t>GAMIS ANAK 2:PASTEL PINK:12</t>
  </si>
  <si>
    <t>LEBD1903</t>
  </si>
  <si>
    <t>GAMIS ANAK 3:TURQUOISE:6</t>
  </si>
  <si>
    <t>GAMIS ANAK 3:TURQUOISE:8</t>
  </si>
  <si>
    <t>GAMIS ANAK 3:TURQUOISE:10</t>
  </si>
  <si>
    <t>GAMIS ANAK 3:TURQUOISE:12</t>
  </si>
  <si>
    <t>LEBD1904</t>
  </si>
  <si>
    <t>GAMIS ANAK 4:MEDIUM DENIM:6</t>
  </si>
  <si>
    <t>GAMIS ANAK 4:MEDIUM DENIM:8</t>
  </si>
  <si>
    <t>GAMIS ANAK 4:MEDIUM DENIM:10</t>
  </si>
  <si>
    <t>GAMIS ANAK 4:MEDIUM DENIM:12</t>
  </si>
  <si>
    <t>LEBV1903</t>
  </si>
  <si>
    <t>GAMIS POLKADOT:CLASSIC RED:4</t>
  </si>
  <si>
    <t>LEBV1904</t>
  </si>
  <si>
    <t>GAMIS BUNGA KOMB KNIT:BUBBLEGUM PINK:5</t>
  </si>
  <si>
    <t>GAMIS BUNGA KOMB KNIT:BUBBLEGUM PINK:6</t>
  </si>
  <si>
    <t>GAMIS BUNGA KOMB KNIT:BUBBLEGUM PINK:8</t>
  </si>
  <si>
    <t>GAMIS BUNGA KOMB KNIT:BUBBLEGUM PINK:10</t>
  </si>
  <si>
    <t>GAMIS BUNGA KOMB KNIT:BUBBLEGUM PINK:12</t>
  </si>
  <si>
    <t>LEBV1905</t>
  </si>
  <si>
    <t>GAMIS BUNGA KOMB KNIT:FUSCHIA:8</t>
  </si>
  <si>
    <t>GAMIS BUNGA KOMB KNIT:FUSCHIA:10</t>
  </si>
  <si>
    <t>GAMIS BUNGA KOMB KNIT:FUSCHIA:12</t>
  </si>
  <si>
    <t>LEBV1906</t>
  </si>
  <si>
    <t>GAMIS BUNGA KOMB POLOS:PASTEL PINK:12</t>
  </si>
  <si>
    <t>LEBV1907</t>
  </si>
  <si>
    <t>GAMIS STRIPE:PASTEL PINK:4</t>
  </si>
  <si>
    <t>LEBV1902</t>
  </si>
  <si>
    <t>GAMIS POLOS PITA TIGA DEPAN:NAVY BLUE:4</t>
  </si>
  <si>
    <t>GAMIS POLOS PITA TIGA DEPAN:NAVY BLUE:10</t>
  </si>
  <si>
    <t>GAMIS POLOS PITA TIGA DEPAN:NAVY BLUE:12</t>
  </si>
  <si>
    <t>LEBV1909</t>
  </si>
  <si>
    <t>GAMIS STRIPE KOMB POLKADOT:CLASSIC RED:4</t>
  </si>
  <si>
    <t>GAMIS STRIPE KOMB POLKADOT:CLASSIC RED:5</t>
  </si>
  <si>
    <t>GAMIS STRIPE KOMB POLKADOT:CLASSIC RED:6</t>
  </si>
  <si>
    <t>GAMIS STRIPE KOMB POLKADOT:CLASSIC RED:8</t>
  </si>
  <si>
    <t>GAMIS STRIPE KOMB POLKADOT:CLASSIC RED:10</t>
  </si>
  <si>
    <t>GAMIS STRIPE KOMB POLKADOT:CLASSIC RED:12</t>
  </si>
  <si>
    <t>LEBV1908</t>
  </si>
  <si>
    <t>GAMIS BUNGA KELOPAK 11:CLASSIC BLUE:4</t>
  </si>
  <si>
    <t>GAMIS BUNGA KELOPAK 11:CLASSIC BLUE:5</t>
  </si>
  <si>
    <t>GAMIS BUNGA KELOPAK 11:CLASSIC BLUE:6</t>
  </si>
  <si>
    <t>GAMIS BUNGA KELOPAK 11:CLASSIC BLUE:8</t>
  </si>
  <si>
    <t>GAMIS BUNGA KELOPAK 11:CLASSIC BLUE:10</t>
  </si>
  <si>
    <t>GAMIS BUNGA KELOPAK 11:CLASSIC BLUE:12</t>
  </si>
  <si>
    <t>LEBR1906</t>
  </si>
  <si>
    <t>GAMIS SATIN BORDIR PAYET:PASTEL PINK:6</t>
  </si>
  <si>
    <t>GAMIS SATIN BORDIR PAYET:PASTEL PINK:10</t>
  </si>
  <si>
    <t>GAMIS SATIN BORDIR PAYET:PASTEL PINK:12</t>
  </si>
  <si>
    <t>EV72</t>
  </si>
  <si>
    <t>D PRINT BUNGA KOMBINASI:CLASSIC PURPLE:4</t>
  </si>
  <si>
    <t>D PRINT BUNGA KOMBINASI:CLASSIC PURPLE:5</t>
  </si>
  <si>
    <t>D PRINT BUNGA KOMBINASI:CLASSIC PURPLE:6</t>
  </si>
  <si>
    <t>D PRINT BUNGA KOMBINASI:CLASSIC PURPLE:8</t>
  </si>
  <si>
    <t>D PRINT BUNGA KOMBINASI:CLASSIC PURPLE:10</t>
  </si>
  <si>
    <t>D PRINT BUNGA KOMBINASI:CLASSIC PURPLE:12</t>
  </si>
  <si>
    <t>GAMIS POLKADOT:CLASSIC RED:8</t>
  </si>
  <si>
    <t>GAMIS BROKAT PAYET LEHER:WHITE:6</t>
  </si>
  <si>
    <t>GAMIS POLOS PITA TIGA DEPAN:NAVY BLUE:6</t>
  </si>
  <si>
    <t>GAMIS POLKADOT:CLASSIC RED:12</t>
  </si>
  <si>
    <t>GAMIS BUNGA KOMB KNIT:FUSCHIA:4</t>
  </si>
  <si>
    <t>GAMIS BUNGA KOMB KNIT:BUBBLEGUM PINK:4</t>
  </si>
  <si>
    <t>GAMIS APLIKASI DADA PAYET:NEON GREEN:6</t>
  </si>
  <si>
    <t>GAMIS BUNGA KOMB POLOS:PASTEL PINK:10</t>
  </si>
  <si>
    <t>GAMIS BROKAT ROK LAPIS:PASTEL PINK:8</t>
  </si>
  <si>
    <t>GAMIS POLOS PITA TIGA DEPAN:NAVY BLUE:8</t>
  </si>
  <si>
    <t>GAMIS STRIPE:PASTEL PINK:6</t>
  </si>
  <si>
    <t>D FULL PRINT STRIPE:PASTEL PINK:8</t>
  </si>
  <si>
    <t>GAMIS BUNGA KOMB KNIT:FUSCHIA:6</t>
  </si>
  <si>
    <t>GAMIS KAFTAN:PASTEL PINK:12</t>
  </si>
  <si>
    <t>GAMIS APLIKASI DADA PAYET:NEON GREEN:8</t>
  </si>
  <si>
    <t>D FULL PRINT STRIPE:PASTEL PINK:5</t>
  </si>
  <si>
    <t>GAMIS POLOS PITA TIGA DEPAN:NAVY BLUE:5</t>
  </si>
  <si>
    <t>AN78</t>
  </si>
  <si>
    <t>D POLKADOT BUNGA KALUNG MUTIARA:CLASSIC BLUE:5</t>
  </si>
  <si>
    <t>GAMIS STRIPE:PASTEL PINK:5</t>
  </si>
  <si>
    <t>GAMIS STRIPE:PASTEL PINK:12</t>
  </si>
  <si>
    <t>GAMIS BROKAT ROK LAPIS:PASTEL PINK:6</t>
  </si>
  <si>
    <t>D POLKADOT BUNGA KALUNG MUTIARA:CLASSIC BLUE:4</t>
  </si>
  <si>
    <t>GAMIS BROKAT PAYET LEHER:WHITE:8</t>
  </si>
  <si>
    <t>GAMIS STRIPE:PASTEL PINK:8</t>
  </si>
  <si>
    <t>D POLKADOT BUNGA KALUNG MUTIARA:CLASSIC BLUE:12</t>
  </si>
  <si>
    <t>GAMIS SATIN BORDIR PAYET:PASTEL PINK:8</t>
  </si>
  <si>
    <t>GAMIS BUNGA KOMB KNIT:FUSCHIA:5</t>
  </si>
  <si>
    <t>D FULL PRINT STRIPE:PASTEL PINK:10</t>
  </si>
  <si>
    <t>GAMIS POLKADOT:CLASSIC RED:10</t>
  </si>
  <si>
    <t>GAMIS STRIPE:PASTEL PINK:10</t>
  </si>
  <si>
    <t>GAMIS BUNGA KOMB POLOS:PASTEL PINK:4</t>
  </si>
  <si>
    <t>GAMIS BORDIR BUNGA:PASTEL PINK:6</t>
  </si>
  <si>
    <t>D FULL PRINT STRIPE:PASTEL PINK:12</t>
  </si>
  <si>
    <t>D STRIPE PITERBAN PGR:BUBBLEGUM PINK:4</t>
  </si>
  <si>
    <t>GAMIS POLKADOT:CLASSIC RED:5</t>
  </si>
  <si>
    <t>GAMIS STRIPE BORDIR TESSEL:PASTEL PINK:6</t>
  </si>
  <si>
    <t>GAMIS BUNGA KOMB POLOS:PASTEL PINK:8</t>
  </si>
  <si>
    <t>GAMIS BUNGA KOMB POLOS:PASTEL PINK:6</t>
  </si>
  <si>
    <t>D POLKADOT BUNGA KALUNG MUTIARA:CLASSIC BLUE:6</t>
  </si>
  <si>
    <t>D FULL PRINT STRIPE:PASTEL PINK:6</t>
  </si>
  <si>
    <t>GAMIS BUNGA KOMB POLOS:PASTEL PINK:5</t>
  </si>
  <si>
    <t>D POLKADOT BUNGA KALUNG MUTIARA:CLASSIC BLUE:8</t>
  </si>
  <si>
    <t>GAMIS POLKADOT:CLASSIC RED:6</t>
  </si>
  <si>
    <t>D POLKADOT BUNGA KALUNG MUTIARA:CLASSIC BLUE:10</t>
  </si>
  <si>
    <t>SS210</t>
  </si>
  <si>
    <t>DRESS WATERMELON DOT:PASTEL PINK:6</t>
  </si>
  <si>
    <t>R826</t>
  </si>
  <si>
    <t>DR PITA PLOI:NAVY BLUE:10</t>
  </si>
  <si>
    <t>MERV95</t>
  </si>
  <si>
    <t>DRESS STRIPE SABRINA DADA SMOCKED:PASTEL PINK:4</t>
  </si>
  <si>
    <t>SS223</t>
  </si>
  <si>
    <t>D BUNGA HITAM:BLACK:8</t>
  </si>
  <si>
    <t>R824</t>
  </si>
  <si>
    <t>DR SALUR BIRU RINGKLE:OFF WHITE:4</t>
  </si>
  <si>
    <t>R816</t>
  </si>
  <si>
    <t>D POLKADOT BUNGA:PASTEL PINK:10</t>
  </si>
  <si>
    <t>R819</t>
  </si>
  <si>
    <t>DR DOUBLE BINTANG SALUR ABU:MISTY LIGHT GREY:12</t>
  </si>
  <si>
    <t>AN88A</t>
  </si>
  <si>
    <t>D POLKADOT STRIPE 1:CLASSIC RED:4</t>
  </si>
  <si>
    <t>AN88B</t>
  </si>
  <si>
    <t>D POLKADOT STRIPE 2:NAVY BLUE:4</t>
  </si>
  <si>
    <t>D POLKADOT STRIPE 2:NAVY BLUE:5</t>
  </si>
  <si>
    <t>D POLKADOT STRIPE 2:NAVY BLUE:6</t>
  </si>
  <si>
    <t>AN68</t>
  </si>
  <si>
    <t>DRESS BABY DOLL POLKADOT:NAVY BLUE:6</t>
  </si>
  <si>
    <t>DRESS BABY DOLL POLKADOT:NAVY BLUE:8</t>
  </si>
  <si>
    <t>DRESS BABY DOLL POLKADOT:NAVY BLUE:10</t>
  </si>
  <si>
    <t>AN57</t>
  </si>
  <si>
    <t>D POLKADOT KERAH SCALLOP:BUBBLEGUM PINK:4</t>
  </si>
  <si>
    <t>D POLKADOT KERAH SCALLOP:BUBBLEGUM PINK:12</t>
  </si>
  <si>
    <t>AN72</t>
  </si>
  <si>
    <t>D PITA DADA BESAR:PASTEL ORANGE:4</t>
  </si>
  <si>
    <t>D PITA DADA BESAR:PASTEL ORANGE:5</t>
  </si>
  <si>
    <t>AN84</t>
  </si>
  <si>
    <t>D POLKADOT DAUN:CLASSIC YELLOW:6</t>
  </si>
  <si>
    <t>DRESS STRIPE SABRINA DADA SMOCKED:PASTEL PINK:5</t>
  </si>
  <si>
    <t>DRESS STRIPE SABRINA DADA SMOCKED:PASTEL PINK:6</t>
  </si>
  <si>
    <t>AN66</t>
  </si>
  <si>
    <t>DRESS TEKSTUR TANGAN GEBER KECIL:DUSTY PINK:4</t>
  </si>
  <si>
    <t>DRESS TEKSTUR TANGAN GEBER KECIL:DUSTY PINK:8</t>
  </si>
  <si>
    <t>DRESS TEKSTUR TANGAN GEBER KECIL:DUSTY PINK:10</t>
  </si>
  <si>
    <t>DRESS TEKSTUR TANGAN GEBER KECIL:DUSTY PINK:12</t>
  </si>
  <si>
    <t>AN65</t>
  </si>
  <si>
    <t>DRESS KATUN ROK POLKADOT:WHITE:4</t>
  </si>
  <si>
    <t>DRESS KATUN ROK POLKADOT:WHITE:5</t>
  </si>
  <si>
    <t>DRESS KATUN ROK POLKADOT:WHITE:6</t>
  </si>
  <si>
    <t>DRESS KATUN ROK POLKADOT:WHITE:8</t>
  </si>
  <si>
    <t>DRESS KATUN ROK POLKADOT:WHITE:10</t>
  </si>
  <si>
    <t>DRESS KATUN ROK POLKADOT:WHITE:12</t>
  </si>
  <si>
    <t>AN73</t>
  </si>
  <si>
    <t>D FULL PRINT BUNGA BESAR:VANILLA:4</t>
  </si>
  <si>
    <t>D FULL PRINT BUNGA BESAR:VANILLA:5</t>
  </si>
  <si>
    <t>D FULL PRINT BUNGA BESAR:VANILLA:6</t>
  </si>
  <si>
    <t>D FULL PRINT BUNGA BESAR:VANILLA:8</t>
  </si>
  <si>
    <t>D FULL PRINT BUNGA BESAR:VANILLA:10</t>
  </si>
  <si>
    <t>D FULL PRINT BUNGA BESAR:VANILLA:12</t>
  </si>
  <si>
    <t>SS218</t>
  </si>
  <si>
    <t>D BUNGA KOMBINASI BROKAT:NAVY BLUE:4</t>
  </si>
  <si>
    <t>D BUNGA KOMBINASI BROKAT:NAVY BLUE:5</t>
  </si>
  <si>
    <t>D BUNGA KOMBINASI BROKAT:NAVY BLUE:6</t>
  </si>
  <si>
    <t>D BUNGA KOMBINASI BROKAT:NAVY BLUE:8</t>
  </si>
  <si>
    <t>D BUNGA KOMBINASI BROKAT:NAVY BLUE:10</t>
  </si>
  <si>
    <t>D BUNGA KOMBINASI BROKAT:NAVY BLUE:12</t>
  </si>
  <si>
    <t>SS215</t>
  </si>
  <si>
    <t>DRESS UNICORN:CLASSIC BLUE:4</t>
  </si>
  <si>
    <t>DRESS UNICORN:CLASSIC BLUE:5</t>
  </si>
  <si>
    <t>DRESS UNICORN:CLASSIC BLUE:6</t>
  </si>
  <si>
    <t>D BUNGA HITAM:BLACK:10</t>
  </si>
  <si>
    <t>D BUNGA HITAM:BLACK:12</t>
  </si>
  <si>
    <t>DR SALUR BIRU RINGKLE:OFF WHITE:5</t>
  </si>
  <si>
    <t>DR SALUR BIRU RINGKLE:OFF WHITE:6</t>
  </si>
  <si>
    <t>AN87</t>
  </si>
  <si>
    <t>D FULL PRINT CHERRY POLKADOT:WHITE:4</t>
  </si>
  <si>
    <t>D FULL PRINT CHERRY POLKADOT:WHITE:5</t>
  </si>
  <si>
    <t>D FULL PRINT CHERRY POLKADOT:WHITE:6</t>
  </si>
  <si>
    <t>D FULL PRINT CHERRY POLKADOT:WHITE:12</t>
  </si>
  <si>
    <t>R804</t>
  </si>
  <si>
    <t>D KOMB POLKADOT POLOS:WHITE:4</t>
  </si>
  <si>
    <t>D KOMB POLKADOT POLOS:WHITE:5</t>
  </si>
  <si>
    <t>D KOMB POLKADOT POLOS:WHITE:6</t>
  </si>
  <si>
    <t>D KOMB POLKADOT POLOS:WHITE:10</t>
  </si>
  <si>
    <t>D KOMB POLKADOT POLOS:WHITE:12</t>
  </si>
  <si>
    <t>R820</t>
  </si>
  <si>
    <t>DR LGN 3/4 BUNGA MUSTARD:NAVY BLUE:5</t>
  </si>
  <si>
    <t>SS220</t>
  </si>
  <si>
    <t>D KTG BORDIR BUNGA:CLASSIC BLUE:8</t>
  </si>
  <si>
    <t>EV73</t>
  </si>
  <si>
    <t>D BORDIR BUNGA TANGKAI:OFF WHITE:4</t>
  </si>
  <si>
    <t>D BORDIR BUNGA TANGKAI:OFF WHITE:5</t>
  </si>
  <si>
    <t>AN93</t>
  </si>
  <si>
    <t>D FULL PRINT STRAWBERRY:WHITE:4</t>
  </si>
  <si>
    <t>D POLKADOT STRIPE 2:NAVY BLUE:10</t>
  </si>
  <si>
    <t>DR DOUBLE BINTANG SALUR ABU:MISTY LIGHT GREY:6</t>
  </si>
  <si>
    <t>D POLKADOT DAUN:CLASSIC YELLOW:8</t>
  </si>
  <si>
    <t>DRESS TEKSTUR TANGAN GEBER KECIL:DUSTY PINK:6</t>
  </si>
  <si>
    <t>D POLKADOT BUNGA:PASTEL PINK:6</t>
  </si>
  <si>
    <t>DRESS UNICORN:CLASSIC BLUE:10</t>
  </si>
  <si>
    <t>D POLKADOT DAUN:CLASSIC YELLOW:4</t>
  </si>
  <si>
    <t>DRESS BABY DOLL POLKADOT:NAVY BLUE:12</t>
  </si>
  <si>
    <t>DR SALUR BIRU RINGKLE:OFF WHITE:10</t>
  </si>
  <si>
    <t>D BORDIR BUNGA TANGKAI:OFF WHITE:12</t>
  </si>
  <si>
    <t>DR SALUR BIRU RINGKLE:OFF WHITE:12</t>
  </si>
  <si>
    <t>DRESS WATERMELON DOT:PASTEL PINK:10</t>
  </si>
  <si>
    <t>D POLKADOT DAUN:CLASSIC YELLOW:5</t>
  </si>
  <si>
    <t>D FULL PRINT CHERRY POLKADOT:WHITE:8</t>
  </si>
  <si>
    <t>DRESS BABY DOLL POLKADOT:NAVY BLUE:5</t>
  </si>
  <si>
    <t>D POLKADOT BUNGA:PASTEL PINK:4</t>
  </si>
  <si>
    <t>D POLKADOT STRIPE 2:NAVY BLUE:12</t>
  </si>
  <si>
    <t>DR PITA PLOI:NAVY BLUE:5</t>
  </si>
  <si>
    <t>D POLKADOT DAUN:CLASSIC YELLOW:10</t>
  </si>
  <si>
    <t>DR DOUBLE BINTANG SALUR ABU:MISTY LIGHT GREY:4</t>
  </si>
  <si>
    <t>D POLKADOT STRIPE 1:CLASSIC RED:6</t>
  </si>
  <si>
    <t>D POLKADOT BUNGA:PASTEL PINK:8</t>
  </si>
  <si>
    <t>DR LGN 3/4 BUNGA MUSTARD:NAVY BLUE:10</t>
  </si>
  <si>
    <t>DRESS WATERMELON DOT:PASTEL PINK:8</t>
  </si>
  <si>
    <t>DRESS WATERMELON DOT:PASTEL PINK:4</t>
  </si>
  <si>
    <t>DRESS BABY DOLL POLKADOT:NAVY BLUE:4</t>
  </si>
  <si>
    <t>DRESS STRIPE SABRINA DADA SMOCKED:PASTEL PINK:8</t>
  </si>
  <si>
    <t>DRESS STRIPE SABRINA DADA SMOCKED:PASTEL PINK:10</t>
  </si>
  <si>
    <t>DR DOUBLE BINTANG SALUR ABU:MISTY LIGHT GREY:10</t>
  </si>
  <si>
    <t>D KOMB POLKADOT POLOS:WHITE:8</t>
  </si>
  <si>
    <t>D POLKADOT KERAH SCALLOP:BUBBLEGUM PINK:8</t>
  </si>
  <si>
    <t>DR DOUBLE BINTANG SALUR ABU:MISTY LIGHT GREY:5</t>
  </si>
  <si>
    <t>D POLKADOT STRIPE 1:CLASSIC RED:8</t>
  </si>
  <si>
    <t>D KTG BORDIR BUNGA:CLASSIC BLUE:6</t>
  </si>
  <si>
    <t>D POLKADOT KERAH SCALLOP:BUBBLEGUM PINK:6</t>
  </si>
  <si>
    <t>DR PITA PLOI:NAVY BLUE:6</t>
  </si>
  <si>
    <t>DRESS WATERMELON DOT:PASTEL PINK:5</t>
  </si>
  <si>
    <t>D BUNGA HITAM:BLACK:5</t>
  </si>
  <si>
    <t>D POLKADOT BUNGA:PASTEL PINK:5</t>
  </si>
  <si>
    <t>D PITA DADA BESAR:PASTEL ORANGE:6</t>
  </si>
  <si>
    <t>D FULL PRINT STRAWBERRY:WHITE:5</t>
  </si>
  <si>
    <t>D FULL PRINT STRAWBERRY:WHITE:12</t>
  </si>
  <si>
    <t>D POLKADOT STRIPE 1:CLASSIC RED:10</t>
  </si>
  <si>
    <t>DRESS TEKSTUR TANGAN GEBER KECIL:DUSTY PINK:5</t>
  </si>
  <si>
    <t>DR LGN 3/4 BUNGA MUSTARD:NAVY BLUE:8</t>
  </si>
  <si>
    <t>DR PITA PLOI:NAVY BLUE:8</t>
  </si>
  <si>
    <t>D POLKADOT DAUN:CLASSIC YELLOW:12</t>
  </si>
  <si>
    <t>D POLKADOT STRIPE 2:NAVY BLUE:8</t>
  </si>
  <si>
    <t>DR LGN 3/4 BUNGA MUSTARD:NAVY BLUE:12</t>
  </si>
  <si>
    <t>D POLKADOT KERAH SCALLOP:BUBBLEGUM PINK:5</t>
  </si>
  <si>
    <t>D FULL PRINT STRAWBERRY:WHITE:8</t>
  </si>
  <si>
    <t>DRESS STRIPE SABRINA DADA SMOCKED:PASTEL PINK:12</t>
  </si>
  <si>
    <t>D FULL PRINT STRAWBERRY:WHITE:6</t>
  </si>
  <si>
    <t>D BORDIR BUNGA TANGKAI:OFF WHITE:8</t>
  </si>
  <si>
    <t>DR DOUBLE BINTANG SALUR ABU:MISTY LIGHT GREY:8</t>
  </si>
  <si>
    <t>D POLKADOT BUNGA:PASTEL PINK:12</t>
  </si>
  <si>
    <t>DRESS UNICORN:CLASSIC BLUE:8</t>
  </si>
  <si>
    <t>D BUNGA HITAM:BLACK:6</t>
  </si>
  <si>
    <t>DR PITA PLOI:NAVY BLUE:4</t>
  </si>
  <si>
    <t>DR PITA PLOI:NAVY BLUE:12</t>
  </si>
  <si>
    <t>D FULL PRINT STRAWBERRY:WHITE:10</t>
  </si>
  <si>
    <t>D BORDIR BUNGA TANGKAI:OFF WHITE:6</t>
  </si>
  <si>
    <t>D POLKADOT STRIPE 1:CLASSIC RED:5</t>
  </si>
  <si>
    <t>D PITA DADA BESAR:PASTEL ORANGE:12</t>
  </si>
  <si>
    <t>D KTG BORDIR BUNGA:CLASSIC BLUE:4</t>
  </si>
  <si>
    <t>D KTG BORDIR BUNGA:CLASSIC BLUE:5</t>
  </si>
  <si>
    <t>D BUNGA HITAM:BLACK:4</t>
  </si>
  <si>
    <t>D BORDIR BUNGA TANGKAI:OFF WHITE:10</t>
  </si>
  <si>
    <t>D POLKADOT KERAH SCALLOP:BUBBLEGUM PINK:10</t>
  </si>
  <si>
    <t>DR LGN 3/4 BUNGA MUSTARD:NAVY BLUE:6</t>
  </si>
  <si>
    <t>D PITA DADA BESAR:PASTEL ORANGE:8</t>
  </si>
  <si>
    <t>D PITA DADA BESAR:PASTEL ORANGE:10</t>
  </si>
  <si>
    <t>DRESS WATERMELON DOT:PASTEL PINK:12</t>
  </si>
  <si>
    <t>D POLKADOT STRIPE 1:CLASSIC RED:12</t>
  </si>
  <si>
    <t>D FULL PRINT CHERRY POLKADOT:WHITE:10</t>
  </si>
  <si>
    <t>DRESS UNICORN:CLASSIC BLUE:12</t>
  </si>
  <si>
    <t>DR LGN 3/4 BUNGA MUSTARD:NAVY BLUE:4</t>
  </si>
  <si>
    <t>DR SALUR BIRU RINGKLE:OFF WHITE:8</t>
  </si>
  <si>
    <t>AN64</t>
  </si>
  <si>
    <t>DRESS PINGGANG BORDIR BUNGA:PASTEL PINK:12</t>
  </si>
  <si>
    <t>AN83</t>
  </si>
  <si>
    <t>DRESS STRIPE PINGGANG PITA:PASTEL PINK:5</t>
  </si>
  <si>
    <t>LEBR1908</t>
  </si>
  <si>
    <t>GAMIS BORDIR TANGAN KARET:NAVY BLUE:6</t>
  </si>
  <si>
    <t>AN67</t>
  </si>
  <si>
    <t>D POLKADOT ROMPI SCALLOP:WHITE:4</t>
  </si>
  <si>
    <t>D POLKADOT ROMPI SCALLOP:WHITE:5</t>
  </si>
  <si>
    <t>D POLKADOT ROMPI SCALLOP:WHITE:6</t>
  </si>
  <si>
    <t>D POLKADOT ROMPI SCALLOP:WHITE:8</t>
  </si>
  <si>
    <t>D POLKADOT ROMPI SCALLOP:WHITE:10</t>
  </si>
  <si>
    <t>D POLKADOT ROMPI SCALLOP:WHITE:12</t>
  </si>
  <si>
    <t>MERV102</t>
  </si>
  <si>
    <t>D BROKAT BUNGA BESAR:OFF WHITE:12</t>
  </si>
  <si>
    <t>MERV101</t>
  </si>
  <si>
    <t>D SIFON BABY DOLL TILE:PASTEL PINK:4</t>
  </si>
  <si>
    <t>D SIFON BABY DOLL TILE:PASTEL PINK:5</t>
  </si>
  <si>
    <t>D SIFON BABY DOLL TILE:PASTEL PINK:6</t>
  </si>
  <si>
    <t>D SIFON BABY DOLL TILE:PASTEL PINK:8</t>
  </si>
  <si>
    <t>D SIFON BABY DOLL TILE:PASTEL PINK:10</t>
  </si>
  <si>
    <t>D SIFON BABY DOLL TILE:PASTEL PINK:12</t>
  </si>
  <si>
    <t>DRESS STRIPE PINGGANG PITA:PASTEL PINK:6</t>
  </si>
  <si>
    <t>DRESS STRIPE PINGGANG PITA:PASTEL PINK:8</t>
  </si>
  <si>
    <t>DRESS STRIPE PINGGANG PITA:PASTEL PINK:10</t>
  </si>
  <si>
    <t>A1996A</t>
  </si>
  <si>
    <t>D BROKAT KOTAK:OFF WHITE:4</t>
  </si>
  <si>
    <t>D BROKAT KOTAK:OFF WHITE:5</t>
  </si>
  <si>
    <t>A1996B</t>
  </si>
  <si>
    <t>D BROKAT KOTAK:PASTEL PINK:4</t>
  </si>
  <si>
    <t>D BROKAT KOTAK:PASTEL PINK:5</t>
  </si>
  <si>
    <t>A1996D</t>
  </si>
  <si>
    <t>A1996E</t>
  </si>
  <si>
    <t>D BROKAT KOTAK:OFF WHITE:6</t>
  </si>
  <si>
    <t>A1996F</t>
  </si>
  <si>
    <t>A1996G</t>
  </si>
  <si>
    <t>A1990</t>
  </si>
  <si>
    <t>D BROKAT PUTIH:OFF WHITE:4</t>
  </si>
  <si>
    <t>D BROKAT PUTIH:OFF WHITE:5</t>
  </si>
  <si>
    <t>D BROKAT PUTIH:OFF WHITE:6</t>
  </si>
  <si>
    <t>D BROKAT PUTIH:OFF WHITE:8</t>
  </si>
  <si>
    <t>D BROKAT PUTIH:OFF WHITE:10</t>
  </si>
  <si>
    <t>D BROKAT PUTIH:OFF WHITE:12</t>
  </si>
  <si>
    <t>DRESS STRIPE PINGGANG PITA:PASTEL PINK:12</t>
  </si>
  <si>
    <t>AN81</t>
  </si>
  <si>
    <t>D SATIN POLOS TILE GLITTER:PASTEL BLUE:8</t>
  </si>
  <si>
    <t>LEBR1911</t>
  </si>
  <si>
    <t>GAMIS DENIM TESSEL:CLASSIC BLUE:6</t>
  </si>
  <si>
    <t>DRESS PINGGANG BORDIR BUNGA:PASTEL PINK:5</t>
  </si>
  <si>
    <t>D SATIN POLOS TILE GLITTER:PASTEL BLUE:10</t>
  </si>
  <si>
    <t>GAMIS BORDIR TANGAN KARET:NAVY BLUE:10</t>
  </si>
  <si>
    <t>GAMIS BORDIR TANGAN KARET:NAVY BLUE:8</t>
  </si>
  <si>
    <t>D BROKAT BUNGA BESAR:OFF WHITE:10</t>
  </si>
  <si>
    <t>D SATIN POLOS TILE GLITTER:PASTEL BLUE:5</t>
  </si>
  <si>
    <t>DRESS PINGGANG BORDIR BUNGA:PASTEL PINK:8</t>
  </si>
  <si>
    <t>D BROKAT BUNGA BESAR:OFF WHITE:5</t>
  </si>
  <si>
    <t>GAMIS DENIM TESSEL:CLASSIC BLUE:12</t>
  </si>
  <si>
    <t>D SATIN POLOS TILE GLITTER:PASTEL BLUE:6</t>
  </si>
  <si>
    <t>DRESS STRIPE PINGGANG PITA:PASTEL PINK:4</t>
  </si>
  <si>
    <t>D BROKAT BUNGA BESAR:OFF WHITE:6</t>
  </si>
  <si>
    <t>GAMIS DENIM TESSEL:CLASSIC BLUE:10</t>
  </si>
  <si>
    <t>DRESS PINGGANG BORDIR BUNGA:PASTEL PINK:6</t>
  </si>
  <si>
    <t>D BROKAT BUNGA BESAR:OFF WHITE:8</t>
  </si>
  <si>
    <t>GAMIS DENIM TESSEL:CLASSIC BLUE:8</t>
  </si>
  <si>
    <t>D BROKAT BUNGA BESAR:OFF WHITE:4</t>
  </si>
  <si>
    <t>DRESS PINGGANG BORDIR BUNGA:PASTEL PINK:4</t>
  </si>
  <si>
    <t>D SATIN POLOS TILE GLITTER:PASTEL BLUE:12</t>
  </si>
  <si>
    <t>GAMIS BORDIR TANGAN KARET:NAVY BLUE:12</t>
  </si>
  <si>
    <t>D SATIN POLOS TILE GLITTER:PASTEL BLUE:4</t>
  </si>
  <si>
    <t>DRESS PINGGANG BORDIR BUNGA:PASTEL PINK:10</t>
  </si>
  <si>
    <t>D BROKAT KOTAK:PASTEL PINK:6</t>
  </si>
  <si>
    <t>SS221</t>
  </si>
  <si>
    <t>D KERAH KOMBINASI KOTAK:NAVY BLUE:8</t>
  </si>
  <si>
    <t>SS217</t>
  </si>
  <si>
    <t>D PINK APLIKASI:PASTEL PINK:10</t>
  </si>
  <si>
    <t>SS222</t>
  </si>
  <si>
    <t>D BUNGA KERAH BUNDAR:PASTEL PINK:4</t>
  </si>
  <si>
    <t>A265</t>
  </si>
  <si>
    <t>D BUNGA KOMBINASI POLOS:CLASSIC BLUE:12</t>
  </si>
  <si>
    <t>SS216</t>
  </si>
  <si>
    <t>D PITA 3 WARNA:FUSCHIA:4</t>
  </si>
  <si>
    <t>D BUNGA KOMBINASI POLOS:CLASSIC BLUE:8</t>
  </si>
  <si>
    <t>SS219</t>
  </si>
  <si>
    <t>D BUNGA PINK KOMB SALUR:PASTEL PINK:6</t>
  </si>
  <si>
    <t>D BUNGA PINK KOMB SALUR:PASTEL PINK:8</t>
  </si>
  <si>
    <t>D BUNGA PINK KOMB SALUR:PASTEL PINK:10</t>
  </si>
  <si>
    <t>AN77</t>
  </si>
  <si>
    <t>D STRIPE ROK TUMPUK 5:BUBBLEGUM PINK:4</t>
  </si>
  <si>
    <t>AN109A</t>
  </si>
  <si>
    <t>D LOVE MERAH:CLASSIC RED:4</t>
  </si>
  <si>
    <t>D LOVE MERAH:CLASSIC RED:5</t>
  </si>
  <si>
    <t>D LOVE MERAH:CLASSIC RED:6</t>
  </si>
  <si>
    <t>D LOVE MERAH:CLASSIC RED:10</t>
  </si>
  <si>
    <t>D LOVE MERAH:CLASSIC RED:12</t>
  </si>
  <si>
    <t>AN109B</t>
  </si>
  <si>
    <t>D LOVE HIJAU:CLASSIC GREEN:5</t>
  </si>
  <si>
    <t>AN74</t>
  </si>
  <si>
    <t>D POLKADOT KERAH V:NAVY BLUE:6</t>
  </si>
  <si>
    <t>D POLKADOT KERAH V:NAVY BLUE:8</t>
  </si>
  <si>
    <t>D POLKADOT KERAH V:NAVY BLUE:10</t>
  </si>
  <si>
    <t>AN79</t>
  </si>
  <si>
    <t>D POLKADOT KOMB STRIPE:BUBBLEGUM PINK:4</t>
  </si>
  <si>
    <t>D POLKADOT KOMB STRIPE:BUBBLEGUM PINK:5</t>
  </si>
  <si>
    <t>D POLKADOT KOMB STRIPE:BUBBLEGUM PINK:6</t>
  </si>
  <si>
    <t>D POLKADOT KOMB STRIPE:BUBBLEGUM PINK:8</t>
  </si>
  <si>
    <t>D POLKADOT KOMB STRIPE:BUBBLEGUM PINK:10</t>
  </si>
  <si>
    <t>D POLKADOT KOMB STRIPE:BUBBLEGUM PINK:12</t>
  </si>
  <si>
    <t>AN95</t>
  </si>
  <si>
    <t>D STRIPE PRINT BUNGA BAWAH:PASTEL BLUE:5</t>
  </si>
  <si>
    <t>D STRIPE PRINT BUNGA BAWAH:PASTEL BLUE:6</t>
  </si>
  <si>
    <t>D STRIPE PRINT BUNGA BAWAH:PASTEL BLUE:8</t>
  </si>
  <si>
    <t>AN98</t>
  </si>
  <si>
    <t>D KATUN FP LENGAN 3/4:PASTEL BLUE:4</t>
  </si>
  <si>
    <t>D KATUN FP LENGAN 3/4:PASTEL BLUE:5</t>
  </si>
  <si>
    <t>D KATUN FP LENGAN 3/4:PASTEL BLUE:6</t>
  </si>
  <si>
    <t>AN116</t>
  </si>
  <si>
    <t>D FLOWER ONDE GEBER:BUBBLEGUM PINK:4</t>
  </si>
  <si>
    <t>D FLOWER ONDE GEBER:BUBBLEGUM PINK:5</t>
  </si>
  <si>
    <t>D FLOWER ONDE GEBER:BUBBLEGUM PINK:6</t>
  </si>
  <si>
    <t>D FLOWER ONDE GEBER:BUBBLEGUM PINK:8</t>
  </si>
  <si>
    <t>M93</t>
  </si>
  <si>
    <t>D STRIPE PRINT BUNGA SMOCKED:NAVY BLUE:4</t>
  </si>
  <si>
    <t>D STRIPE PRINT BUNGA SMOCKED:NAVY BLUE:5</t>
  </si>
  <si>
    <t>D STRIPE PRINT BUNGA SMOCKED:NAVY BLUE:6</t>
  </si>
  <si>
    <t>D STRIPE PRINT BUNGA SMOCKED:NAVY BLUE:8</t>
  </si>
  <si>
    <t>M90</t>
  </si>
  <si>
    <t>D DENIM BORDIR DADA:LIGHT DENIM:4</t>
  </si>
  <si>
    <t>D DENIM BORDIR DADA:LIGHT DENIM:5</t>
  </si>
  <si>
    <t>D DENIM BORDIR DADA:LIGHT DENIM:6</t>
  </si>
  <si>
    <t>D DENIM BORDIR DADA:LIGHT DENIM:8</t>
  </si>
  <si>
    <t>D DENIM BORDIR DADA:LIGHT DENIM:10</t>
  </si>
  <si>
    <t>D DENIM BORDIR DADA:LIGHT DENIM:12</t>
  </si>
  <si>
    <t>M91</t>
  </si>
  <si>
    <t>D STRIPE BORDIR BUNGA:CLASSIC BLUE:4</t>
  </si>
  <si>
    <t>D STRIPE BORDIR BUNGA:CLASSIC BLUE:5</t>
  </si>
  <si>
    <t>D STRIPE BORDIR BUNGA:CLASSIC BLUE:6</t>
  </si>
  <si>
    <t>D STRIPE BORDIR BUNGA:CLASSIC BLUE:8</t>
  </si>
  <si>
    <t>D STRIPE BORDIR BUNGA:CLASSIC BLUE:10</t>
  </si>
  <si>
    <t>D STRIPE BORDIR BUNGA:CLASSIC BLUE:12</t>
  </si>
  <si>
    <t>M100</t>
  </si>
  <si>
    <t>DR KOTAK KARET:TAUPE GREY:6</t>
  </si>
  <si>
    <t>DR KOTAK KARET:TAUPE GREY:8</t>
  </si>
  <si>
    <t>DR KOTAK KARET:TAUPE GREY:10</t>
  </si>
  <si>
    <t>DR KOTAK KARET:TAUPE GREY:12</t>
  </si>
  <si>
    <t>AN76</t>
  </si>
  <si>
    <t>D COLD SHOULDER PATCH PITA:NAVY BLUE:4</t>
  </si>
  <si>
    <t>D COLD SHOULDER PATCH PITA:NAVY BLUE:5</t>
  </si>
  <si>
    <t>AN110A</t>
  </si>
  <si>
    <t>D POLKADOT SUSUN 1:NAVY BLUE:4</t>
  </si>
  <si>
    <t>D POLKADOT SUSUN 1:NAVY BLUE:5</t>
  </si>
  <si>
    <t>D POLKADOT SUSUN 1:NAVY BLUE:6</t>
  </si>
  <si>
    <t>D POLKADOT SUSUN 1:NAVY BLUE:8</t>
  </si>
  <si>
    <t>D POLKADOT SUSUN 1:NAVY BLUE:10</t>
  </si>
  <si>
    <t>D POLKADOT SUSUN 1:NAVY BLUE:12</t>
  </si>
  <si>
    <t>AN117</t>
  </si>
  <si>
    <t>D PITA PINGGANG ROK SUSUN:CLASSIC BLUE:5</t>
  </si>
  <si>
    <t>D PITA PINGGANG ROK SUSUN:CLASSIC BLUE:6</t>
  </si>
  <si>
    <t>D PITA PINGGANG ROK SUSUN:CLASSIC BLUE:8</t>
  </si>
  <si>
    <t>D PITA PINGGANG ROK SUSUN:CLASSIC BLUE:10</t>
  </si>
  <si>
    <t>D PITA PINGGANG ROK SUSUN:CLASSIC BLUE:12</t>
  </si>
  <si>
    <t>AN118</t>
  </si>
  <si>
    <t>D MARINE JANGKAR SALUR:CLASSIC RED:4</t>
  </si>
  <si>
    <t>D MARINE JANGKAR SALUR:CLASSIC RED:5</t>
  </si>
  <si>
    <t>D MARINE JANGKAR SALUR:CLASSIC RED:6</t>
  </si>
  <si>
    <t>AN120</t>
  </si>
  <si>
    <t>D KERAH LG 3/4 KOTAK:CLASSIC BLUE:6</t>
  </si>
  <si>
    <t>D KERAH LG 3/4 KOTAK:CLASSIC BLUE:8</t>
  </si>
  <si>
    <t>D KERAH LG 3/4 KOTAK:CLASSIC BLUE:10</t>
  </si>
  <si>
    <t>D KERAH LG 3/4 KOTAK:CLASSIC BLUE:12</t>
  </si>
  <si>
    <t>AR82949A</t>
  </si>
  <si>
    <t>D SAILOR MERAH:CLASSIC RED:4</t>
  </si>
  <si>
    <t>AR82949B</t>
  </si>
  <si>
    <t>D SAILOR BIRU:CLASSIC BLUE:4</t>
  </si>
  <si>
    <t>AR82767B</t>
  </si>
  <si>
    <t>D KOMB KTK GEBER 2:FUSCHIA:6</t>
  </si>
  <si>
    <t>D KOMB KTK GEBER 2:FUSCHIA:8</t>
  </si>
  <si>
    <t>DW01</t>
  </si>
  <si>
    <t>D KUPU HIGHLIGHT:WHITE:4</t>
  </si>
  <si>
    <t>D KUPU HIGHLIGHT:WHITE:5</t>
  </si>
  <si>
    <t>D KUPU HIGHLIGHT:WHITE:6</t>
  </si>
  <si>
    <t>D KUPU HIGHLIGHT:WHITE:8</t>
  </si>
  <si>
    <t>D KUPU HIGHLIGHT:WHITE:10</t>
  </si>
  <si>
    <t>D KUPU HIGHLIGHT:WHITE:12</t>
  </si>
  <si>
    <t>AN110B</t>
  </si>
  <si>
    <t>D POLKADOT SUSUN 2:OFF WHITE:4</t>
  </si>
  <si>
    <t>EV70</t>
  </si>
  <si>
    <t>D KOMBINASI ONDE GARIS:NAVY BLUE:10</t>
  </si>
  <si>
    <t>D KOMBINASI ONDE GARIS:NAVY BLUE:12</t>
  </si>
  <si>
    <t>D PINK APLIKASI:PASTEL PINK:4</t>
  </si>
  <si>
    <t>D PITA 3 WARNA:FUSCHIA:5</t>
  </si>
  <si>
    <t>D PITA 3 WARNA:FUSCHIA:6</t>
  </si>
  <si>
    <t>D BUNGA KERAH BUNDAR:PASTEL PINK:5</t>
  </si>
  <si>
    <t>D BUNGA KERAH BUNDAR:PASTEL PINK:6</t>
  </si>
  <si>
    <t>D BUNGA KERAH BUNDAR:PASTEL PINK:8</t>
  </si>
  <si>
    <t>D BUNGA KERAH BUNDAR:PASTEL PINK:10</t>
  </si>
  <si>
    <t>D KERAH KOMBINASI KOTAK:NAVY BLUE:4</t>
  </si>
  <si>
    <t>D KERAH KOMBINASI KOTAK:NAVY BLUE:5</t>
  </si>
  <si>
    <t>D KERAH KOMBINASI KOTAK:NAVY BLUE:10</t>
  </si>
  <si>
    <t>D KERAH KOMBINASI KOTAK:NAVY BLUE:12</t>
  </si>
  <si>
    <t>R831</t>
  </si>
  <si>
    <t>D CUP CAKE:PASTEL PINK:4</t>
  </si>
  <si>
    <t>D CUP CAKE:PASTEL PINK:5</t>
  </si>
  <si>
    <t>D CUP CAKE:PASTEL PINK:6</t>
  </si>
  <si>
    <t>R821</t>
  </si>
  <si>
    <t>DR NONIK CREAM:PASTEL YELLOW:5</t>
  </si>
  <si>
    <t>DR NONIK CREAM:PASTEL YELLOW:10</t>
  </si>
  <si>
    <t>DR NONIK CREAM:PASTEL YELLOW:12</t>
  </si>
  <si>
    <t>R830</t>
  </si>
  <si>
    <t>D BUNGA ORANGE:CLASSIC ORANGE:4</t>
  </si>
  <si>
    <t>D BUNGA ORANGE:CLASSIC ORANGE:8</t>
  </si>
  <si>
    <t>D BUNGA ORANGE:CLASSIC ORANGE:10</t>
  </si>
  <si>
    <t>D BUNGA ORANGE:CLASSIC ORANGE:12</t>
  </si>
  <si>
    <t>R825</t>
  </si>
  <si>
    <t>DR LOLLIPOP FLOWER:PASTEL PINK:4</t>
  </si>
  <si>
    <t>DR LOLLIPOP FLOWER:PASTEL PINK:5</t>
  </si>
  <si>
    <t>DR LOLLIPOP FLOWER:PASTEL PINK:6</t>
  </si>
  <si>
    <t>DR LOLLIPOP FLOWER:PASTEL PINK:12</t>
  </si>
  <si>
    <t>AN119</t>
  </si>
  <si>
    <t>DR BUNGA KERAH RUFFLE PITA POLKADOT:OFF WHITE:12</t>
  </si>
  <si>
    <t>R829</t>
  </si>
  <si>
    <t>D KOTAK NAVY:NAVY BLUE:5</t>
  </si>
  <si>
    <t>D KOTAK NAVY:NAVY BLUE:6</t>
  </si>
  <si>
    <t>D KOTAK NAVY:NAVY BLUE:8</t>
  </si>
  <si>
    <t>D KOTAK NAVY:NAVY BLUE:10</t>
  </si>
  <si>
    <t>D KOTAK NAVY:NAVY BLUE:12</t>
  </si>
  <si>
    <t>R828</t>
  </si>
  <si>
    <t>D TROPICAL:PASTEL PINK:4</t>
  </si>
  <si>
    <t>D TROPICAL:PASTEL PINK:5</t>
  </si>
  <si>
    <t>D TROPICAL:PASTEL PINK:6</t>
  </si>
  <si>
    <t>D TROPICAL:PASTEL PINK:8</t>
  </si>
  <si>
    <t>D TROPICAL:PASTEL PINK:10</t>
  </si>
  <si>
    <t>D TROPICAL:PASTEL PINK:12</t>
  </si>
  <si>
    <t>R815</t>
  </si>
  <si>
    <t>DRESS BORDIR BUNGA KUPU:PASTEL PINK:4</t>
  </si>
  <si>
    <t>DRESS BORDIR BUNGA KUPU:PASTEL PINK:5</t>
  </si>
  <si>
    <t>DRESS BORDIR BUNGA KUPU:PASTEL PINK:6</t>
  </si>
  <si>
    <t>DRESS BORDIR BUNGA KUPU:PASTEL PINK:8</t>
  </si>
  <si>
    <t>DRESS BORDIR BUNGA KUPU:PASTEL PINK:10</t>
  </si>
  <si>
    <t>DRESS BORDIR BUNGA KUPU:PASTEL PINK:12</t>
  </si>
  <si>
    <t>R823</t>
  </si>
  <si>
    <t>DR TENTARA LONDON:CLASSIC RED:8</t>
  </si>
  <si>
    <t>DR TENTARA LONDON:CLASSIC RED:10</t>
  </si>
  <si>
    <t>DR TENTARA LONDON:CLASSIC RED:12</t>
  </si>
  <si>
    <t>D BUNGA KOMBINASI POLOS:CLASSIC BLUE:4</t>
  </si>
  <si>
    <t>A1410753</t>
  </si>
  <si>
    <t>D BUNGA PITA GEBER:FUSCHIA:4</t>
  </si>
  <si>
    <t>D BUNGA PITA GEBER:FUSCHIA:5</t>
  </si>
  <si>
    <t>D BUNGA PITA GEBER:FUSCHIA:12</t>
  </si>
  <si>
    <t>A284</t>
  </si>
  <si>
    <t>D POLOS BORDIR LINE KETUPAT:CLASSIC RED:6</t>
  </si>
  <si>
    <t>D POLOS BORDIR LINE KETUPAT:CLASSIC RED:8</t>
  </si>
  <si>
    <t>D POLOS BORDIR LINE KETUPAT:CLASSIC RED:10</t>
  </si>
  <si>
    <t>D POLOS BORDIR LINE KETUPAT:CLASSIC RED:12</t>
  </si>
  <si>
    <t>A2007</t>
  </si>
  <si>
    <t>D KOMB KOTAK RENDA:PASTEL YELLOW:4</t>
  </si>
  <si>
    <t>D KOMB KOTAK RENDA:PASTEL YELLOW:5</t>
  </si>
  <si>
    <t>D KOMB KOTAK RENDA:PASTEL YELLOW:6</t>
  </si>
  <si>
    <t>D KOMB KOTAK RENDA:PASTEL YELLOW:10</t>
  </si>
  <si>
    <t>D KOMB KOTAK RENDA:PASTEL YELLOW:12</t>
  </si>
  <si>
    <t>A873</t>
  </si>
  <si>
    <t>D ROK SUSUN WARNA:PASTEL YELLOW:4</t>
  </si>
  <si>
    <t>D ROK SUSUN WARNA:PASTEL YELLOW:5</t>
  </si>
  <si>
    <t>D ROK SUSUN WARNA:PASTEL YELLOW:6</t>
  </si>
  <si>
    <t>D ROK SUSUN WARNA:PASTEL YELLOW:8</t>
  </si>
  <si>
    <t>D ROK SUSUN WARNA:PASTEL YELLOW:10</t>
  </si>
  <si>
    <t>D ROK SUSUN WARNA:PASTEL YELLOW:12</t>
  </si>
  <si>
    <t>MTH001</t>
  </si>
  <si>
    <t>D BUNGA TROPICAL PITA DEPAN:PASTEL PINK:4</t>
  </si>
  <si>
    <t>D BUNGA TROPICAL PITA DEPAN:PASTEL PINK:5</t>
  </si>
  <si>
    <t>D BUNGA TROPICAL PITA DEPAN:PASTEL PINK:6</t>
  </si>
  <si>
    <t>D BUNGA TROPICAL PITA DEPAN:PASTEL PINK:8</t>
  </si>
  <si>
    <t>D BUNGA TROPICAL PITA DEPAN:PASTEL PINK:10</t>
  </si>
  <si>
    <t>MTH003</t>
  </si>
  <si>
    <t>D BUNGA UNGU KERAH PITA:PASTEL PURPLE:4</t>
  </si>
  <si>
    <t>D BUNGA UNGU KERAH PITA:PASTEL PURPLE:5</t>
  </si>
  <si>
    <t>D BUNGA UNGU KERAH PITA:PASTEL PURPLE:6</t>
  </si>
  <si>
    <t>D BUNGA UNGU KERAH PITA:PASTEL PURPLE:8</t>
  </si>
  <si>
    <t>D BUNGA UNGU KERAH PITA:PASTEL PURPLE:10</t>
  </si>
  <si>
    <t>MTH002</t>
  </si>
  <si>
    <t>D BUNGA PINK KERAH RUFFLE:CORAL:4</t>
  </si>
  <si>
    <t>D BUNGA PINK KERAH RUFFLE:CORAL:5</t>
  </si>
  <si>
    <t>D BUNGA PINK KERAH RUFFLE:CORAL:6</t>
  </si>
  <si>
    <t>D BUNGA PINK KERAH RUFFLE:CORAL:8</t>
  </si>
  <si>
    <t>D BUNGA PINK KERAH RUFFLE:CORAL:10</t>
  </si>
  <si>
    <t>AN121</t>
  </si>
  <si>
    <t>D CAT KERAH PUTIH:FUSCHIA:4</t>
  </si>
  <si>
    <t>D CAT KERAH PUTIH:FUSCHIA:5</t>
  </si>
  <si>
    <t>D CAT KERAH PUTIH:FUSCHIA:6</t>
  </si>
  <si>
    <t>D CAT KERAH PUTIH:FUSCHIA:8</t>
  </si>
  <si>
    <t>AN91</t>
  </si>
  <si>
    <t>D FULL PRINT BUNGA UNGU:PASTEL PURPLE:4</t>
  </si>
  <si>
    <t>D FULL PRINT BUNGA UNGU:PASTEL PURPLE:5</t>
  </si>
  <si>
    <t>D FULL PRINT BUNGA UNGU:PASTEL PURPLE:6</t>
  </si>
  <si>
    <t>D FULL PRINT BUNGA UNGU:PASTEL PURPLE:8</t>
  </si>
  <si>
    <t>D FULL PRINT BUNGA UNGU:PASTEL PURPLE:10</t>
  </si>
  <si>
    <t>D FULL PRINT BUNGA UNGU:PASTEL PURPLE:12</t>
  </si>
  <si>
    <t>MDRKTK</t>
  </si>
  <si>
    <t>D KOMB KNIT KTK YANDED:WHITE:4</t>
  </si>
  <si>
    <t>D KOMB KNIT KTK YANDED:WHITE:5</t>
  </si>
  <si>
    <t>A81-093</t>
  </si>
  <si>
    <t>D HIJAU NONIK BUNGA:GRASS GREEN:6</t>
  </si>
  <si>
    <t>D HIJAU NONIK BUNGA:GRASS GREEN:8</t>
  </si>
  <si>
    <t>RHKTK1</t>
  </si>
  <si>
    <t>D KOTAK HOUNDSTOOTH:MUSTARD:8</t>
  </si>
  <si>
    <t>D KOTAK HOUNDSTOOTH:MUSTARD:10</t>
  </si>
  <si>
    <t>SS209</t>
  </si>
  <si>
    <t>D STRIPE WATERMELON MELON:PASTEL PINK:6</t>
  </si>
  <si>
    <t>D STRIPE WATERMELON MELON:PASTEL PINK:8</t>
  </si>
  <si>
    <t>D STRIPE WATERMELON MELON:PASTEL PINK:10</t>
  </si>
  <si>
    <t>D STRIPE WATERMELON MELON:PASTEL PINK:12</t>
  </si>
  <si>
    <t>PLOV1</t>
  </si>
  <si>
    <t>DR OVERALL:MEDIUM DENIM:4</t>
  </si>
  <si>
    <t>DR OVERALL:MEDIUM DENIM:5</t>
  </si>
  <si>
    <t>DR OVERALL:MEDIUM DENIM:6</t>
  </si>
  <si>
    <t>PLOV2</t>
  </si>
  <si>
    <t>DR CHAMBRE:MEDIUM DENIM:5</t>
  </si>
  <si>
    <t>DR CHAMBRE:MEDIUM DENIM:6</t>
  </si>
  <si>
    <t>R833</t>
  </si>
  <si>
    <t>D PRINT KUPU KUPU:PASTEL YELLOW:4</t>
  </si>
  <si>
    <t>D PRINT KUPU KUPU:PASTEL YELLOW:5</t>
  </si>
  <si>
    <t>D PRINT KUPU KUPU:PASTEL YELLOW:6</t>
  </si>
  <si>
    <t>D PRINT KUPU KUPU:PASTEL YELLOW:8</t>
  </si>
  <si>
    <t>R834</t>
  </si>
  <si>
    <t>D BUNGA TITIK SALUR:WHITE:5</t>
  </si>
  <si>
    <t>D BUNGA TITIK SALUR:WHITE:6</t>
  </si>
  <si>
    <t>D BUNGA TITIK SALUR:WHITE:8</t>
  </si>
  <si>
    <t>D BUNGA TITIK SALUR:WHITE:10</t>
  </si>
  <si>
    <t>ASRBT1</t>
  </si>
  <si>
    <t>D PRINT RABBIT:PASTEL PINK:10</t>
  </si>
  <si>
    <t>D PRINT RABBIT:PASTEL PINK:12</t>
  </si>
  <si>
    <t>JFAN2019</t>
  </si>
  <si>
    <t>JF DRESS PRJ MIX:ASSORTIVE COLOR:F</t>
  </si>
  <si>
    <t>D BUNGA KOMBINASI POLOS:CLASSIC BLUE:6</t>
  </si>
  <si>
    <t>D BUNGA KERAH BUNDAR:PASTEL PINK:12</t>
  </si>
  <si>
    <t>D PRINT RABBIT:PASTEL PINK:5</t>
  </si>
  <si>
    <t>DR TENTARA LONDON:CLASSIC RED:6</t>
  </si>
  <si>
    <t>D KOMB KNIT KTK YANDED:WHITE:12</t>
  </si>
  <si>
    <t>D LOVE HIJAU:CLASSIC GREEN:8</t>
  </si>
  <si>
    <t>D BUNGA KOMBINASI POLOS:CLASSIC BLUE:5</t>
  </si>
  <si>
    <t>D STRIPE ROK TUMPUK 5:BUBBLEGUM PINK:5</t>
  </si>
  <si>
    <t>D COLD SHOULDER PATCH PITA:NAVY BLUE:6</t>
  </si>
  <si>
    <t>M101</t>
  </si>
  <si>
    <t>DR OPNASEL GEBER:DUSTY PINK:10</t>
  </si>
  <si>
    <t>D KATUN FP LENGAN 3/4:PASTEL BLUE:12</t>
  </si>
  <si>
    <t>D PITA 3 WARNA:FUSCHIA:12</t>
  </si>
  <si>
    <t>D LOVE HIJAU:CLASSIC GREEN:4</t>
  </si>
  <si>
    <t>DR CHAMBRE:MEDIUM DENIM:12</t>
  </si>
  <si>
    <t>D CUP CAKE:PASTEL PINK:12</t>
  </si>
  <si>
    <t>DR OVERALL:MEDIUM DENIM:8</t>
  </si>
  <si>
    <t>DR OPNASEL GEBER:DUSTY PINK:4</t>
  </si>
  <si>
    <t>D POLKADOT KERAH V:NAVY BLUE:5</t>
  </si>
  <si>
    <t>DR LOLLIPOP FLOWER:PASTEL PINK:8</t>
  </si>
  <si>
    <t>D MARINE JANGKAR SALUR:CLASSIC RED:8</t>
  </si>
  <si>
    <t>R813</t>
  </si>
  <si>
    <t>DRESS SAILOR PERAHU:CLASSIC RED:4</t>
  </si>
  <si>
    <t>D POLKADOT SUSUN 2:OFF WHITE:8</t>
  </si>
  <si>
    <t>D BUNGA KOMBINASI POLOS:CLASSIC BLUE:10</t>
  </si>
  <si>
    <t>D KATUN FP LENGAN 3/4:PASTEL BLUE:8</t>
  </si>
  <si>
    <t>DR LOLLIPOP FLOWER:PASTEL PINK:10</t>
  </si>
  <si>
    <t>D BUNGA PITA GEBER:FUSCHIA:10</t>
  </si>
  <si>
    <t>D POLKADOT KERAH V:NAVY BLUE:4</t>
  </si>
  <si>
    <t>DR OPNASEL GEBER:DUSTY PINK:6</t>
  </si>
  <si>
    <t>D LOVE HIJAU:CLASSIC GREEN:10</t>
  </si>
  <si>
    <t>DRESS SAILOR PERAHU:CLASSIC RED:5</t>
  </si>
  <si>
    <t>AR82767A</t>
  </si>
  <si>
    <t>D KOMB KTK GEBER 1:NAVY BLUE:8</t>
  </si>
  <si>
    <t>D POLOS BORDIR LINE KETUPAT:CLASSIC RED:5</t>
  </si>
  <si>
    <t>D KOMB KTK GEBER 1:NAVY BLUE:4</t>
  </si>
  <si>
    <t>DR TENTARA LONDON:CLASSIC RED:5</t>
  </si>
  <si>
    <t>D PINK APLIKASI:PASTEL PINK:5</t>
  </si>
  <si>
    <t>D POLKADOT KERAH V:NAVY BLUE:12</t>
  </si>
  <si>
    <t>D STRIPE WATERMELON MELON:PASTEL PINK:5</t>
  </si>
  <si>
    <t>D KOTAK NAVY:NAVY BLUE:4</t>
  </si>
  <si>
    <t>D CAT KERAH PUTIH:FUSCHIA:12</t>
  </si>
  <si>
    <t>D MARINE JANGKAR SALUR:CLASSIC RED:10</t>
  </si>
  <si>
    <t>DR NONIK CREAM:PASTEL YELLOW:6</t>
  </si>
  <si>
    <t>D FLOWER ONDE GEBER:BUBBLEGUM PINK:12</t>
  </si>
  <si>
    <t>D PRINT RABBIT:PASTEL PINK:8</t>
  </si>
  <si>
    <t>DR CHAMBRE:MEDIUM DENIM:4</t>
  </si>
  <si>
    <t>D KOTAK HOUNDSTOOTH:MUSTARD:6</t>
  </si>
  <si>
    <t>DRESS SAILOR PERAHU:CLASSIC RED:8</t>
  </si>
  <si>
    <t>D STRIPE ROK TUMPUK 5:BUBBLEGUM PINK:12</t>
  </si>
  <si>
    <t>DW03</t>
  </si>
  <si>
    <t>D BUNGA KOMBINASI PITA LEHER:WHITE:10</t>
  </si>
  <si>
    <t>D KATUN FP LENGAN 3/4:PASTEL BLUE:10</t>
  </si>
  <si>
    <t>D PITA 3 WARNA:FUSCHIA:10</t>
  </si>
  <si>
    <t>DRESS SAILOR PERAHU:CLASSIC RED:6</t>
  </si>
  <si>
    <t>D KOMBINASI ONDE GARIS:NAVY BLUE:6</t>
  </si>
  <si>
    <t>EV71</t>
  </si>
  <si>
    <t>D SALUR PINK BORDIR:PASTEL PINK:4</t>
  </si>
  <si>
    <t>D KERAH KOMBINASI KOTAK:NAVY BLUE:6</t>
  </si>
  <si>
    <t>D POLKADOT SUSUN 2:OFF WHITE:6</t>
  </si>
  <si>
    <t>D KOMBINASI ONDE GARIS:NAVY BLUE:5</t>
  </si>
  <si>
    <t>D FLOWER ONDE GEBER:BUBBLEGUM PINK:10</t>
  </si>
  <si>
    <t>D BUNGA PITA GEBER:FUSCHIA:6</t>
  </si>
  <si>
    <t>D KOMB KNIT KTK YANDED:WHITE:10</t>
  </si>
  <si>
    <t>D BUNGA PINK KOMB SALUR:PASTEL PINK:5</t>
  </si>
  <si>
    <t>D SAILOR BIRU:CLASSIC BLUE:6</t>
  </si>
  <si>
    <t>D KOMB KTK GEBER 1:NAVY BLUE:6</t>
  </si>
  <si>
    <t>D PITA PINGGANG ROK SUSUN:CLASSIC BLUE:4</t>
  </si>
  <si>
    <t>D BUNGA TITIK SALUR:WHITE:12</t>
  </si>
  <si>
    <t>D BUNGA ORANGE:CLASSIC ORANGE:6</t>
  </si>
  <si>
    <t>DR OPNASEL GEBER:DUSTY PINK:12</t>
  </si>
  <si>
    <t>D KOTAK HOUNDSTOOTH:MUSTARD:12</t>
  </si>
  <si>
    <t>D KOTAK HOUNDSTOOTH:MUSTARD:4</t>
  </si>
  <si>
    <t>DR TENTARA LONDON:CLASSIC RED:4</t>
  </si>
  <si>
    <t>DR OPNASEL GEBER:DUSTY PINK:8</t>
  </si>
  <si>
    <t>D STRIPE PRINT BUNGA BAWAH:PASTEL BLUE:12</t>
  </si>
  <si>
    <t>DR OVERALL:MEDIUM DENIM:10</t>
  </si>
  <si>
    <t>D KOMB KTK GEBER 2:FUSCHIA:4</t>
  </si>
  <si>
    <t>DR BUNGA KERAH RUFFLE PITA POLKADOT:OFF WHITE:5</t>
  </si>
  <si>
    <t>D CAT KERAH PUTIH:FUSCHIA:10</t>
  </si>
  <si>
    <t>D BUNGA PITA GEBER:FUSCHIA:8</t>
  </si>
  <si>
    <t>DR BUNGA KERAH RUFFLE PITA POLKADOT:OFF WHITE:8</t>
  </si>
  <si>
    <t>D SALUR PINK BORDIR:PASTEL PINK:5</t>
  </si>
  <si>
    <t>D CUP CAKE:PASTEL PINK:8</t>
  </si>
  <si>
    <t>D BUNGA ORANGE:CLASSIC ORANGE:5</t>
  </si>
  <si>
    <t>D PINK APLIKASI:PASTEL PINK:8</t>
  </si>
  <si>
    <t>DR BUNGA KERAH RUFFLE PITA POLKADOT:OFF WHITE:10</t>
  </si>
  <si>
    <t>D STRIPE PRINT BUNGA BAWAH:PASTEL BLUE:10</t>
  </si>
  <si>
    <t>D STRIPE ROK TUMPUK 5:BUBBLEGUM PINK:8</t>
  </si>
  <si>
    <t>D BUNGA PINK KOMB SALUR:PASTEL PINK:4</t>
  </si>
  <si>
    <t>DR NONIK CREAM:PASTEL YELLOW:8</t>
  </si>
  <si>
    <t>D POLKADOT SUSUN 2:OFF WHITE:10</t>
  </si>
  <si>
    <t>D STRIPE WATERMELON MELON:PASTEL PINK:4</t>
  </si>
  <si>
    <t>D SAILOR MERAH:CLASSIC RED:6</t>
  </si>
  <si>
    <t>D PRINT KUPU KUPU:PASTEL YELLOW:12</t>
  </si>
  <si>
    <t>D STRIPE ROK TUMPUK 5:BUBBLEGUM PINK:6</t>
  </si>
  <si>
    <t>D STRIPE ROK TUMPUK 5:BUBBLEGUM PINK:10</t>
  </si>
  <si>
    <t>D SALUR PINK BORDIR:PASTEL PINK:8</t>
  </si>
  <si>
    <t>D KERAH LG 3/4 KOTAK:CLASSIC BLUE:5</t>
  </si>
  <si>
    <t>D MARINE JANGKAR SALUR:CLASSIC RED:12</t>
  </si>
  <si>
    <t>D KOMBINASI ONDE GARIS:NAVY BLUE:8</t>
  </si>
  <si>
    <t>DR BUNGA KERAH RUFFLE PITA POLKADOT:OFF WHITE:4</t>
  </si>
  <si>
    <t>D KOMB KOTAK RENDA:PASTEL YELLOW:8</t>
  </si>
  <si>
    <t>D SALUR PINK BORDIR:PASTEL PINK:6</t>
  </si>
  <si>
    <t>D PRINT KUPU KUPU:PASTEL YELLOW:10</t>
  </si>
  <si>
    <t>D COLD SHOULDER PATCH PITA:NAVY BLUE:12</t>
  </si>
  <si>
    <t>D CUP CAKE:PASTEL PINK:10</t>
  </si>
  <si>
    <t>D POLKADOT SUSUN 2:OFF WHITE:12</t>
  </si>
  <si>
    <t>DR NONIK CREAM:PASTEL YELLOW:4</t>
  </si>
  <si>
    <t>D BUNGA KOMBINASI PITA LEHER:WHITE:5</t>
  </si>
  <si>
    <t>D LOVE HIJAU:CLASSIC GREEN:6</t>
  </si>
  <si>
    <t>DR CHAMBRE:MEDIUM DENIM:10</t>
  </si>
  <si>
    <t>DR OPNASEL GEBER:DUSTY PINK:5</t>
  </si>
  <si>
    <t>DR BUNGA KERAH RUFFLE PITA POLKADOT:OFF WHITE:6</t>
  </si>
  <si>
    <t>D COLD SHOULDER PATCH PITA:NAVY BLUE:10</t>
  </si>
  <si>
    <t>D COLD SHOULDER PATCH PITA:NAVY BLUE:8</t>
  </si>
  <si>
    <t>D KERAH LG 3/4 KOTAK:CLASSIC BLUE:4</t>
  </si>
  <si>
    <t>D POLKADOT SUSUN 2:OFF WHITE:5</t>
  </si>
  <si>
    <t>D BUNGA KOMBINASI PITA LEHER:WHITE:4</t>
  </si>
  <si>
    <t>D SAILOR BIRU:CLASSIC BLUE:8</t>
  </si>
  <si>
    <t>D SAILOR MERAH:CLASSIC RED:5</t>
  </si>
  <si>
    <t>D PRINT RABBIT:PASTEL PINK:6</t>
  </si>
  <si>
    <t>DR OVERALL:MEDIUM DENIM:12</t>
  </si>
  <si>
    <t>D KOMBINASI ONDE GARIS:NAVY BLUE:4</t>
  </si>
  <si>
    <t>D PRINT RABBIT:PASTEL PINK:4</t>
  </si>
  <si>
    <t>D KOTAK HOUNDSTOOTH:MUSTARD:5</t>
  </si>
  <si>
    <t>D KOMB KTK GEBER 1:NAVY BLUE:5</t>
  </si>
  <si>
    <t>D STRIPE PRINT BUNGA BAWAH:PASTEL BLUE:4</t>
  </si>
  <si>
    <t>D HIJAU NONIK BUNGA:GRASS GREEN:4</t>
  </si>
  <si>
    <t>D PINK APLIKASI:PASTEL PINK:12</t>
  </si>
  <si>
    <t>D PITA 3 WARNA:FUSCHIA:8</t>
  </si>
  <si>
    <t>D KOMB KNIT KTK YANDED:WHITE:6</t>
  </si>
  <si>
    <t>D LOVE HIJAU:CLASSIC GREEN:12</t>
  </si>
  <si>
    <t>D SAILOR BIRU:CLASSIC BLUE:5</t>
  </si>
  <si>
    <t>D KOMB KTK GEBER 2:FUSCHIA:5</t>
  </si>
  <si>
    <t>D KOMB KNIT KTK YANDED:WHITE:8</t>
  </si>
  <si>
    <t>D POLOS BORDIR LINE KETUPAT:CLASSIC RED:4</t>
  </si>
  <si>
    <t>D LOVE MERAH:CLASSIC RED:8</t>
  </si>
  <si>
    <t>DR CHAMBRE:MEDIUM DENIM:8</t>
  </si>
  <si>
    <t>D PINK APLIKASI:PASTEL PINK:6</t>
  </si>
  <si>
    <t>D HIJAU NONIK BUNGA:GRASS GREEN:5</t>
  </si>
  <si>
    <t>D SAILOR MERAH:CLASSIC RED:8</t>
  </si>
  <si>
    <t>D BUNGA KOMBINASI PITA LEHER:WHITE:8</t>
  </si>
  <si>
    <t>D BUNGA TITIK SALUR:WHITE:4</t>
  </si>
  <si>
    <t>D BUNGA KOMBINASI PITA LEHER:WHITE:12</t>
  </si>
  <si>
    <t>D BUNGA KOMBINASI PITA LEHER:WHITE:6</t>
  </si>
  <si>
    <t>R832</t>
  </si>
  <si>
    <t>D SATEN BORDIR BUNGA:PASTEL PINK:12</t>
  </si>
  <si>
    <t>MERV108</t>
  </si>
  <si>
    <t>D SATIN KOMB BROKAT DAUN:PASTEL BLUE:4</t>
  </si>
  <si>
    <t>D SATIN KOMB BROKAT DAUN:PASTEL BLUE:5</t>
  </si>
  <si>
    <t>D SATIN KOMB BROKAT DAUN:PASTEL BLUE:6</t>
  </si>
  <si>
    <t>D SATIN KOMB BROKAT DAUN:PASTEL BLUE:8</t>
  </si>
  <si>
    <t>D SATIN KOMB BROKAT DAUN:PASTEL BLUE:10</t>
  </si>
  <si>
    <t>D SATIN KOMB BROKAT DAUN:PASTEL BLUE:12</t>
  </si>
  <si>
    <t>AN99</t>
  </si>
  <si>
    <t>D TILE BROKAT PRINT SEPEDA:OFF WHITE:5</t>
  </si>
  <si>
    <t>D TILE BROKAT PRINT SEPEDA:OFF WHITE:6</t>
  </si>
  <si>
    <t>D TILE BROKAT PRINT SEPEDA:OFF WHITE:8</t>
  </si>
  <si>
    <t>D TILE BROKAT PRINT SEPEDA:OFF WHITE:10</t>
  </si>
  <si>
    <t>D TILE BROKAT PRINT SEPEDA:OFF WHITE:12</t>
  </si>
  <si>
    <t>D SATEN BORDIR BUNGA:PASTEL PINK:4</t>
  </si>
  <si>
    <t>D SATEN BORDIR BUNGA:PASTEL PINK:5</t>
  </si>
  <si>
    <t>D SATEN BORDIR BUNGA:PASTEL PINK:6</t>
  </si>
  <si>
    <t>D SATEN BORDIR BUNGA:PASTEL PINK:8</t>
  </si>
  <si>
    <t>D SATEN BORDIR BUNGA:PASTEL PINK:10</t>
  </si>
  <si>
    <t>SS213</t>
  </si>
  <si>
    <t>DRESS BUNGA KAIN PINGGIR:PASTEL PINK:4</t>
  </si>
  <si>
    <t>DRESS BUNGA KAIN PINGGIR:PASTEL PINK:5</t>
  </si>
  <si>
    <t>DRESS BUNGA KAIN PINGGIR:PASTEL PINK:6</t>
  </si>
  <si>
    <t>DRESS BUNGA KAIN PINGGIR:PASTEL PINK:8</t>
  </si>
  <si>
    <t>DRESS BUNGA KAIN PINGGIR:PASTEL PINK:10</t>
  </si>
  <si>
    <t>D TILE BROKAT PRINT SEPEDA:OFF WHITE:4</t>
  </si>
  <si>
    <t>DRESS BUNGA KAIN PINGGIR:PASTEL PINK:12</t>
  </si>
  <si>
    <t>DW02</t>
  </si>
  <si>
    <t>D LGN SAILOR MOON:PASTEL PINK:4</t>
  </si>
  <si>
    <t>D LGN SAILOR MOON:PASTEL PINK:5</t>
  </si>
  <si>
    <t>D LGN SAILOR MOON:PASTEL PINK:6</t>
  </si>
  <si>
    <t>D LGN SAILOR MOON:PASTEL PINK:8</t>
  </si>
  <si>
    <t>D LGN SAILOR MOON:PASTEL PINK:10</t>
  </si>
  <si>
    <t>D LGN SAILOR MOON:PASTEL PINK:12</t>
  </si>
  <si>
    <t>AR821004</t>
  </si>
  <si>
    <t>D KOMB KNIT KOTAK TAS:MISTY LIGHT GREY:4</t>
  </si>
  <si>
    <t>D KOMB KNIT KOTAK TAS:MISTY LIGHT GREY:5</t>
  </si>
  <si>
    <t>D KOMB KNIT KOTAK TAS:MISTY LIGHT GREY:6</t>
  </si>
  <si>
    <t>M92</t>
  </si>
  <si>
    <t>D STRIPE PRINT BUNGA:PASTEL PINK:4</t>
  </si>
  <si>
    <t>D STRIPE PRINT BUNGA:PASTEL PINK:5</t>
  </si>
  <si>
    <t>D STRIPE PRINT BUNGA:PASTEL PINK:6</t>
  </si>
  <si>
    <t>D STRIPE PRINT BUNGA:PASTEL PINK:8</t>
  </si>
  <si>
    <t>D STRIPE PRINT BUNGA:PASTEL PINK:10</t>
  </si>
  <si>
    <t>AN108</t>
  </si>
  <si>
    <t>DRESS DUA KAPAL BORDIR SALUR:WHITE:4</t>
  </si>
  <si>
    <t>DRESS DUA KAPAL BORDIR SALUR:WHITE:5</t>
  </si>
  <si>
    <t>SS207</t>
  </si>
  <si>
    <t>DRESS CASUAL STRIPE WITH BELT:NAVY BLUE:4</t>
  </si>
  <si>
    <t>DRESS CASUAL STRIPE WITH BELT:NAVY BLUE:5</t>
  </si>
  <si>
    <t>DRESS CASUAL STRIPE WITH BELT:NAVY BLUE:6</t>
  </si>
  <si>
    <t>DRESS CASUAL STRIPE WITH BELT:NAVY BLUE:8</t>
  </si>
  <si>
    <t>DRESS CASUAL STRIPE WITH BELT:NAVY BLUE:10</t>
  </si>
  <si>
    <t>DRESS CASUAL STRIPE WITH BELT:NAVY BLUE:12</t>
  </si>
  <si>
    <t>SS212</t>
  </si>
  <si>
    <t>DRESS FP BUNGA LIST PINK:PASTEL GREEN:4</t>
  </si>
  <si>
    <t>DRESS FP BUNGA LIST PINK:PASTEL GREEN:5</t>
  </si>
  <si>
    <t>DRESS FP BUNGA LIST PINK:PASTEL GREEN:6</t>
  </si>
  <si>
    <t>DRESS FP BUNGA LIST PINK:PASTEL GREEN:10</t>
  </si>
  <si>
    <t>DRESS FP BUNGA LIST PINK:PASTEL GREEN:12</t>
  </si>
  <si>
    <t>A2009</t>
  </si>
  <si>
    <t>D BORDIR PINGGANG:OFF WHITE:4</t>
  </si>
  <si>
    <t>D BORDIR PINGGANG:OFF WHITE:5</t>
  </si>
  <si>
    <t>D BORDIR PINGGANG:OFF WHITE:6</t>
  </si>
  <si>
    <t>D BORDIR PINGGANG:OFF WHITE:8</t>
  </si>
  <si>
    <t>D BORDIR PINGGANG:OFF WHITE:10</t>
  </si>
  <si>
    <t>D BORDIR PINGGANG:OFF WHITE:12</t>
  </si>
  <si>
    <t>SS224</t>
  </si>
  <si>
    <t>D SALUR KELINCI:PASTEL PINK:4</t>
  </si>
  <si>
    <t>D SALUR KELINCI:PASTEL PINK:12</t>
  </si>
  <si>
    <t>DRESS DUA KAPAL BORDIR SALUR:WHITE:6</t>
  </si>
  <si>
    <t>DRESS DUA KAPAL BORDIR SALUR:WHITE:10</t>
  </si>
  <si>
    <t>RHKTK2</t>
  </si>
  <si>
    <t>D KOTAK ORANGE:OFF WHITE:8</t>
  </si>
  <si>
    <t>D KOTAK ORANGE:OFF WHITE:4</t>
  </si>
  <si>
    <t>DRESS DUA KAPAL BORDIR SALUR:WHITE:8</t>
  </si>
  <si>
    <t>AN115</t>
  </si>
  <si>
    <t>D SABLON TASSEL JEJER:WHITE:6</t>
  </si>
  <si>
    <t>D KOTAK ORANGE:OFF WHITE:10</t>
  </si>
  <si>
    <t>D SABLON TASSEL JEJER:WHITE:8</t>
  </si>
  <si>
    <t>D KOMB KNIT KOTAK TAS:MISTY LIGHT GREY:8</t>
  </si>
  <si>
    <t>D SABLON TASSEL JEJER:WHITE:5</t>
  </si>
  <si>
    <t>D SABLON TASSEL JEJER:WHITE:4</t>
  </si>
  <si>
    <t>D KOTAK ORANGE:OFF WHITE:5</t>
  </si>
  <si>
    <t>D SABLON TASSEL JEJER:WHITE:12</t>
  </si>
  <si>
    <t>DRESS DUA KAPAL BORDIR SALUR:WHITE:12</t>
  </si>
  <si>
    <t>D KOTAK ORANGE:OFF WHITE:6</t>
  </si>
  <si>
    <t>D KOTAK ORANGE:OFF WHITE:12</t>
  </si>
  <si>
    <t>D SABLON TASSEL JEJER:WHITE:10</t>
  </si>
  <si>
    <t>D STRIPE PRINT BUNGA:PASTEL PINK:12</t>
  </si>
  <si>
    <t>DRESS FP BUNGA LIST PINK:PASTEL GREEN:8</t>
  </si>
  <si>
    <t>D SALUR KELINCI:PASTEL PINK:5</t>
  </si>
  <si>
    <t>SS214</t>
  </si>
  <si>
    <t>DRESS PRINT BUNGA BURUNG:OFF WHITE:12</t>
  </si>
  <si>
    <t>DRESS PRINT BUNGA BURUNG:OFF WHITE:4</t>
  </si>
  <si>
    <t>DRESS PRINT BUNGA BURUNG:OFF WHITE:8</t>
  </si>
  <si>
    <t>D SALUR KELINCI:PASTEL PINK:6</t>
  </si>
  <si>
    <t>DRESS PRINT BUNGA BURUNG:OFF WHITE:5</t>
  </si>
  <si>
    <t>D SALUR KELINCI:PASTEL PINK:8</t>
  </si>
  <si>
    <t>D SALUR KELINCI:PASTEL PINK:10</t>
  </si>
  <si>
    <t>DRESS PRINT BUNGA BURUNG:OFF WHITE:10</t>
  </si>
  <si>
    <t>DRESS PRINT BUNGA BURUNG:OFF WHITE:6</t>
  </si>
  <si>
    <t>AN111A</t>
  </si>
  <si>
    <t>D UNICORN TILE SALUR:PASTEL PINK:6</t>
  </si>
  <si>
    <t>D UNICORN TILE SALUR:PASTEL PINK:8</t>
  </si>
  <si>
    <t>D UNICORN TILE SALUR:PASTEL PINK:10</t>
  </si>
  <si>
    <t>D UNICORN TILE SALUR:PASTEL PINK:12</t>
  </si>
  <si>
    <t>D UNICORN TILE SALUR:PASTEL PINK:4</t>
  </si>
  <si>
    <t>D UNICORN TILE SALUR:PASTEL PINK:5</t>
  </si>
  <si>
    <t>MERV105</t>
  </si>
  <si>
    <t>D PRINT CUPCAKES:OFF WHITE:4</t>
  </si>
  <si>
    <t>D PRINT CUPCAKES:OFF WHITE:5</t>
  </si>
  <si>
    <t>D PRINT CUPCAKES:OFF WHITE:12</t>
  </si>
  <si>
    <t>D PRINT CUPCAKES:OFF WHITE:10</t>
  </si>
  <si>
    <t>D PRINT CUPCAKES:OFF WHITE:6</t>
  </si>
  <si>
    <t>D PRINT CUPCAKES:OFF WHITE:8</t>
  </si>
  <si>
    <t>MERV903</t>
  </si>
  <si>
    <t>D SS KOMB F/P CUPCAKE:OFF WHITE:6</t>
  </si>
  <si>
    <t>D SS KOMB F/P CUPCAKE:OFF WHITE:4</t>
  </si>
  <si>
    <t>D SS KOMB F/P CUPCAKE:OFF WHITE:5</t>
  </si>
  <si>
    <t>MERV112</t>
  </si>
  <si>
    <t>D SL SALUR COLD SHOULDER:PASTEL PINK:5</t>
  </si>
  <si>
    <t>R839</t>
  </si>
  <si>
    <t>D SS PINGGIR NONIK SEPEDA:SALMON:6</t>
  </si>
  <si>
    <t>EV74</t>
  </si>
  <si>
    <t>D SS NONIK ONDE ROMPI:OFF WHITE:12</t>
  </si>
  <si>
    <t>D SS PINGGIR NONIK SEPEDA:SALMON:12</t>
  </si>
  <si>
    <t>D SL SALUR COLD SHOULDER:PASTEL PINK:4</t>
  </si>
  <si>
    <t>D SL SALUR COLD SHOULDER:PASTEL PINK:10</t>
  </si>
  <si>
    <t>D SL SALUR COLD SHOULDER:PASTEL PINK:8</t>
  </si>
  <si>
    <t>D SS PINGGIR NONIK SEPEDA:SALMON:4</t>
  </si>
  <si>
    <t>D SS PINGGIR NONIK SEPEDA:SALMON:8</t>
  </si>
  <si>
    <t>D SS PINGGIR NONIK SEPEDA:SALMON:10</t>
  </si>
  <si>
    <t>D SL SALUR COLD SHOULDER:PASTEL PINK:6</t>
  </si>
  <si>
    <t>D SS NONIK ONDE ROMPI:OFF WHITE:5</t>
  </si>
  <si>
    <t>D SS NONIK ONDE ROMPI:OFF WHITE:10</t>
  </si>
  <si>
    <t>D SL SALUR COLD SHOULDER:PASTEL PINK:12</t>
  </si>
  <si>
    <t>SS236</t>
  </si>
  <si>
    <t>D SS PIQUE SALUR PITA PGG:TURQOUISE:8</t>
  </si>
  <si>
    <t>AN156</t>
  </si>
  <si>
    <t>D SL FP BGA MENDATAR PITA PGG:OFF WHITE:12</t>
  </si>
  <si>
    <t>SS225</t>
  </si>
  <si>
    <t>D SS FP 3 BGA PGG:NAVY BLUE:6</t>
  </si>
  <si>
    <t>D SS PIQUE SALUR PITA PGG:TURQOUISE:10</t>
  </si>
  <si>
    <t>SS245</t>
  </si>
  <si>
    <t>D SL PIQUE STRIPE PASTEL:OFF WHITE:6</t>
  </si>
  <si>
    <t>D SS PIQUE SALUR PITA PGG:TURQOUISE:5</t>
  </si>
  <si>
    <t>D SL PIQUE STRIPE PASTEL:OFF WHITE:5</t>
  </si>
  <si>
    <t>D SL FP BGA MENDATAR PITA PGG:OFF WHITE:10</t>
  </si>
  <si>
    <t>D SL PIQUE STRIPE PASTEL:OFF WHITE:10</t>
  </si>
  <si>
    <t>AN154</t>
  </si>
  <si>
    <t>D SS BALON FP BGA GARIS:BLACK:4</t>
  </si>
  <si>
    <t>D SL PIQUE STRIPE PASTEL:OFF WHITE:12</t>
  </si>
  <si>
    <t>D SL FP BGA MENDATAR PITA PGG:OFF WHITE:6</t>
  </si>
  <si>
    <t>D SL FP BGA MENDATAR PITA PGG:OFF WHITE:4</t>
  </si>
  <si>
    <t>D SS PINGGIR NONIK SEPEDA:SALMON:5</t>
  </si>
  <si>
    <t>D SS BALON FP BGA GARIS:BLACK:6</t>
  </si>
  <si>
    <t>D SS PIQUE SALUR PITA PGG:TURQOUISE:6</t>
  </si>
  <si>
    <t>D SL PIQUE STRIPE PASTEL:OFF WHITE:8</t>
  </si>
  <si>
    <t>D SS NONIK ONDE ROMPI:OFF WHITE:6</t>
  </si>
  <si>
    <t>D SS FP 3 BGA PGG:NAVY BLUE:5</t>
  </si>
  <si>
    <t>D SL FP BGA MENDATAR PITA PGG:OFF WHITE:8</t>
  </si>
  <si>
    <t>D SS FP 3 BGA PGG:NAVY BLUE:10</t>
  </si>
  <si>
    <t>D SL FP BGA MENDATAR PITA PGG:OFF WHITE:5</t>
  </si>
  <si>
    <t>D SS PIQUE SALUR PITA PGG:TURQOUISE:12</t>
  </si>
  <si>
    <t>D SS FP 3 BGA PGG:NAVY BLUE:4</t>
  </si>
  <si>
    <t>D SL PIQUE STRIPE PASTEL:OFF WHITE:4</t>
  </si>
  <si>
    <t>D SS NONIK ONDE ROMPI:OFF WHITE:4</t>
  </si>
  <si>
    <t>D SS BALON FP BGA GARIS:BLACK:8</t>
  </si>
  <si>
    <t>D SS NONIK ONDE ROMPI:OFF WHITE:8</t>
  </si>
  <si>
    <t>D SS PIQUE SALUR PITA PGG:TURQOUISE:4</t>
  </si>
  <si>
    <t>D SS BALON FP BGA GARIS:BLACK:5</t>
  </si>
  <si>
    <t>D SS FP 3 BGA PGG:NAVY BLUE:8</t>
  </si>
  <si>
    <t>D SS BALON FP BGA GARIS:BLACK:12</t>
  </si>
  <si>
    <t>D SS BALON FP BGA GARIS:BLACK:10</t>
  </si>
  <si>
    <t>MODTRI01</t>
  </si>
  <si>
    <t>BAMUS KOTAK OVL NAVY BWH GEBER:NAVY BLUE:4</t>
  </si>
  <si>
    <t>MODMAS01</t>
  </si>
  <si>
    <t>BAMUS STRIPE RIB PINK:PASTEL PINK:5</t>
  </si>
  <si>
    <t>MODMAS03</t>
  </si>
  <si>
    <t>BAMUS KOTAK POT PGG SERONG:CLASSIC RED:5</t>
  </si>
  <si>
    <t>BAMUS STRIPE RIB PINK:PASTEL PINK:10</t>
  </si>
  <si>
    <t>BAMUS STRIPE RIB PINK:PASTEL PINK:8</t>
  </si>
  <si>
    <t>BAMUS STRIPE RIB PINK:PASTEL PINK:12</t>
  </si>
  <si>
    <t>BAMUS KOTAK OVL NAVY BWH GEBER:NAVY BLUE:8</t>
  </si>
  <si>
    <t>BAMUS KOTAK OVL NAVY BWH GEBER:NAVY BLUE:5</t>
  </si>
  <si>
    <t>BAMUS KOTAK POT PGG SERONG:CLASSIC RED:6</t>
  </si>
  <si>
    <t>BAMUS KOTAK OVL NAVY BWH GEBER:NAVY BLUE:10</t>
  </si>
  <si>
    <t>MODMAS02</t>
  </si>
  <si>
    <t>BAMUS OPNASEL DADA TGN SALUR:CLASSIC BLUE:6</t>
  </si>
  <si>
    <t>BAMUS OPNASEL DADA TGN SALUR:CLASSIC BLUE:4</t>
  </si>
  <si>
    <t>BAMUS STRIPE RIB PINK:PASTEL PINK:4</t>
  </si>
  <si>
    <t>BAMUS OPNASEL DADA TGN SALUR:CLASSIC BLUE:10</t>
  </si>
  <si>
    <t>BAMUS STRIPE RIB PINK:PASTEL PINK:6</t>
  </si>
  <si>
    <t>BAMUS KOTAK OVL NAVY BWH GEBER:NAVY BLUE:6</t>
  </si>
  <si>
    <t>BAMUS OPNASEL DADA TGN SALUR:CLASSIC BLUE:8</t>
  </si>
  <si>
    <t>BAMUS OPNASEL DADA TGN SALUR:CLASSIC BLUE:12</t>
  </si>
  <si>
    <t>BAMUS OPNASEL DADA TGN SALUR:CLASSIC BLUE:5</t>
  </si>
  <si>
    <t>BAMUS KOTAK OVL NAVY BWH GEBER:NAVY BLUE:12</t>
  </si>
  <si>
    <t>BAMUS KOTAK POT PGG SERONG:CLASSIC RED:10</t>
  </si>
  <si>
    <t>BAMUS KOTAK POT PGG SERONG:CLASSIC RED:8</t>
  </si>
  <si>
    <t>BAMUS KOTAK POT PGG SERONG:CLASSIC RED:4</t>
  </si>
  <si>
    <t>BAMUS KOTAK POT PGG SERONG:CLASSIC RED:12</t>
  </si>
  <si>
    <t>MTH005</t>
  </si>
  <si>
    <t>D TILE BORDIR BUNGA RANTAI:FUSCHIA:12</t>
  </si>
  <si>
    <t>CNYAN144</t>
  </si>
  <si>
    <t>CNY20 D BROKAT KOMB TILE (KRAH SHANGHAI):WHITE:4</t>
  </si>
  <si>
    <t>CNY20 D BROKAT KOMB TILE (KRAH SHANGHAI):WHITE:5</t>
  </si>
  <si>
    <t>CNY20 D BROKAT KOMB TILE (KRAH SHANGHAI):WHITE:6</t>
  </si>
  <si>
    <t>CNY20 D BROKAT KOMB TILE (KRAH SHANGHAI):WHITE:8</t>
  </si>
  <si>
    <t>CNY20 D BROKAT KOMB TILE (KRAH SHANGHAI):WHITE:10</t>
  </si>
  <si>
    <t>CNYAN146</t>
  </si>
  <si>
    <t>CNY20 D BROKAT TILE IMLEK:CLASSIC RED:4</t>
  </si>
  <si>
    <t>CNY20 D BROKAT TILE IMLEK:CLASSIC RED:5</t>
  </si>
  <si>
    <t>CNY20 D BROKAT TILE IMLEK:CLASSIC RED:6</t>
  </si>
  <si>
    <t>CNY20 D BROKAT TILE IMLEK:CLASSIC RED:8</t>
  </si>
  <si>
    <t>MTH006</t>
  </si>
  <si>
    <t>D TILE BUNGA PITA:WHITE:12</t>
  </si>
  <si>
    <t>D TILE BUNGA PITA:WHITE:5</t>
  </si>
  <si>
    <t>D TILE BUNGA PITA:WHITE:6</t>
  </si>
  <si>
    <t>D TILE BUNGA PITA:WHITE:8</t>
  </si>
  <si>
    <t>D TILE BUNGA PITA:WHITE:4</t>
  </si>
  <si>
    <t>D TILE BUNGA PITA:WHITE:10</t>
  </si>
  <si>
    <t>EV77</t>
  </si>
  <si>
    <t>D SATEN STRIPE KTK TILE BWH:CLASSIC RED:6</t>
  </si>
  <si>
    <t>SS230</t>
  </si>
  <si>
    <t>D BLUDRU KOMB BROKAT:NAVY BLUE:8</t>
  </si>
  <si>
    <t>SS231</t>
  </si>
  <si>
    <t>D FULL BROKAT JARING:PASTEL PINK:12</t>
  </si>
  <si>
    <t>D SATEN STRIPE KTK TILE BWH:CLASSIC RED:5</t>
  </si>
  <si>
    <t>D BLUDRU KOMB BROKAT:NAVY BLUE:10</t>
  </si>
  <si>
    <t>D SATEN STRIPE KTK TILE BWH:CLASSIC RED:4</t>
  </si>
  <si>
    <t>D BLUDRU KOMB BROKAT:NAVY BLUE:5</t>
  </si>
  <si>
    <t>D BLUDRU KOMB BROKAT:NAVY BLUE:4</t>
  </si>
  <si>
    <t>D BLUDRU KOMB BROKAT:NAVY BLUE:12</t>
  </si>
  <si>
    <t>D BLUDRU KOMB BROKAT:NAVY BLUE:6</t>
  </si>
  <si>
    <t>D SATEN STRIPE KTK TILE BWH:CLASSIC RED:8</t>
  </si>
  <si>
    <t>R836</t>
  </si>
  <si>
    <t>D SS BUNGA LOVE:WHITE:12</t>
  </si>
  <si>
    <t>D SS BUNGA LOVE:WHITE:4</t>
  </si>
  <si>
    <t>MERV109</t>
  </si>
  <si>
    <t>D PRINT STRIPE LOVE:PASTEL PINK:8</t>
  </si>
  <si>
    <t>D PRINT STRIPE LOVE:PASTEL PINK:5</t>
  </si>
  <si>
    <t>D SS BUNGA LOVE:WHITE:5</t>
  </si>
  <si>
    <t>D SS BUNGA LOVE:WHITE:6</t>
  </si>
  <si>
    <t>D SS BUNGA LOVE:WHITE:8</t>
  </si>
  <si>
    <t>D PRINT STRIPE LOVE:PASTEL PINK:6</t>
  </si>
  <si>
    <t>SS229</t>
  </si>
  <si>
    <t>D FULL BROKAT PGG PITA:NAVY BLUE:8</t>
  </si>
  <si>
    <t>D FULL BROKAT PGG PITA:NAVY BLUE:5</t>
  </si>
  <si>
    <t>CNY20 D BROKAT TILE IMLEK:CLASSIC RED:10</t>
  </si>
  <si>
    <t>D FULL BROKAT PGG PITA:NAVY BLUE:4</t>
  </si>
  <si>
    <t>D FULL BROKAT JARING:PASTEL PINK:8</t>
  </si>
  <si>
    <t>D FULL BROKAT JARING:PASTEL PINK:4</t>
  </si>
  <si>
    <t>D TILE BORDIR BUNGA RANTAI:FUSCHIA:10</t>
  </si>
  <si>
    <t>D FULL BROKAT PGG PITA:NAVY BLUE:12</t>
  </si>
  <si>
    <t>CNYMAS19</t>
  </si>
  <si>
    <t>CNY20 D SS QIPAO KERAH MOTE FP SAKURA:OFF WHITE:6</t>
  </si>
  <si>
    <t>D FULL BROKAT JARING:PASTEL PINK:5</t>
  </si>
  <si>
    <t>D FULL BROKAT JARING:PASTEL PINK:10</t>
  </si>
  <si>
    <t>D TILE BORDIR BUNGA RANTAI:FUSCHIA:4</t>
  </si>
  <si>
    <t>D SS BUNGA LOVE:WHITE:10</t>
  </si>
  <si>
    <t>D SATEN STRIPE KTK TILE BWH:CLASSIC RED:10</t>
  </si>
  <si>
    <t>D PRINT STRIPE LOVE:PASTEL PINK:10</t>
  </si>
  <si>
    <t>D PRINT STRIPE LOVE:PASTEL PINK:12</t>
  </si>
  <si>
    <t>D TILE BORDIR BUNGA RANTAI:FUSCHIA:8</t>
  </si>
  <si>
    <t>D TILE BORDIR BUNGA RANTAI:FUSCHIA:6</t>
  </si>
  <si>
    <t>CNY20 D SS QIPAO KERAH MOTE FP SAKURA:OFF WHITE:8</t>
  </si>
  <si>
    <t>D PRINT STRIPE LOVE:PASTEL PINK:4</t>
  </si>
  <si>
    <t>CNY20 D SS QIPAO KERAH MOTE FP SAKURA:OFF WHITE:5</t>
  </si>
  <si>
    <t>D FULL BROKAT PGG PITA:NAVY BLUE:6</t>
  </si>
  <si>
    <t>D FULL BROKAT PGG PITA:NAVY BLUE:10</t>
  </si>
  <si>
    <t>CNY20 D BROKAT TILE IMLEK:CLASSIC RED:12</t>
  </si>
  <si>
    <t>D TILE BORDIR BUNGA RANTAI:FUSCHIA:5</t>
  </si>
  <si>
    <t>CNY20 D BROKAT KOMB TILE (KRAH SHANGHAI):WHITE:12</t>
  </si>
  <si>
    <t>D SATEN STRIPE KTK TILE BWH:CLASSIC RED:12</t>
  </si>
  <si>
    <t>CNY20 D SS QIPAO KERAH MOTE FP SAKURA:OFF WHITE:10</t>
  </si>
  <si>
    <t>D FULL BROKAT JARING:PASTEL PINK:6</t>
  </si>
  <si>
    <t>CNY20 D SS QIPAO KERAH MOTE FP SAKURA:OFF WHITE:4</t>
  </si>
  <si>
    <t>CNY20 D SS QIPAO KERAH MOTE FP SAKURA:OFF WHITE:12</t>
  </si>
  <si>
    <t>AN126</t>
  </si>
  <si>
    <t>D SALUR LOVELY:PASTEL PINK:6</t>
  </si>
  <si>
    <t>D SALUR LOVELY:PASTEL PINK:8</t>
  </si>
  <si>
    <t>D SALUR LOVELY:PASTEL PINK:10</t>
  </si>
  <si>
    <t>D SALUR LOVELY:PASTEL PINK:12</t>
  </si>
  <si>
    <t>CNYAN149</t>
  </si>
  <si>
    <t>CNY20 D KOTAK MERAH RENDA:CLASSIC RED:4</t>
  </si>
  <si>
    <t>CNY20 D KOTAK MERAH RENDA:CLASSIC RED:5</t>
  </si>
  <si>
    <t>CNY20 D KOTAK MERAH RENDA:CLASSIC RED:6</t>
  </si>
  <si>
    <t>CNY20 D KOTAK MERAH RENDA:CLASSIC RED:8</t>
  </si>
  <si>
    <t>CNY20 D KOTAK MERAH RENDA:CLASSIC RED:10</t>
  </si>
  <si>
    <t>CNY20 D KOTAK MERAH RENDA:CLASSIC RED:12</t>
  </si>
  <si>
    <t>AN133</t>
  </si>
  <si>
    <t>D PIQUE GEBER PGG:NAVY BLUE:8</t>
  </si>
  <si>
    <t>D PIQUE GEBER PGG:NAVY BLUE:5</t>
  </si>
  <si>
    <t>D PIQUE GEBER PGG:NAVY BLUE:6</t>
  </si>
  <si>
    <t>D PIQUE GEBER PGG:NAVY BLUE:12</t>
  </si>
  <si>
    <t>D PIQUE GEBER PGG:NAVY BLUE:10</t>
  </si>
  <si>
    <t>AN131</t>
  </si>
  <si>
    <t>D ONDE BIRU CUPCAKE:NAVY BLUE:10</t>
  </si>
  <si>
    <t>D ONDE BIRU CUPCAKE:NAVY BLUE:6</t>
  </si>
  <si>
    <t>D ONDE BIRU CUPCAKE:NAVY BLUE:12</t>
  </si>
  <si>
    <t>D ONDE BIRU CUPCAKE:NAVY BLUE:8</t>
  </si>
  <si>
    <t>D ONDE BIRU CUPCAKE:NAVY BLUE:5</t>
  </si>
  <si>
    <t>D ONDE BIRU CUPCAKE:NAVY BLUE:4</t>
  </si>
  <si>
    <t>R845</t>
  </si>
  <si>
    <t>D SS PINGGIR NONIK BALOON:CLASSIC BLUE:10</t>
  </si>
  <si>
    <t>D SS PINGGIR NONIK BALOON:CLASSIC BLUE:8</t>
  </si>
  <si>
    <t>D SS PINGGIR NONIK BALOON:CLASSIC BLUE:6</t>
  </si>
  <si>
    <t>R901</t>
  </si>
  <si>
    <t>D TGN LEHER KERUT TAS MEOW:WHITE:10</t>
  </si>
  <si>
    <t>D SS PINGGIR NONIK BALOON:CLASSIC BLUE:12</t>
  </si>
  <si>
    <t>D TGN LEHER KERUT TAS MEOW:WHITE:12</t>
  </si>
  <si>
    <t>D SS PINGGIR NONIK BALOON:CLASSIC BLUE:4</t>
  </si>
  <si>
    <t>D SS PINGGIR NONIK BALOON:CLASSIC BLUE:5</t>
  </si>
  <si>
    <t>D TGN LEHER KERUT TAS MEOW:WHITE:5</t>
  </si>
  <si>
    <t>D TGN LEHER KERUT TAS MEOW:WHITE:4</t>
  </si>
  <si>
    <t>D TGN LEHER KERUT TAS MEOW:WHITE:8</t>
  </si>
  <si>
    <t>D SALUR LOVELY:PASTEL PINK:4</t>
  </si>
  <si>
    <t>D TGN LEHER KERUT TAS MEOW:WHITE:6</t>
  </si>
  <si>
    <t>D PIQUE GEBER PGG:NAVY BLUE:4</t>
  </si>
  <si>
    <t>D SALUR LOVELY:PASTEL PINK:5</t>
  </si>
  <si>
    <t>MTH004</t>
  </si>
  <si>
    <t>D TILE UNICORN 3 WARNA PUNDAK PITA:OFF WHITE:4</t>
  </si>
  <si>
    <t>D TILE UNICORN 3 WARNA PUNDAK PITA:OFF WHITE:5</t>
  </si>
  <si>
    <t>D TILE UNICORN 3 WARNA PUNDAK PITA:OFF WHITE:6</t>
  </si>
  <si>
    <t>D TILE UNICORN 3 WARNA PUNDAK PITA:OFF WHITE:8</t>
  </si>
  <si>
    <t>D TILE UNICORN 3 WARNA PUNDAK PITA:OFF WHITE:10</t>
  </si>
  <si>
    <t>D TILE UNICORN 3 WARNA PUNDAK PITA:OFF WHITE:12</t>
  </si>
  <si>
    <t>AN125</t>
  </si>
  <si>
    <t>D TILE PAYET TGN PENDEK:MAROON:12</t>
  </si>
  <si>
    <t>MTH009</t>
  </si>
  <si>
    <t>D ORGANDI BUNGA MAROON:WHITE:6</t>
  </si>
  <si>
    <t>MTH011</t>
  </si>
  <si>
    <t>D TILE BROKAT MIDI TGN 3/4:WHITE:12</t>
  </si>
  <si>
    <t>EV75</t>
  </si>
  <si>
    <t>D SALUR NAVY KERAH BULET:NAVY BLUE:8</t>
  </si>
  <si>
    <t>D SALUR NAVY KERAH BULET:NAVY BLUE:10</t>
  </si>
  <si>
    <t>D SALUR NAVY KERAH BULET:NAVY BLUE:12</t>
  </si>
  <si>
    <t>AN86</t>
  </si>
  <si>
    <t>D KOTAK LOVE:WHITE:4</t>
  </si>
  <si>
    <t>D KOTAK LOVE:WHITE:5</t>
  </si>
  <si>
    <t>D KOTAK LOVE:WHITE:6</t>
  </si>
  <si>
    <t>D KOTAK LOVE:WHITE:8</t>
  </si>
  <si>
    <t>AN147</t>
  </si>
  <si>
    <t>D TGN 3/4 BROKAT TILE:PASTEL PINK:12</t>
  </si>
  <si>
    <t>CNYSS232</t>
  </si>
  <si>
    <t>CNY20 D SATIN KOTAK KRAH QIPAO:PASTEL PINK:4</t>
  </si>
  <si>
    <t>AN140</t>
  </si>
  <si>
    <t>D TILE PAYET TANPA LGN:NAVY BLUE:10</t>
  </si>
  <si>
    <t>D ORGANDI BUNGA MAROON:WHITE:5</t>
  </si>
  <si>
    <t>D SALUR NAVY KERAH BULET:NAVY BLUE:5</t>
  </si>
  <si>
    <t>D TILE BROKAT MIDI TGN 3/4:WHITE:8</t>
  </si>
  <si>
    <t>D ORGANDI BUNGA MAROON:WHITE:10</t>
  </si>
  <si>
    <t>D TILE PAYET TANPA LGN:NAVY BLUE:5</t>
  </si>
  <si>
    <t>D TILE BROKAT MIDI TGN 3/4:WHITE:6</t>
  </si>
  <si>
    <t>D TGN 3/4 BROKAT TILE:PASTEL PINK:10</t>
  </si>
  <si>
    <t>D TILE BROKAT MIDI TGN 3/4:WHITE:10</t>
  </si>
  <si>
    <t>D TILE PAYET TGN PENDEK:MAROON:10</t>
  </si>
  <si>
    <t>D TILE PAYET TGN PENDEK:MAROON:5</t>
  </si>
  <si>
    <t>D TILE PAYET TANPA LGN:NAVY BLUE:6</t>
  </si>
  <si>
    <t>D TILE BROKAT MIDI TGN 3/4:WHITE:5</t>
  </si>
  <si>
    <t>D TGN 3/4 BROKAT TILE:PASTEL PINK:6</t>
  </si>
  <si>
    <t>D TILE PAYET TANPA LGN:NAVY BLUE:8</t>
  </si>
  <si>
    <t>D KOTAK LOVE:WHITE:10</t>
  </si>
  <si>
    <t>D ORGANDI BUNGA MAROON:WHITE:12</t>
  </si>
  <si>
    <t>CNY20 D SATIN KOTAK KRAH QIPAO:PASTEL PINK:6</t>
  </si>
  <si>
    <t>D TILE PAYET TANPA LGN:NAVY BLUE:12</t>
  </si>
  <si>
    <t>D ORGANDI BUNGA MAROON:WHITE:8</t>
  </si>
  <si>
    <t>D TILE PAYET TGN PENDEK:MAROON:8</t>
  </si>
  <si>
    <t>D TILE PAYET TANPA LGN:NAVY BLUE:4</t>
  </si>
  <si>
    <t>D KOTAK LOVE:WHITE:12</t>
  </si>
  <si>
    <t>D TGN 3/4 BROKAT TILE:PASTEL PINK:5</t>
  </si>
  <si>
    <t>D ORGANDI BUNGA MAROON:WHITE:4</t>
  </si>
  <si>
    <t>D TGN 3/4 BROKAT TILE:PASTEL PINK:4</t>
  </si>
  <si>
    <t>CNY20 D SATIN KOTAK KRAH QIPAO:PASTEL PINK:5</t>
  </si>
  <si>
    <t>D TILE BROKAT MIDI TGN 3/4:WHITE:4</t>
  </si>
  <si>
    <t>D TGN 3/4 BROKAT TILE:PASTEL PINK:8</t>
  </si>
  <si>
    <t>D SALUR NAVY KERAH BULET:NAVY BLUE:6</t>
  </si>
  <si>
    <t>D TILE PAYET TGN PENDEK:MAROON:4</t>
  </si>
  <si>
    <t>D SALUR NAVY KERAH BULET:NAVY BLUE:4</t>
  </si>
  <si>
    <t>D TILE PAYET TGN PENDEK:MAROON:6</t>
  </si>
  <si>
    <t>AN123</t>
  </si>
  <si>
    <t>D ROMPI POLKADOT BUNGA:MUSTARD:4</t>
  </si>
  <si>
    <t>D ROMPI POLKADOT BUNGA:MUSTARD:5</t>
  </si>
  <si>
    <t>D ROMPI POLKADOT BUNGA:MUSTARD:6</t>
  </si>
  <si>
    <t>D ROMPI POLKADOT BUNGA:MUSTARD:8</t>
  </si>
  <si>
    <t>R835</t>
  </si>
  <si>
    <t>D PINGGIRAN ABSTRAK ONDE:WHITE:4</t>
  </si>
  <si>
    <t>D PINGGIRAN ABSTRAK ONDE:WHITE:5</t>
  </si>
  <si>
    <t>D PINGGIRAN ABSTRAK ONDE:WHITE:6</t>
  </si>
  <si>
    <t>D PINGGIRAN ABSTRAK ONDE:WHITE:8</t>
  </si>
  <si>
    <t>D PINGGIRAN ABSTRAK ONDE:WHITE:10</t>
  </si>
  <si>
    <t>D PINGGIRAN ABSTRAK ONDE:WHITE:12</t>
  </si>
  <si>
    <t>AR81326</t>
  </si>
  <si>
    <t>D KOTAK POT 8 KOMB KNIT:CLASSIC RED:8</t>
  </si>
  <si>
    <t>D KOTAK POT 8 KOMB KNIT:CLASSIC RED:6</t>
  </si>
  <si>
    <t>D KOTAK POT 8 KOMB KNIT:CLASSIC RED:10</t>
  </si>
  <si>
    <t>A1410755</t>
  </si>
  <si>
    <t>D PINGGANG UNGU BUNGA 3 ABU:PASTEL PINK:5</t>
  </si>
  <si>
    <t>D PINGGANG UNGU BUNGA 3 ABU:PASTEL PINK:6</t>
  </si>
  <si>
    <t>D PINGGANG UNGU BUNGA 3 ABU:PASTEL PINK:8</t>
  </si>
  <si>
    <t>D PINGGANG UNGU BUNGA 3 ABU:PASTEL PINK:4</t>
  </si>
  <si>
    <t>D PINGGANG UNGU BUNGA 3 ABU:PASTEL PINK:10</t>
  </si>
  <si>
    <t>D PINGGANG UNGU BUNGA 3 ABU:PASTEL PINK:12</t>
  </si>
  <si>
    <t>D KOTAK POT 8 KOMB KNIT:CLASSIC RED:4</t>
  </si>
  <si>
    <t>D KOTAK POT 8 KOMB KNIT:CLASSIC RED:5</t>
  </si>
  <si>
    <t>D ROMPI POLKADOT BUNGA:MUSTARD:10</t>
  </si>
  <si>
    <t>D ROMPI POLKADOT BUNGA:MUSTARD:12</t>
  </si>
  <si>
    <t>R844</t>
  </si>
  <si>
    <t>D UNICORN TILE:SALMON:8</t>
  </si>
  <si>
    <t>D UNICORN TILE:SALMON:10</t>
  </si>
  <si>
    <t>D UNICORN TILE:SALMON:12</t>
  </si>
  <si>
    <t>SS227</t>
  </si>
  <si>
    <t>D STIPE COLORFUL:NAVY BLUE:4</t>
  </si>
  <si>
    <t>D STIPE COLORFUL:NAVY BLUE:5</t>
  </si>
  <si>
    <t>D STIPE COLORFUL:NAVY BLUE:6</t>
  </si>
  <si>
    <t>D STIPE COLORFUL:NAVY BLUE:8</t>
  </si>
  <si>
    <t>D UNICORN TILE:SALMON:5</t>
  </si>
  <si>
    <t>D UNICORN TILE:SALMON:4</t>
  </si>
  <si>
    <t>D UNICORN TILE:SALMON:6</t>
  </si>
  <si>
    <t>D STIPE COLORFUL:NAVY BLUE:10</t>
  </si>
  <si>
    <t>D STIPE COLORFUL:NAVY BLUE:12</t>
  </si>
  <si>
    <t>SS228</t>
  </si>
  <si>
    <t>D PITA PINGGANG KOMB 3 WRN:FUSCHIA:4</t>
  </si>
  <si>
    <t>D PITA PINGGANG KOMB 3 WRN:FUSCHIA:5</t>
  </si>
  <si>
    <t>D PITA PINGGANG KOMB 3 WRN:FUSCHIA:6</t>
  </si>
  <si>
    <t>D PITA PINGGANG KOMB 3 WRN:FUSCHIA:8</t>
  </si>
  <si>
    <t>D PITA PINGGANG KOMB 3 WRN:FUSCHIA:10</t>
  </si>
  <si>
    <t>D PITA PINGGANG KOMB 3 WRN:FUSCHIA:12</t>
  </si>
  <si>
    <t>AN127</t>
  </si>
  <si>
    <t>D UNICORN POLKADOT:NAVY BLUE:4</t>
  </si>
  <si>
    <t>D UNICORN POLKADOT:NAVY BLUE:8</t>
  </si>
  <si>
    <t>D UNICORN POLKADOT:NAVY BLUE:10</t>
  </si>
  <si>
    <t>D UNICORN POLKADOT:NAVY BLUE:12</t>
  </si>
  <si>
    <t>R847</t>
  </si>
  <si>
    <t>D FLOWER CORAL:CORAL:4</t>
  </si>
  <si>
    <t>D FLOWER CORAL:CORAL:5</t>
  </si>
  <si>
    <t>D FLOWER CORAL:CORAL:6</t>
  </si>
  <si>
    <t>D FLOWER CORAL:CORAL:8</t>
  </si>
  <si>
    <t>D FLOWER CORAL:CORAL:10</t>
  </si>
  <si>
    <t>R827</t>
  </si>
  <si>
    <t>D TGN BUNGA SABLON:CLASSIC RED:8</t>
  </si>
  <si>
    <t>D UNICORN POLKADOT:NAVY BLUE:5</t>
  </si>
  <si>
    <t>D TGN BUNGA SABLON:CLASSIC RED:5</t>
  </si>
  <si>
    <t>D TGN BUNGA SABLON:CLASSIC RED:10</t>
  </si>
  <si>
    <t>D TGN BUNGA SABLON:CLASSIC RED:12</t>
  </si>
  <si>
    <t>D TGN BUNGA SABLON:CLASSIC RED:6</t>
  </si>
  <si>
    <t>D FLOWER CORAL:CORAL:12</t>
  </si>
  <si>
    <t>D UNICORN POLKADOT:NAVY BLUE:6</t>
  </si>
  <si>
    <t>D TGN BUNGA SABLON:CLASSIC RED:4</t>
  </si>
  <si>
    <t>AN114A</t>
  </si>
  <si>
    <t>D BROKAT TGN LAYER:WHITE:5</t>
  </si>
  <si>
    <t>D BROKAT TGN LAYER:WHITE:6</t>
  </si>
  <si>
    <t>D BROKAT TGN LAYER:WHITE:8</t>
  </si>
  <si>
    <t>D BROKAT TGN LAYER:WHITE:10</t>
  </si>
  <si>
    <t>MERV103</t>
  </si>
  <si>
    <t>D SIFON HALTERNECK:PASTEL PINK:4</t>
  </si>
  <si>
    <t>D SIFON HALTERNECK:PASTEL PINK:5</t>
  </si>
  <si>
    <t>D SIFON HALTERNECK:PASTEL PINK:6</t>
  </si>
  <si>
    <t>D SIFON HALTERNECK:PASTEL PINK:8</t>
  </si>
  <si>
    <t>D SIFON HALTERNECK:PASTEL PINK:10</t>
  </si>
  <si>
    <t>AN124</t>
  </si>
  <si>
    <t>D ROMPI BUNGA ONDE KECIL:NAVY BLUE:4</t>
  </si>
  <si>
    <t>D ROMPI BUNGA ONDE KECIL:NAVY BLUE:5</t>
  </si>
  <si>
    <t>D ROMPI BUNGA ONDE KECIL:NAVY BLUE:6</t>
  </si>
  <si>
    <t>D ROMPI BUNGA ONDE KECIL:NAVY BLUE:8</t>
  </si>
  <si>
    <t>D ROMPI BUNGA ONDE KECIL:NAVY BLUE:10</t>
  </si>
  <si>
    <t>D ROMPI BUNGA ONDE KECIL:NAVY BLUE:12</t>
  </si>
  <si>
    <t>MERV110</t>
  </si>
  <si>
    <t>D PRINT LOVE:PASTEL PINK:4</t>
  </si>
  <si>
    <t>D PRINT LOVE:PASTEL PINK:5</t>
  </si>
  <si>
    <t>D PRINT LOVE:PASTEL PINK:6</t>
  </si>
  <si>
    <t>D PRINT LOVE:PASTEL PINK:12</t>
  </si>
  <si>
    <t>D PRINT LOVE:PASTEL PINK:10</t>
  </si>
  <si>
    <t>D PRINT LOVE:PASTEL PINK:8</t>
  </si>
  <si>
    <t>D BROKAT TGN LAYER:WHITE:12</t>
  </si>
  <si>
    <t>D BROKAT TGN LAYER:WHITE:4</t>
  </si>
  <si>
    <t>D SIFON HALTER NECK:PASTEL PINK:5</t>
  </si>
  <si>
    <t>D SIFON HALTER NECK:PASTEL PINK:6</t>
  </si>
  <si>
    <t>D SIFON HALTER NECK:PASTEL PINK:8</t>
  </si>
  <si>
    <t>D SIFON HALTER NECK:PASTEL PINK:10</t>
  </si>
  <si>
    <t>D SIFON HALTER NECK:PASTEL PINK:4</t>
  </si>
  <si>
    <t>SWEET MISS</t>
  </si>
  <si>
    <t>D SL UNICORN ROK TILE:OFF WHITE:4</t>
  </si>
  <si>
    <t>D SL UNICORN ROK TILE:OFF WHITE:5</t>
  </si>
  <si>
    <t>D SL UNICORN ROK TILE:OFF WHITE:6</t>
  </si>
  <si>
    <t>D SL UNICORN ROK TILE:OFF WHITE:8</t>
  </si>
  <si>
    <t>D SL UNICORN ROK TILE:OFF WHITE:10</t>
  </si>
  <si>
    <t>D SL UNICORN ROK TILE:OFF WHITE:12</t>
  </si>
  <si>
    <t>AN177B</t>
  </si>
  <si>
    <t>D SL TILE SATEN BGA DADA:PASTEL PINK:4</t>
  </si>
  <si>
    <t>D SL TILE SATEN BGA DADA:PASTEL PINK:5</t>
  </si>
  <si>
    <t>D SL TILE SATEN BGA DADA:PASTEL PINK:6</t>
  </si>
  <si>
    <t>D SL TILE SATEN BGA DADA:PASTEL PINK:8</t>
  </si>
  <si>
    <t>D SL TILE SATEN BGA DADA:PASTEL PINK:10</t>
  </si>
  <si>
    <t>D SL TILE SATEN BGA DADA:PASTEL PINK:12</t>
  </si>
  <si>
    <t>EV89</t>
  </si>
  <si>
    <t>D SS TGN BODIR BGA:NAVY BLUE:4</t>
  </si>
  <si>
    <t>D SS TGN BODIR BGA:NAVY BLUE:5</t>
  </si>
  <si>
    <t>D SS TGN BODIR BGA:NAVY BLUE:6</t>
  </si>
  <si>
    <t>D SS TGN BODIR BGA:NAVY BLUE:8</t>
  </si>
  <si>
    <t>D SS TGN BODIR BGA:NAVY BLUE:10</t>
  </si>
  <si>
    <t>D SS TGN BODIR BGA:NAVY BLUE:12</t>
  </si>
  <si>
    <t>R909</t>
  </si>
  <si>
    <t>D SS STRIPE WITH CARDIGAN:CORAL:4</t>
  </si>
  <si>
    <t>D SS STRIPE WITH CARDIGAN:CORAL:5</t>
  </si>
  <si>
    <t>D SS STRIPE WITH CARDIGAN:CORAL:6</t>
  </si>
  <si>
    <t>D SS STRIPE WITH CARDIGAN:CORAL:8</t>
  </si>
  <si>
    <t>D SS STRIPE WITH CARDIGAN:CORAL:10</t>
  </si>
  <si>
    <t>D SS STRIPE WITH CARDIGAN:CORAL:12</t>
  </si>
  <si>
    <t>D SS LACE WAVE WITH PITA PGG:BLACK:4</t>
  </si>
  <si>
    <t>D SS LACE WAVE WITH PITA PGG:BLACK:5</t>
  </si>
  <si>
    <t>D SS LACE WAVE WITH PITA PGG:BLACK:6</t>
  </si>
  <si>
    <t>D SS LACE WAVE WITH PITA PGG:BLACK:8</t>
  </si>
  <si>
    <t>D SS LACE WAVE WITH PITA PGG:BLACK:10</t>
  </si>
  <si>
    <t>D SS LACE WAVE WITH PITA PGG:BLACK:12</t>
  </si>
  <si>
    <t>MERV206</t>
  </si>
  <si>
    <t>SS MIDI DRESS STRIPE RAINBOW BUNGA PINGGANG MERV206:OFF WHITE:5:PRINT:SS MIDI DRE</t>
  </si>
  <si>
    <t>SS MIDI DRESS STRIPE RAINBOW BUNGA PINGGANG MERV206:OFF WHITE:6:PRINT:SS MIDI DRE</t>
  </si>
  <si>
    <t>SS MIDI DRESS STRIPE RAINBOW BUNGA PINGGANG MERV206:OFF WHITE:8:PRINT:SS MIDI DRE</t>
  </si>
  <si>
    <t>SS MIDI DRESS STRIPE RAINBOW BUNGA PINGGANG MERV206:OFF WHITE:10:PRINT:SS MIDI DRE</t>
  </si>
  <si>
    <t>SS MIDI DRESS STRIPE RAINBOW BUNGA PINGGANG MERV206:OFF WHITE:12:PRINT:SS MIDI DRE</t>
  </si>
  <si>
    <t>EV86</t>
  </si>
  <si>
    <t>D SL BROKAT KOMB TILE BGA PGG:PASTEL PINK:4</t>
  </si>
  <si>
    <t>D SL BROKAT KOMB TILE BGA PGG:PASTEL PINK:5</t>
  </si>
  <si>
    <t>D SL BROKAT KOMB TILE BGA PGG:PASTEL PINK:6</t>
  </si>
  <si>
    <t>D SL BROKAT KOMB TILE BGA PGG:PASTEL PINK:8</t>
  </si>
  <si>
    <t>D SL BROKAT KOMB TILE BGA PGG:PASTEL PINK:10</t>
  </si>
  <si>
    <t>D SL BROKAT KOMB TILE BGA PGG:PASTEL PINK:12</t>
  </si>
  <si>
    <t>S01KTVD</t>
  </si>
  <si>
    <t>SS MIDI DRESS SL STRIPE PITA PINGGANG S01KTVD:PASTEL PINK:4:STRIPES:SS MIDI DRES</t>
  </si>
  <si>
    <t>SS MIDI DRESS SL STRIPE PITA PINGGANG S01KTVD:PASTEL PINK:5:STRIPES:SS MIDI DRES</t>
  </si>
  <si>
    <t>SS MIDI DRESS SL STRIPE PITA PINGGANG S01KTVD:PASTEL PINK:6:STRIPES:SS MIDI DRES</t>
  </si>
  <si>
    <t>SS MIDI DRESS SL STRIPE PITA PINGGANG S01KTVD:PASTEL PINK:8:STRIPES:SS MIDI DRES</t>
  </si>
  <si>
    <t>SS MIDI DRESS SL STRIPE PITA PINGGANG S01KTVD:PASTEL PINK:10:STRIPES:SS MIDI DRES</t>
  </si>
  <si>
    <t>SS MIDI DRESS SL STRIPE PITA PINGGANG S01KTVD:PASTEL PINK:12:STRIPES:SS MIDI DRES</t>
  </si>
  <si>
    <t>SS260</t>
  </si>
  <si>
    <t>D LS TILE BAWAH KERUT BGA PGG:PASTEL PINK:4</t>
  </si>
  <si>
    <t>D LS TILE BAWAH KERUT BGA PGG:PASTEL PINK:5</t>
  </si>
  <si>
    <t>D LS TILE BAWAH KERUT BGA PGG:PASTEL PINK:6</t>
  </si>
  <si>
    <t>D LS TILE BAWAH KERUT BGA PGG:PASTEL PINK:8</t>
  </si>
  <si>
    <t>D LS TILE BAWAH KERUT BGA PGG:PASTEL PINK:10</t>
  </si>
  <si>
    <t>D LS TILE BAWAH KERUT BGA PGG:PASTEL PINK:12</t>
  </si>
  <si>
    <t>AN165</t>
  </si>
  <si>
    <t>SS MIDI DRESS STRIPE BUNGA PINGGIR AN165:PASTEL PINK:4:STRIPES:SS MIDI DRESS</t>
  </si>
  <si>
    <t>SS MIDI DRESS STRIPE BUNGA PINGGIR AN165:PASTEL PINK:5:STRIPES:SS MIDI DRESS</t>
  </si>
  <si>
    <t>SS MIDI DRESS STRIPE BUNGA PINGGIR AN165:PASTEL PINK:6:STRIPES:SS MIDI DRESS</t>
  </si>
  <si>
    <t>SS MIDI DRESS STRIPE BUNGA PINGGIR AN165:PASTEL PINK:8:STRIPES:SS MIDI DRESS</t>
  </si>
  <si>
    <t>SS MIDI DRESS STRIPE BUNGA PINGGIR AN165:PASTEL PINK:10:STRIPES:SS MIDI DRESS</t>
  </si>
  <si>
    <t>SS MIDI DRESS STRIPE BUNGA PINGGIR AN165:PASTEL PINK:12:STRIPES:SS MIDI DRESS</t>
  </si>
  <si>
    <t>SS235</t>
  </si>
  <si>
    <t>D SS SATIN BATWING STRIPE:PASTEL PINK:4</t>
  </si>
  <si>
    <t>D SS SATIN BATWING STRIPE:PASTEL PINK:5</t>
  </si>
  <si>
    <t>D SS SATIN BATWING STRIPE:PASTEL PINK:6</t>
  </si>
  <si>
    <t>D SS SATIN BATWING STRIPE:PASTEL PINK:8</t>
  </si>
  <si>
    <t>D SS SATIN BATWING STRIPE:PASTEL PINK:10</t>
  </si>
  <si>
    <t>D SS SATIN BATWING STRIPE:PASTEL PINK:12</t>
  </si>
  <si>
    <t>EV85</t>
  </si>
  <si>
    <t>SS MIDI DRESS SATIN STRIPE PITA PINGGANG EV85:OFF WHITE:4:STRIPES:SS MIDI DRES</t>
  </si>
  <si>
    <t>SS MIDI DRESS SATIN STRIPE PITA PINGGANG EV85:OFF WHITE:5:STRIPES:SS MIDI DRES</t>
  </si>
  <si>
    <t>SS MIDI DRESS SATIN STRIPE PITA PINGGANG EV85:OFF WHITE:6:STRIPES:SS MIDI DRES</t>
  </si>
  <si>
    <t>SS MIDI DRESS SATIN STRIPE PITA PINGGANG EV85:OFF WHITE:8:STRIPES:SS MIDI DRES</t>
  </si>
  <si>
    <t>SS MIDI DRESS SATIN STRIPE PITA PINGGANG EV85:OFF WHITE:10:STRIPES:SS MIDI DRES</t>
  </si>
  <si>
    <t>SS MIDI DRESS SATIN STRIPE PITA PINGGANG EV85:OFF WHITE:12:STRIPES:SS MIDI DRES</t>
  </si>
  <si>
    <t>EV91</t>
  </si>
  <si>
    <t>SS MIDI DRESS SATIN POLOS KOMBINASI STRIPE EV91:PASTEL PINK:4:STRIPES:SS MIDI DRES</t>
  </si>
  <si>
    <t>SS MIDI DRESS SATIN POLOS KOMBINASI STRIPE EV91:PASTEL PINK:5:STRIPES:SS MIDI DRES</t>
  </si>
  <si>
    <t>SS MIDI DRESS SATIN POLOS KOMBINASI STRIPE EV91:PASTEL PINK:6:STRIPES:SS MIDI DRES</t>
  </si>
  <si>
    <t>SS MIDI DRESS SATIN POLOS KOMBINASI STRIPE EV91:PASTEL PINK:8:STRIPES:SS MIDI DRES</t>
  </si>
  <si>
    <t>SS MIDI DRESS SATIN POLOS KOMBINASI STRIPE EV91:PASTEL PINK:10:STRIPES:SS MIDI DRES</t>
  </si>
  <si>
    <t>SS MIDI DRESS SATIN POLOS KOMBINASI STRIPE EV91:PASTEL PINK:12:STRIPES:SS MIDI DRES</t>
  </si>
  <si>
    <t>AN471</t>
  </si>
  <si>
    <t>D SL KOMB RENDA WITH POLKADOT:FUSCHIA:4</t>
  </si>
  <si>
    <t>D SL KOMB RENDA WITH POLKADOT:FUSCHIA:5</t>
  </si>
  <si>
    <t>D SL KOMB RENDA WITH POLKADOT:FUSCHIA:6</t>
  </si>
  <si>
    <t>D SL KOMB RENDA WITH POLKADOT:FUSCHIA:8</t>
  </si>
  <si>
    <t>D SL KOMB RENDA WITH POLKADOT:FUSCHIA:10</t>
  </si>
  <si>
    <t>D SL KOMB RENDA WITH POLKADOT:FUSCHIA:12</t>
  </si>
  <si>
    <t>EV90</t>
  </si>
  <si>
    <t>SS MIDI DRESS SATIN GARIS TANGAN PITA EV90:FUSCHIA:4:PRINT:SS MIDI DRESS</t>
  </si>
  <si>
    <t>SS MIDI DRESS SATIN GARIS TANGAN PITA EV90:FUSCHIA:5:PRINT:SS MIDI DRESS</t>
  </si>
  <si>
    <t>SS MIDI DRESS SATIN GARIS TANGAN PITA EV90:FUSCHIA:6:PRINT:SS MIDI DRESS</t>
  </si>
  <si>
    <t>SS MIDI DRESS SATIN GARIS TANGAN PITA EV90:FUSCHIA:8:PRINT:SS MIDI DRESS</t>
  </si>
  <si>
    <t>SS MIDI DRESS SATIN GARIS TANGAN PITA EV90:FUSCHIA:10:PRINT:SS MIDI DRESS</t>
  </si>
  <si>
    <t>SS MIDI DRESS SATIN GARIS TANGAN PITA EV90:FUSCHIA:12:PRINT:SS MIDI DRESS</t>
  </si>
  <si>
    <t>AG2101</t>
  </si>
  <si>
    <t>SS MAXI DRESS SL BORDIR DADA BWH TILE BGA AG2101:OFF WHITE:4:TEXTURE:SS MAXI DRES</t>
  </si>
  <si>
    <t>SS MAXI DRESS SL BORDIR DADA BWH TILE BGA AG2101:OFF WHITE:5:TEXTURE:SS MAXI DRES</t>
  </si>
  <si>
    <t>SS MAXI DRESS SL BORDIR DADA BWH TILE BGA AG2101:OFF WHITE:6:TEXTURE:SS MAXI DRES</t>
  </si>
  <si>
    <t>SS MAXI DRESS SL BORDIR DADA BWH TILE BGA AG2101:OFF WHITE:8:TEXTURE:SS MAXI DRES</t>
  </si>
  <si>
    <t>SS MAXI DRESS SL BORDIR DADA BWH TILE BGA AG2101:OFF WHITE:10:TEXTURE:SS MAXI DRES</t>
  </si>
  <si>
    <t>SS MAXI DRESS SL BORDIR DADA BWH TILE BGA AG2101:OFF WHITE:12:TEXTURE:SS MAXI DRES</t>
  </si>
  <si>
    <t>VDV2101</t>
  </si>
  <si>
    <t>SS MIDI DRESS SALUR PIPING PITA PINGGANG VDV2101:TURQOUISE:4:STRIPES:SS MIDI DRES</t>
  </si>
  <si>
    <t>SS MIDI DRESS SALUR PIPING PITA PINGGANG VDV2101:TURQOUISE:5:STRIPES:SS MIDI DRES</t>
  </si>
  <si>
    <t>SS MIDI DRESS SALUR PIPING PITA PINGGANG VDV2101:TURQOUISE:6:STRIPES:SS MIDI DRES</t>
  </si>
  <si>
    <t>SS MIDI DRESS SALUR PIPING PITA PINGGANG VDV2101:TURQOUISE:8:STRIPES:SS MIDI DRES</t>
  </si>
  <si>
    <t>SS MIDI DRESS SALUR PIPING PITA PINGGANG VDV2101:TURQOUISE:10:STRIPES:SS MIDI DRES</t>
  </si>
  <si>
    <t>SS MIDI DRESS SALUR PIPING PITA PINGGANG VDV2101:TURQOUISE:12:STRIPES:SS MIDI DRES</t>
  </si>
  <si>
    <t>EV80</t>
  </si>
  <si>
    <t>SS MAXI DRESS KOMBINASI BROKAT KRAH BABY EV80:KHAKI:4:PRINT:SS MAXI DRES</t>
  </si>
  <si>
    <t>SS MAXI DRESS KOMBINASI BROKAT KRAH BABY EV80:KHAKI:5:PRINT:SS MAXI DRES</t>
  </si>
  <si>
    <t>SS MAXI DRESS KOMBINASI BROKAT KRAH BABY EV80:KHAKI:6:PRINT:SS MAXI DRES</t>
  </si>
  <si>
    <t>SS MAXI DRESS KOMBINASI BROKAT KRAH BABY EV80:KHAKI:8:PRINT:SS MAXI DRES</t>
  </si>
  <si>
    <t>SS MAXI DRESS KOMBINASI BROKAT KRAH BABY EV80:KHAKI:10:PRINT:SS MAXI DRES</t>
  </si>
  <si>
    <t>SS MAXI DRESS KOMBINASI BROKAT KRAH BABY EV80:KHAKI:12:PRINT:SS MAXI DRES</t>
  </si>
  <si>
    <t>AG2102</t>
  </si>
  <si>
    <t>SS MIDI DRESS DADA BORDIR PITA PINGGANG AG2102:PASTEL BLUE:4:SOLID:SS MIDI DRES</t>
  </si>
  <si>
    <t>SS MIDI DRESS DADA BORDIR PITA PINGGANG AG2102:PASTEL BLUE:5:SOLID:SS MIDI DRES</t>
  </si>
  <si>
    <t>SS MIDI DRESS DADA BORDIR PITA PINGGANG AG2102:PASTEL BLUE:6:SOLID:SS MIDI DRES</t>
  </si>
  <si>
    <t>SS MIDI DRESS DADA BORDIR PITA PINGGANG AG2102:PASTEL BLUE:8:SOLID:SS MIDI DRES</t>
  </si>
  <si>
    <t>SS MIDI DRESS DADA BORDIR PITA PINGGANG AG2102:PASTEL BLUE:10:SOLID:SS MIDI DRES</t>
  </si>
  <si>
    <t>SS MIDI DRESS DADA BORDIR PITA PINGGANG AG2102:PASTEL BLUE:12:SOLID:SS MIDI DRES</t>
  </si>
  <si>
    <t>AG2103</t>
  </si>
  <si>
    <t>SS MIDI DRESS SL BAWAH CHIFFON GEBER AG2103:PASTEL PINK:4:SOLID:SS MIDI DRESS</t>
  </si>
  <si>
    <t>SS MIDI DRESS SL BAWAH CHIFFON GEBER AG2103:PASTEL PINK:5:SOLID:SS MIDI DRESS</t>
  </si>
  <si>
    <t>SS MIDI DRESS SL BAWAH CHIFFON GEBER AG2103:PASTEL PINK:6:SOLID:SS MIDI DRESS</t>
  </si>
  <si>
    <t>SS MIDI DRESS SL BAWAH CHIFFON GEBER AG2103:PASTEL PINK:8:SOLID:SS MIDI DRESS</t>
  </si>
  <si>
    <t>SS MIDI DRESS SL BAWAH CHIFFON GEBER AG2103:PASTEL PINK:10:SOLID:SS MIDI DRESS</t>
  </si>
  <si>
    <t>SS MIDI DRESS SL BAWAH CHIFFON GEBER AG2103:PASTEL PINK:12:SOLID:SS MIDI DRESS</t>
  </si>
  <si>
    <t>AG2900Q4</t>
  </si>
  <si>
    <t>SS MIDI DRESS LEHER KERUT ROK ZIGZAG AG2900Q4:DUSTY PINK:4:SOLID:SS MIDI DRES</t>
  </si>
  <si>
    <t>SS MIDI DRESS LEHER KERUT ROK ZIGZAG AG2900Q4:DUSTY PINK:5:SOLID:SS MIDI DRES</t>
  </si>
  <si>
    <t>SS MIDI DRESS LEHER KERUT ROK ZIGZAG AG2900Q4:DUSTY PINK:6:SOLID:SS MIDI DRES</t>
  </si>
  <si>
    <t>SS MIDI DRESS LEHER KERUT ROK ZIGZAG AG2900Q4:DUSTY PINK:8:SOLID:SS MIDI DRES</t>
  </si>
  <si>
    <t>SS MIDI DRESS LEHER KERUT ROK ZIGZAG AG2900Q4:DUSTY PINK:10:SOLID:SS MIDI DRES</t>
  </si>
  <si>
    <t>SS MIDI DRESS LEHER KERUT ROK ZIGZAG AG2900Q4:DUSTY PINK:12:SOLID:SS MIDI DRES</t>
  </si>
  <si>
    <t>AG2897Q4</t>
  </si>
  <si>
    <t>SS MIDI DRESS GEBER TILE ROCK SUSUN GRADASI AG2897Q4:CORAL:4:SOLID:SS MIDI DRE</t>
  </si>
  <si>
    <t>SS MIDI DRESS GEBER TILE ROCK SUSUN GRADASI AG2897Q4:CORAL:5:SOLID:SS MIDI DRE</t>
  </si>
  <si>
    <t>SS MIDI DRESS GEBER TILE ROCK SUSUN GRADASI AG2897Q4:CORAL:6:SOLID:SS MIDI DRE</t>
  </si>
  <si>
    <t>SS MIDI DRESS GEBER TILE ROCK SUSUN GRADASI AG2897Q4:CORAL:8:SOLID:SS MIDI DRE</t>
  </si>
  <si>
    <t>SS MIDI DRESS GEBER TILE ROCK SUSUN GRADASI AG2897Q4:CORAL:10:SOLID:SS MIDI DRE</t>
  </si>
  <si>
    <t>SS MIDI DRESS GEBER TILE ROCK SUSUN GRADASI AG2897Q4:CORAL:12:SOLID:SS MIDI DRE</t>
  </si>
  <si>
    <t>AG2928Q4</t>
  </si>
  <si>
    <t>SS MIDI DRESS SS UNICRON TILE RAINBOW AG2928Q4:CORAL:4:GRAPHIC:SS MIDI DRES</t>
  </si>
  <si>
    <t>SS MIDI DRESS SS UNICRON TILE RAINBOW AG2928Q4:CORAL:5:GRAPHIC:SS MIDI DRES</t>
  </si>
  <si>
    <t>SS MIDI DRESS SS UNICRON TILE RAINBOW AG2928Q4:CORAL:6:GRAPHIC:SS MIDI DRES</t>
  </si>
  <si>
    <t>SS MIDI DRESS SS UNICRON TILE RAINBOW AG2928Q4:CORAL:8:GRAPHIC:SS MIDI DRES</t>
  </si>
  <si>
    <t>SS MIDI DRESS SS UNICRON TILE RAINBOW AG2928Q4:CORAL:10:GRAPHIC:SS MIDI DRES</t>
  </si>
  <si>
    <t>SS MIDI DRESS SS UNICRON TILE RAINBOW AG2928Q4:CORAL:12:GRAPHIC:SS MIDI DRES</t>
  </si>
  <si>
    <t>AG3005Q4</t>
  </si>
  <si>
    <t>SS MIDI DRESS PAYET DADA TANGAN BALON AG3005Q4:CLASSIC RED:4:TEXTURE:SS MIDI DRES</t>
  </si>
  <si>
    <t>SS MIDI DRESS PAYET DADA TANGAN BALON AG3005Q4:CLASSIC RED:5:TEXTURE:SS MIDI DRES</t>
  </si>
  <si>
    <t>SS MIDI DRESS PAYET DADA TANGAN BALON AG3005Q4:CLASSIC RED:6:TEXTURE:SS MIDI DRES</t>
  </si>
  <si>
    <t>SS MIDI DRESS PAYET DADA TANGAN BALON AG3005Q4:CLASSIC RED:8:TEXTURE:SS MIDI DRES</t>
  </si>
  <si>
    <t>SS MIDI DRESS PAYET DADA TANGAN BALON AG3005Q4:CLASSIC RED:10:TEXTURE:SS MIDI DRES</t>
  </si>
  <si>
    <t>SS MIDI DRESS PAYET DADA TANGAN BALON AG3005Q4:CLASSIC RED:12:TEXTURE:SS MIDI DRES</t>
  </si>
  <si>
    <t>AG2949Q4</t>
  </si>
  <si>
    <t>SS MIDI DRESS SL UNICORN GEBER BAWAH TILE AG2949Q4:PASTEL YELL:4:GRAPHIC:SS MIDI DRE</t>
  </si>
  <si>
    <t>SS MIDI DRESS SL UNICORN GEBER BAWAH TILE AG2949Q4:PASTEL YELL:5:GRAPHIC:SS MIDI DRE</t>
  </si>
  <si>
    <t>SS MIDI DRESS SL UNICORN GEBER BAWAH TILE AG2949Q4:PASTEL YELL:6:GRAPHIC:SS MIDI DRE</t>
  </si>
  <si>
    <t>SS MIDI DRESS SL UNICORN GEBER BAWAH TILE AG2949Q4:PASTEL YELL:8:GRAPHIC:SS MIDI DRE</t>
  </si>
  <si>
    <t>SS MIDI DRESS SL UNICORN GEBER BAWAH TILE AG2949Q4:PASTEL YELL:10:GRAPHIC:SS MIDI DRE</t>
  </si>
  <si>
    <t>SS MIDI DRESS SL UNICORN GEBER BAWAH TILE AG2949Q4:PASTEL YELL:12:GRAPHIC:SS MIDI DRE</t>
  </si>
  <si>
    <t>EV210801</t>
  </si>
  <si>
    <t>SS MIDI DRESS BORDIR BUNGA KRAH QIPAO EV210801:PASTEL PINK:4:FLORAL:SS MIDI DRES</t>
  </si>
  <si>
    <t>SS MIDI DRESS BORDIR BUNGA KRAH QIPAO EV210801:PASTEL PINK:5:FLORAL:SS MIDI DRES</t>
  </si>
  <si>
    <t>SS MIDI DRESS BORDIR BUNGA KRAH QIPAO EV210801:PASTEL PINK:6:FLORAL:SS MIDI DRES</t>
  </si>
  <si>
    <t>SS MIDI DRESS BORDIR BUNGA KRAH QIPAO EV210801:PASTEL PINK:8:FLORAL:SS MIDI DRES</t>
  </si>
  <si>
    <t>SS MIDI DRESS BORDIR BUNGA KRAH QIPAO EV210801:PASTEL PINK:10:FLORAL:SS MIDI DRES</t>
  </si>
  <si>
    <t>SS MIDI DRESS BORDIR BUNGA KRAH QIPAO EV210801:PASTEL PINK:12:FLORAL:SS MIDI DRES</t>
  </si>
  <si>
    <t>AG2970Q4</t>
  </si>
  <si>
    <t>SS MIDI DRESS TANGAN TULIP PGG PITA PAYET TABUR AG2970Q4:DUSTY PINK:4:TEXTURE:SS MIDI DR</t>
  </si>
  <si>
    <t>SS MIDI DRESS TANGAN TULIP PGG PITA PAYET TABUR AG2970Q4:DUSTY PINK:5:TEXTURE:SS MIDI DR</t>
  </si>
  <si>
    <t>SS MIDI DRESS TANGAN TULIP PGG PITA PAYET TABUR AG2970Q4:DUSTY PINK:6:TEXTURE:SS MIDI DR</t>
  </si>
  <si>
    <t>SS MIDI DRESS TANGAN TULIP PGG PITA PAYET TABUR AG2970Q4:DUSTY PINK:8:TEXTURE:SS MIDI DR</t>
  </si>
  <si>
    <t>SS MIDI DRESS TANGAN TULIP PGG PITA PAYET TABUR AG2970Q4:DUSTY PINK:10:TEXTURE:SS MIDI DR</t>
  </si>
  <si>
    <t>SS MIDI DRESS TANGAN TULIP PGG PITA PAYET TABUR AG2970Q4:DUSTY PINK:12:TEXTURE:SS MIDI DR</t>
  </si>
  <si>
    <t>AG2843Q4</t>
  </si>
  <si>
    <t>SS MIDI DRESS DADA BUNGAN TILE RAINBOW AG2843Q4:OFF WHITE:4:GRAPHIC:SS MIDI DRES</t>
  </si>
  <si>
    <t>SS MIDI DRESS DADA BUNGAN TILE RAINBOW AG2843Q4:OFF WHITE:5:GRAPHIC:SS MIDI DRES</t>
  </si>
  <si>
    <t>SS MIDI DRESS DADA BUNGAN TILE RAINBOW AG2843Q4:OFF WHITE:6:GRAPHIC:SS MIDI DRES</t>
  </si>
  <si>
    <t>SS MIDI DRESS DADA BUNGAN TILE RAINBOW AG2843Q4:OFF WHITE:8:GRAPHIC:SS MIDI DRES</t>
  </si>
  <si>
    <t>SS MIDI DRESS DADA BUNGAN TILE RAINBOW AG2843Q4:OFF WHITE:10:GRAPHIC:SS MIDI DRES</t>
  </si>
  <si>
    <t>SS MIDI DRESS DADA BUNGAN TILE RAINBOW AG2843Q4:OFF WHITE:12:GRAPHIC:SS MIDI DRES</t>
  </si>
  <si>
    <t>AG2997Q4</t>
  </si>
  <si>
    <t>SS MIDI DRESS BUNGA TIMBUL BAWAH TILE YURE AG2997Q4:CORAL:4:TEXTURE:SS MIDI DRE</t>
  </si>
  <si>
    <t>SS MIDI DRESS BUNGA TIMBUL BAWAH TILE YURE AG2997Q4:CORAL:5:TEXTURE:SS MIDI DRE</t>
  </si>
  <si>
    <t>SS MIDI DRESS BUNGA TIMBUL BAWAH TILE YURE AG2997Q4:CORAL:6:TEXTURE:SS MIDI DRE</t>
  </si>
  <si>
    <t>SS MIDI DRESS BUNGA TIMBUL BAWAH TILE YURE AG2997Q4:CORAL:8:TEXTURE:SS MIDI DRE</t>
  </si>
  <si>
    <t>SS MIDI DRESS BUNGA TIMBUL BAWAH TILE YURE AG2997Q4:CORAL:10:TEXTURE:SS MIDI DRE</t>
  </si>
  <si>
    <t>SS MIDI DRESS BUNGA TIMBUL BAWAH TILE YURE AG2997Q4:CORAL:12:TEXTURE:SS MIDI DRE</t>
  </si>
  <si>
    <t>AG3042Q1</t>
  </si>
  <si>
    <t>SS MIDI DRESS TILE ONDE SUSUN KERUT AG3042Q1:DUSTY PINK:4:SOLID:SS MIDI DRESS</t>
  </si>
  <si>
    <t>SS MIDI DRESS TILE ONDE SUSUN KERUT AG3042Q1:DUSTY PINK:5:SOLID:SS MIDI DRESS</t>
  </si>
  <si>
    <t>SS MIDI DRESS TILE ONDE SUSUN KERUT AG3042Q1:DUSTY PINK:6:SOLID:SS MIDI DRESS</t>
  </si>
  <si>
    <t>SS MIDI DRESS TILE ONDE SUSUN KERUT AG3042Q1:DUSTY PINK:8:SOLID:SS MIDI DRESS</t>
  </si>
  <si>
    <t>SS MIDI DRESS TILE ONDE SUSUN KERUT AG3042Q1:DUSTY PINK:10:SOLID:SS MIDI DRESS</t>
  </si>
  <si>
    <t>SS MIDI DRESS TILE ONDE SUSUN KERUT AG3042Q1:DUSTY PINK:12:SOLID:SS MIDI DRESS</t>
  </si>
  <si>
    <t>AG2930Q4</t>
  </si>
  <si>
    <t>SS MIDI DRESS BROCADE DADA WITH PEARL PINGGANG AG2930Q4:PASTEL PIN:4:SOLID:SS MIDI DR</t>
  </si>
  <si>
    <t>SS MIDI DRESS BROCADE DADA WITH PEARL PINGGANG AG2930Q4:PASTEL PIN:5:SOLID:SS MIDI DR</t>
  </si>
  <si>
    <t>SS MIDI DRESS BROCADE DADA WITH PEARL PINGGANG AG2930Q4:PASTEL PIN:6:SOLID:SS MIDI DR</t>
  </si>
  <si>
    <t>SS MIDI DRESS BROCADE DADA WITH PEARL PINGGANG AG2930Q4:PASTEL PIN:8:SOLID:SS MIDI DR</t>
  </si>
  <si>
    <t>SS MIDI DRESS BROCADE DADA WITH PEARL PINGGANG AG2930Q4:PASTEL PIN:10:SOLID:SS MIDI DR</t>
  </si>
  <si>
    <t>SS MIDI DRESS BROCADE DADA WITH PEARL PINGGANG AG2930Q4:PASTEL PIN:12:SOLID:SS MIDI DR</t>
  </si>
  <si>
    <t>SS268</t>
  </si>
  <si>
    <t>SS MIDI DRESS FLOWER PIPING TANGAN TULIP SS268:OFF WHITE:4:PRINT:SS MIDI DRES</t>
  </si>
  <si>
    <t>SS MIDI DRESS FLOWER PIPING TANGAN TULIP SS268:OFF WHITE:5:PRINT:SS MIDI DRES</t>
  </si>
  <si>
    <t>SS MIDI DRESS FLOWER PIPING TANGAN TULIP SS268:OFF WHITE:6:PRINT:SS MIDI DRES</t>
  </si>
  <si>
    <t>SS MIDI DRESS FLOWER PIPING TANGAN TULIP SS268:OFF WHITE:8:PRINT:SS MIDI DRES</t>
  </si>
  <si>
    <t>SS MIDI DRESS FLOWER PIPING TANGAN TULIP SS268:OFF WHITE:10:PRINT:SS MIDI DRES</t>
  </si>
  <si>
    <t>SS MIDI DRESS FLOWER PIPING TANGAN TULIP SS268:OFF WHITE:12:PRINT:SS MIDI DRES</t>
  </si>
  <si>
    <t>AN169</t>
  </si>
  <si>
    <t>D SS KOTAK KERUT PINGGANG AN169:PASTEL YELLOW:4</t>
  </si>
  <si>
    <t>D SS KOTAK KERUT PINGGANG AN169:PASTEL YELLOW:5</t>
  </si>
  <si>
    <t>D SS KOTAK KERUT PINGGANG AN169:PASTEL YELLOW:6</t>
  </si>
  <si>
    <t>D SS KOTAK KERUT PINGGANG AN169:PASTEL YELLOW:8</t>
  </si>
  <si>
    <t>D SS KOTAK KERUT PINGGANG AN169:PASTEL YELLOW:10</t>
  </si>
  <si>
    <t>D SS KOTAK KERUT PINGGANG AN169:PASTEL YELLOW:12</t>
  </si>
  <si>
    <t>AN168</t>
  </si>
  <si>
    <t>D SS KOTAK LIPAT PGG PIPING:PASTEL PINK:4</t>
  </si>
  <si>
    <t>D SS KOTAK LIPAT PGG PIPING:PASTEL PINK:5</t>
  </si>
  <si>
    <t>D SS KOTAK LIPAT PGG PIPING:PASTEL PINK:6</t>
  </si>
  <si>
    <t>D SS KOTAK LIPAT PGG PIPING:PASTEL PINK:8</t>
  </si>
  <si>
    <t>D SS KOTAK LIPAT PGG PIPING:PASTEL PINK:10</t>
  </si>
  <si>
    <t>D SS KOTAK LIPAT PGG PIPING:PASTEL PINK:12</t>
  </si>
  <si>
    <t>SS275</t>
  </si>
  <si>
    <t>LS MIDI DRESS STRIPE FLOWER TANGAN BALON SS275:OFF WHITE:4:STRIPE:LS MIDI DRES</t>
  </si>
  <si>
    <t>LS MIDI DRESS STRIPE FLOWER TANGAN BALON SS275:OFF WHITE:5:STRIPE:LS MIDI DRES</t>
  </si>
  <si>
    <t>LS MIDI DRESS STRIPE FLOWER TANGAN BALON SS275:OFF WHITE:6:STRIPE:LS MIDI DRES</t>
  </si>
  <si>
    <t>LS MIDI DRESS STRIPE FLOWER TANGAN BALON SS275:OFF WHITE:8:STRIPE:LS MIDI DRES</t>
  </si>
  <si>
    <t>LS MIDI DRESS STRIPE FLOWER TANGAN BALON SS275:OFF WHITE:10:STRIPE:LS MIDI DRES</t>
  </si>
  <si>
    <t>LS MIDI DRESS STRIPE FLOWER TANGAN BALON SS275:OFF WHITE:12:STRIPE:LS MIDI DRES</t>
  </si>
  <si>
    <t>MERV203</t>
  </si>
  <si>
    <t>SS MIDI DRESS BUNGA PINGGANG PITA PINK TANGAN GEBER MERV203:PASTEL GR:4:PRINT:SS MIDI D</t>
  </si>
  <si>
    <t>SS MIDI DRESS BUNGA PINGGANG PITA PINK TANGAN GEBER MERV203:PASTEL GR:5:PRINT:SS MIDI D</t>
  </si>
  <si>
    <t>SS MIDI DRESS BUNGA PINGGANG PITA PINK TANGAN GEBER MERV203:PASTEL GR:6:PRINT:SS MIDI D</t>
  </si>
  <si>
    <t>SS MIDI DRESS BUNGA PINGGANG PITA PINK TANGAN GEBER MERV203:PASTEL GR:8:PRINT:SS MIDI D</t>
  </si>
  <si>
    <t>SS MIDI DRESS BUNGA PINGGANG PITA PINK TANGAN GEBER MERV203:PASTEL GR:10:PRINT:SS MIDI D</t>
  </si>
  <si>
    <t>SS MIDI DRESS BUNGA PINGGANG PITA PINK TANGAN GEBER MERV203:PASTEL GR:12:PRINT:SS MIDI D</t>
  </si>
  <si>
    <t>AN137</t>
  </si>
  <si>
    <t>D SL POLKADOT KOMB STRIPE:SALMON:4</t>
  </si>
  <si>
    <t>D SL POLKADOT KOMB STRIPE:SALMON:5</t>
  </si>
  <si>
    <t>D SL POLKADOT KOMB STRIPE:SALMON:6</t>
  </si>
  <si>
    <t>D SL POLKADOT KOMB STRIPE:SALMON:8</t>
  </si>
  <si>
    <t>D SL POLKADOT KOMB STRIPE:SALMON:10</t>
  </si>
  <si>
    <t>D SL POLKADOT KOMB STRIPE:SALMON:12</t>
  </si>
  <si>
    <t>SS267</t>
  </si>
  <si>
    <t>D SL STRIPE KOMB SOLID WITH TIED:NAVY BLUE:4</t>
  </si>
  <si>
    <t>D SL STRIPE KOMB SOLID WITH TIED:NAVY BLUE:5</t>
  </si>
  <si>
    <t>D SL STRIPE KOMB SOLID WITH TIED:NAVY BLUE:6</t>
  </si>
  <si>
    <t>D SL STRIPE KOMB SOLID WITH TIED:NAVY BLUE:8</t>
  </si>
  <si>
    <t>D SL STRIPE KOMB SOLID WITH TIED:NAVY BLUE:10</t>
  </si>
  <si>
    <t>D SL STRIPE KOMB SOLID WITH TIED:NAVY BLUE:12</t>
  </si>
  <si>
    <t>AN164</t>
  </si>
  <si>
    <t>D SS STRIPE WITH KOMB SOLID RIBBON:NAVY BLUE:4</t>
  </si>
  <si>
    <t>D SS STRIPE WITH KOMB SOLID RIBBON:NAVY BLUE:5</t>
  </si>
  <si>
    <t>D SS STRIPE WITH KOMB SOLID RIBBON:NAVY BLUE:6</t>
  </si>
  <si>
    <t>D SS STRIPE WITH KOMB SOLID RIBBON:NAVY BLUE:8</t>
  </si>
  <si>
    <t>D SS STRIPE WITH KOMB SOLID RIBBON:NAVY BLUE:10</t>
  </si>
  <si>
    <t>D SS STRIPE WITH KOMB SOLID RIBBON:NAVY BLUE:12</t>
  </si>
  <si>
    <t>R910</t>
  </si>
  <si>
    <t>LS MIDI DRESS PIQUE SALUR BUNGA ROSE R910:PASTEL PINK:4:PRINT:SS MIDI DRESS</t>
  </si>
  <si>
    <t>LS MIDI DRESS PIQUE SALUR BUNGA ROSE R910:PASTEL PINK:5:PRINT:SS MIDI DRESS</t>
  </si>
  <si>
    <t>LS MIDI DRESS PIQUE SALUR BUNGA ROSE R910:PASTEL PINK:6:PRINT:SS MIDI DRESS</t>
  </si>
  <si>
    <t>LS MIDI DRESS PIQUE SALUR BUNGA ROSE R910:PASTEL PINK:8:PRINT:SS MIDI DRESS</t>
  </si>
  <si>
    <t>LS MIDI DRESS PIQUE SALUR BUNGA ROSE R910:PASTEL PINK:10:PRINT:SS MIDI DRESS</t>
  </si>
  <si>
    <t>LS MIDI DRESS PIQUE SALUR BUNGA ROSE R910:PASTEL PINK:12:PRINT:SS MIDI DRESS</t>
  </si>
  <si>
    <t>AN141</t>
  </si>
  <si>
    <t>D SS FP FLAMINGO TGN BEGER:TURQOUISE:4</t>
  </si>
  <si>
    <t>D SS FP FLAMINGO TGN BEGER:TURQOUISE:5</t>
  </si>
  <si>
    <t>D SS FP FLAMINGO TGN BEGER:TURQOUISE:6</t>
  </si>
  <si>
    <t>D SS FP FLAMINGO TGN BEGER:TURQOUISE:8</t>
  </si>
  <si>
    <t>D SS FP FLAMINGO TGN BEGER:TURQOUISE:10</t>
  </si>
  <si>
    <t>D SS FP FLAMINGO TGN BEGER:TURQOUISE:12</t>
  </si>
  <si>
    <t>SS272</t>
  </si>
  <si>
    <t>SS MIDI DRESS STRIPE PIQUE BIG STRIPE SS272:NAVY BLUE:4:STRIPE:SS MIDI DRESS</t>
  </si>
  <si>
    <t>SS MIDI DRESS STRIPE PIQUE BIG STRIPE SS272:NAVY BLUE:5:STRIPE:SS MIDI DRESS</t>
  </si>
  <si>
    <t>SS MIDI DRESS STRIPE PIQUE BIG STRIPE SS272:NAVY BLUE:6:STRIPE:SS MIDI DRESS</t>
  </si>
  <si>
    <t>SS MIDI DRESS STRIPE PIQUE BIG STRIPE SS272:NAVY BLUE:8:STRIPE:SS MIDI DRESS</t>
  </si>
  <si>
    <t>SS MIDI DRESS STRIPE PIQUE BIG STRIPE SS272:NAVY BLUE:10:STRIPE:SS MIDI DRESS</t>
  </si>
  <si>
    <t>SS MIDI DRESS STRIPE PIQUE BIG STRIPE SS272:NAVY BLUE:12:STRIPE:SS MIDI DRESS</t>
  </si>
  <si>
    <t>R913</t>
  </si>
  <si>
    <t>SS MIDI DRESS MINI FLOWER PINGGANG LIPIT R913:PASTEL PINK:4:PRINT:SS MIDI DRES</t>
  </si>
  <si>
    <t>SS MIDI DRESS MINI FLOWER PINGGANG LIPIT R913:PASTEL PINK:5:PRINT:SS MIDI DRES</t>
  </si>
  <si>
    <t>SS MIDI DRESS MINI FLOWER PINGGANG LIPIT R913:PASTEL PINK:6:PRINT:SS MIDI DRES</t>
  </si>
  <si>
    <t>SS MIDI DRESS MINI FLOWER PINGGANG LIPIT R913:PASTEL PINK:8:PRINT:SS MIDI DRES</t>
  </si>
  <si>
    <t>SS MIDI DRESS MINI FLOWER PINGGANG LIPIT R913:PASTEL PINK:10:PRINT:SS MIDI DRES</t>
  </si>
  <si>
    <t>SS MIDI DRESS MINI FLOWER PINGGANG LIPIT R913:PASTEL PINK:12:PRINT:SS MIDI DRES</t>
  </si>
  <si>
    <t>SS266</t>
  </si>
  <si>
    <t>SS MIDI DRESS LEHER LIPAT UNICORN SS266:PASTEL BLUE:4:PRINT:SS MIDI DRESS</t>
  </si>
  <si>
    <t>SS MIDI DRESS LEHER LIPAT UNICORN SS266:PASTEL BLUE:5:PRINT:SS MIDI DRESS</t>
  </si>
  <si>
    <t>SS MIDI DRESS LEHER LIPAT UNICORN SS266:PASTEL BLUE:6:PRINT:SS MIDI DRESS</t>
  </si>
  <si>
    <t>SS MIDI DRESS LEHER LIPAT UNICORN SS266:PASTEL BLUE:8:PRINT:SS MIDI DRESS</t>
  </si>
  <si>
    <t>SS MIDI DRESS LEHER LIPAT UNICORN SS266:PASTEL BLUE:10:PRINT:SS MIDI DRESS</t>
  </si>
  <si>
    <t>SS MIDI DRESS LEHER LIPAT UNICORN SS266:PASTEL BLUE:12:PRINT:SS MIDI DRESS</t>
  </si>
  <si>
    <t>SS274</t>
  </si>
  <si>
    <t>LS MIDI DRESS FLOWER DAUN LACE TANGAN SS274:OFF WHITE:4:PRINT:LS MIDI DRESS</t>
  </si>
  <si>
    <t>LS MIDI DRESS FLOWER DAUN LACE TANGAN SS274:OFF WHITE:5:PRINT:LS MIDI DRESS</t>
  </si>
  <si>
    <t>LS MIDI DRESS FLOWER DAUN LACE TANGAN SS274:OFF WHITE:6:PRINT:LS MIDI DRESS</t>
  </si>
  <si>
    <t>LS MIDI DRESS FLOWER DAUN LACE TANGAN SS274:OFF WHITE:8:PRINT:LS MIDI DRESS</t>
  </si>
  <si>
    <t>LS MIDI DRESS FLOWER DAUN LACE TANGAN SS274:OFF WHITE:10:PRINT:LS MIDI DRESS</t>
  </si>
  <si>
    <t>LS MIDI DRESS FLOWER DAUN LACE TANGAN SS274:OFF WHITE:12:PRINT:LS MIDI DRESS</t>
  </si>
  <si>
    <t>AN170</t>
  </si>
  <si>
    <t>SS MAXI DRESS KOTAK LIPAT PINGGANG PIPING AN170:NAVY BLUE:4:STRIPES:SS MAXI DRES</t>
  </si>
  <si>
    <t>SS MAXI DRESS KOTAK LIPAT PINGGANG PIPING AN170:NAVY BLUE:5:STRIPES:SS MAXI DRES</t>
  </si>
  <si>
    <t>SS MAXI DRESS KOTAK LIPAT PINGGANG PIPING AN170:NAVY BLUE:6:STRIPES:SS MAXI DRES</t>
  </si>
  <si>
    <t>SS MAXI DRESS KOTAK LIPAT PINGGANG PIPING AN170:NAVY BLUE:8:STRIPES:SS MAXI DRES</t>
  </si>
  <si>
    <t>SS MAXI DRESS KOTAK LIPAT PINGGANG PIPING AN170:NAVY BLUE:10:STRIPES:SS MAXI DRES</t>
  </si>
  <si>
    <t>SS MAXI DRESS KOTAK LIPAT PINGGANG PIPING AN170:NAVY BLUE:12:STRIPES:SS MAXI DRES</t>
  </si>
  <si>
    <t>SS262</t>
  </si>
  <si>
    <t>D SS FP FLAMINGO KOMB POLOS OPN:NAVY BLUE:4</t>
  </si>
  <si>
    <t>D SS FP FLAMINGO KOMB POLOS OPN:NAVY BLUE:5</t>
  </si>
  <si>
    <t>D SS FP FLAMINGO KOMB POLOS OPN:NAVY BLUE:6</t>
  </si>
  <si>
    <t>D SS FP FLAMINGO KOMB POLOS OPN:NAVY BLUE:8</t>
  </si>
  <si>
    <t>D SS FP FLAMINGO KOMB POLOS OPN:NAVY BLUE:10</t>
  </si>
  <si>
    <t>MERV205</t>
  </si>
  <si>
    <t>D SS BGA PINGGIR PIPING:NAVY BLUE:4</t>
  </si>
  <si>
    <t>D SS BGA PINGGIR PIPING:NAVY BLUE:5</t>
  </si>
  <si>
    <t>D SS BGA PINGGIR PIPING:NAVY BLUE:6</t>
  </si>
  <si>
    <t>D SS BGA PINGGIR PIPING:NAVY BLUE:8</t>
  </si>
  <si>
    <t>D SS BGA PINGGIR PIPING:NAVY BLUE:10</t>
  </si>
  <si>
    <t>D SS BGA PINGGIR PIPING:NAVY BLUE:12</t>
  </si>
  <si>
    <t>EV88</t>
  </si>
  <si>
    <t>SS MIDI DRESS SL FULLPRINT BUNGA WITH RENDA PITA PINGGANG EV88:SALMON:4:PRINT:SS MIDI D</t>
  </si>
  <si>
    <t>SS MIDI DRESS SL FULLPRINT BUNGA WITH RENDA PITA PINGGANG EV88:SALMON:5:PRINT:SS MIDI D</t>
  </si>
  <si>
    <t>SS MIDI DRESS SL FULLPRINT BUNGA WITH RENDA PITA PINGGANG EV88:SALMON:6:PRINT:SS MIDI D</t>
  </si>
  <si>
    <t>SS MIDI DRESS SL  FULLPRINT BUNGA WITH RENDA PITA PINGGANG EV88:SALMON:8:PRINT:SS MIDI D</t>
  </si>
  <si>
    <t>SS MIDI DRESS SL FULLPRINT BUNGA WITH RENDA PITA PINGGANG EV88:SALMON:10:PRINT:SS MIDI D</t>
  </si>
  <si>
    <t>SS MIDI DRESS SL FULLPRINT BUNGA WITH RENDA PITA PINGGANG EV88:SALMON:12:PRINT:SS MIDI D</t>
  </si>
  <si>
    <t>SS261</t>
  </si>
  <si>
    <t>SS MIDI DRESS FP BGA ALFABET PITA PGG SS261:PASTEL PINK:4:PRINT:SS MIDI DRESS</t>
  </si>
  <si>
    <t>SS MIDI DRESS FP BGA ALFABET PITA PGG SS261:PASTEL PINK:5:PRINT:SS MIDI DRESS</t>
  </si>
  <si>
    <t>SS MIDI DRESS FP BGA ALFABET PITA PGG SS261:PASTEL PINK:6:PRINT:SS MIDI DRESS</t>
  </si>
  <si>
    <t>SS MIDI DRESS FP BGA ALFABET PITA PGG SS261:PASTEL PINK:8:PRINT:SS MIDI DRESS</t>
  </si>
  <si>
    <t>SS MIDI DRESS FP BGA ALFABET PITA PGG SS261:PASTEL PINK:10:PRINT:SS MIDI DRESS</t>
  </si>
  <si>
    <t>SS MIDI DRESS FP BGA ALFABET PITA PGG SS261:PASTEL PINK:12:PRINT:SS MIDI DRESS</t>
  </si>
  <si>
    <t>R911</t>
  </si>
  <si>
    <t>SS MIDI DRESS SL NAVY FLOWER PIPING R911:NAVY BLUE:4:PRINT:SS MIDI DRESS</t>
  </si>
  <si>
    <t>SS MIDI DRESS SL NAVY FLOWER PIPING R911:NAVY BLUE:5:PRINT:SS MIDI DRESS</t>
  </si>
  <si>
    <t>SS MIDI DRESS SL NAVY FLOWER PIPING R911:NAVY BLUE:6:PRINT:SS MIDI DRESS</t>
  </si>
  <si>
    <t>SS MIDI DRESS SL NAVY FLOWER PIPING R911:NAVY BLUE:8:PRINT:SS MIDI DRESS</t>
  </si>
  <si>
    <t>SS MIDI DRESS SL NAVY FLOWER PIPING R911:NAVY BLUE:10:PRINT:SS MIDI DRESS</t>
  </si>
  <si>
    <t>SS MIDI DRESS SL NAVY FLOWER PIPING R911:NAVY BLUE:12:PRINT:SS MIDI DRESS</t>
  </si>
  <si>
    <t>EV210701</t>
  </si>
  <si>
    <t>SS MIDI DRESS ROMPI BORDIR TAS BGA EV210701:CLASSIC RED:4:PRINT:SS MIDI DRESS</t>
  </si>
  <si>
    <t>SS MIDI DRESS ROMPI BORDIR TAS BGA EV210701:CLASSIC RED:5:PRINT:SS MIDI DRESS</t>
  </si>
  <si>
    <t>SS MIDI DRESS ROMPI BORDIR TAS BGA EV210701:CLASSIC RED:6:PRINT:SS MIDI DRESS</t>
  </si>
  <si>
    <t>SS MIDI DRESS ROMPI BORDIR TAS BGA EV210701:CLASSIC RED:8:PRINT:SS MIDI DRESS</t>
  </si>
  <si>
    <t>SS MIDI DRESS ROMPI BORDIR TAS BGA EV210701:CLASSIC RED:10:PRINT:SS MIDI DRESS</t>
  </si>
  <si>
    <t>SS MIDI DRESS ROMPI BORDIR TAS BGA EV210701:CLASSIC RED:12:PRINT:SS MIDI DRESS</t>
  </si>
  <si>
    <t>SS258</t>
  </si>
  <si>
    <t>SS MIDI DRESS SL FP BGA PGG PLKDT SS258:DUSTY PINK:4:PRINT:SS MIDI DRESS</t>
  </si>
  <si>
    <t>SS MIDI DRESS SL FP BGA PGG PLKDT SS258:DUSTY PINK:5:PRINT:SS MIDI DRESS</t>
  </si>
  <si>
    <t>SS MIDI DRESS SL FP BGA PGG PLKDT SS258:DUSTY PINK:6:PRINT:SS MIDI DRESS</t>
  </si>
  <si>
    <t>SS MIDI DRESS SL FP BGA PGG PLKDT SS258:DUSTY PINK:8:PRINT:SS MIDI DRESS</t>
  </si>
  <si>
    <t>SS MIDI DRESS SL FP BGA PGG PLKDT SS258:DUSTY PINK:10:PRINT:SS MIDI DRESS</t>
  </si>
  <si>
    <t>SS MIDI DRESS SL FP BGA PGG PLKDT SS258:DUSTY PINK:12:PRINT:SS MIDI DRESS</t>
  </si>
  <si>
    <t>MERV204</t>
  </si>
  <si>
    <t>SS MIDI DRESS SL SALUR BUNGA PINGGIR MERV204:NAVY BLUE:4:STRIPES:SS MIDI DRESS</t>
  </si>
  <si>
    <t>SS MIDI DRESS SL SALUR BUNGA PINGGIR MERV204:NAVY BLUE:5:STRIPES:SS MIDI DRESS</t>
  </si>
  <si>
    <t>SS MIDI DRESS SL SALUR BUNGA PINGGIR MERV204:NAVY BLUE:6:STRIPES:SS MIDI DRESS</t>
  </si>
  <si>
    <t>SS MIDI DRESS SL SALUR BUNGA PINGGIR MERV204:NAVY BLUE:8:STRIPES:SS MIDI DRESS</t>
  </si>
  <si>
    <t>SS MIDI DRESS SL SALUR BUNGA PINGGIR MERV204:NAVY BLUE:10:STRIPES:SS MIDI DRESS</t>
  </si>
  <si>
    <t>SS MIDI DRESS SL SALUR BUNGA PINGGIR MERV204:NAVY BLUE:12:STRIPES:SS MIDI DRESS</t>
  </si>
  <si>
    <t>AG210722</t>
  </si>
  <si>
    <t>SS MIDI DRESS TILE RAINBOW TGN GEBER AG210722:PASTEL BLUE:4:OMBRE:SS MIDI DRES</t>
  </si>
  <si>
    <t>SS MIDI DRESS TILE RAINBOW TGN GEBER AG210722:PASTEL BLUE:5:OMBRE:SS MIDI DRES</t>
  </si>
  <si>
    <t>SS MIDI DRESS TILE RAINBOW TGN GEBER AG210722:PASTEL BLUE:6:OMBRE:SS MIDI DRES</t>
  </si>
  <si>
    <t>SS MIDI DRESS TILE RAINBOW TGN GEBER AG210722:PASTEL BLUE:8:OMBRE:SS MIDI DRES</t>
  </si>
  <si>
    <t>SS MIDI DRESS TILE RAINBOW TGN GEBER AG210722:PASTEL BLUE:10:OMBRE:SS MIDI DRES</t>
  </si>
  <si>
    <t>MERV2101</t>
  </si>
  <si>
    <t>SS MIDI DRESS BGA PITA PGG WITH TILE BAWAH MERV2101:NAVY BLUE:4:PRINT:SS MIDI DRE</t>
  </si>
  <si>
    <t>SS MIDI DRESS BGA PITA PGG WITH TILE BAWAH MERV2101:NAVY BLUE:5:PRINT:SS MIDI DRE</t>
  </si>
  <si>
    <t>SS MIDI DRESS BGA PITA PGG WITH TILE BAWAH MERV2101:NAVY BLUE:6:PRINT:SS MIDI DRE</t>
  </si>
  <si>
    <t>SS MIDI DRESS BGA PITA PGG WITH TILE BAWAH MERV2101:NAVY BLUE:8:PRINT:SS MIDI DRE</t>
  </si>
  <si>
    <t>SS MIDI DRESS BGA PITA PGG WITH TILE BAWAH MERV2101:NAVY BLUE:10:PRINT:SS MIDI DRE</t>
  </si>
  <si>
    <t>SS MIDI DRESS BGA PITA PGG WITH TILE BAWAH MERV2101:NAVY BLUE:12:PRINT:SS MIDI DRE</t>
  </si>
  <si>
    <t>EV210902</t>
  </si>
  <si>
    <t>SS MIDI DRESS TANGAN LEHER KERUT TAS MEOW EV210902:WHITE:4:SOLID:SS MIDI DRE</t>
  </si>
  <si>
    <t>SS MIDI DRESS TANGAN LEHER KERUT TAS MEOW EV210902:WHITE:5:SOLID:SS MIDI DRE</t>
  </si>
  <si>
    <t>SS MIDI DRESS TANGAN LEHER KERUT TAS MEOW EV210902:WHITE:6:SOLID:SS MIDI DRE</t>
  </si>
  <si>
    <t>SS MIDI DRESS TANGAN LEHER KERUT TAS MEOW EV210902:WHITE:8:SOLID:SS MIDI DRE</t>
  </si>
  <si>
    <t>SS MIDI DRESS TANGAN LEHER KERUT TAS MEOW EV210902:WHITE:10:SOLID:SS MIDI DRE</t>
  </si>
  <si>
    <t>SS MIDI DRESS TANGAN LEHER KERUT TAS MEOW EV210902:WHITE:12:SOLID:SS MIDI DRE</t>
  </si>
  <si>
    <t>EV210802</t>
  </si>
  <si>
    <t>SS MIDI DRESS KOTAK KANCING DEPAN TAS PUNDAK EV210802:PASTEL PIN:4:CHECKS:SS MIDI DR</t>
  </si>
  <si>
    <t>SS MIDI DRESS KOTAK KANCING DEPAN TAS PUNDAK EV210802:PASTEL PIN:5:CHECKS:SS MIDI DR</t>
  </si>
  <si>
    <t>SS MIDI DRESS KOTAK KANCING DEPAN TAS PUNDAK EV210802:PASTEL PIN:6:CHECKS:SS MIDI DR</t>
  </si>
  <si>
    <t>SS MIDI DRESS KOTAK KANCING DEPAN TAS PUNDAK EV210802:PASTEL PIN:8:CHECKS:SS MIDI DR</t>
  </si>
  <si>
    <t>SS MIDI DRESS KOTAK KANCING DEPAN TAS PUNDAK EV210802:PASTEL PIN:10:CHECKS:SS MIDI DR</t>
  </si>
  <si>
    <t>SS MIDI DRESS KOTAK KANCING DEPAN TAS PUNDAK EV210802:PASTEL PIN:12:CHECKS:SS MIDI DR</t>
  </si>
  <si>
    <t>R908</t>
  </si>
  <si>
    <t>D SL STRIPE SAILING IMAGE:AQUA:4</t>
  </si>
  <si>
    <t>D SL STRIPE SAILING IMAGE:AQUA:5</t>
  </si>
  <si>
    <t>D SL STRIPE SAILING IMAGE:AQUA:6</t>
  </si>
  <si>
    <t>D SL STRIPE SAILING IMAGE:AQUA:8</t>
  </si>
  <si>
    <t>D SL STRIPE SAILING IMAGE:AQUA:10</t>
  </si>
  <si>
    <t>D SL STRIPE SAILING IMAGE:AQUA:12</t>
  </si>
  <si>
    <t>MERV2102</t>
  </si>
  <si>
    <t>OVERALL MIDI SKIRT SS BGA OVL FAKE 2 PCS MERV2102:NAVY BLUE:4:PRINT:OVERALL MID</t>
  </si>
  <si>
    <t>OVERALL MIDI SKIRT SS BGA OVL FAKE 2 PCS MERV2102:NAVY BLUE:5:PRINT:OVERALL MID</t>
  </si>
  <si>
    <t>OVERALL MIDI SKIRT SS BGA OVL FAKE 2 PCS MERV2102:NAVY BLUE:6:PRINT:OVERALL MID</t>
  </si>
  <si>
    <t>OVERALL MIDI SKIRT SS BGA OVL FAKE 2 PCS MERV2102:NAVY BLUE:8:PRINT:OVERALL MID</t>
  </si>
  <si>
    <t>OVERALL MIDI SKIRT SS BGA OVL FAKE 2 PCS MERV2102:NAVY BLUE:10:PRINT:OVERALL MID</t>
  </si>
  <si>
    <t>OVERALL MIDI SKIRT SS BGA OVL FAKE 2 PCS MERV2102:NAVY BLUE:12:PRINT:OVERALL MID</t>
  </si>
  <si>
    <t>EV2109021</t>
  </si>
  <si>
    <t>SS MIDI DRESS FP BGA KRAH BORDIR PIPING DGN TAS SAMP:PASTEL YELL:4:PRINT:SS MIDI DRE</t>
  </si>
  <si>
    <t>SS MIDI DRESS FP BGA KRAH BORDIR PIPING DGN TAS SAMP:PASTEL YELL:5:PRINT:SS MIDI DRE</t>
  </si>
  <si>
    <t>SS MIDI DRESS FP BGA KRAH BORDIR PIPING DGN TAS SAMP:PASTEL YELL:6:PRINT:SS MIDI DRE</t>
  </si>
  <si>
    <t>SS MIDI DRESS FP BGA KRAH BORDIR PIPING DGN TAS SAMP:PASTEL YELL:8:PRINT:SS MIDI DRE</t>
  </si>
  <si>
    <t>SS MIDI DRESS FP BGA KRAH BORDIR PIPING DGN TAS SAMP:PASTEL YELL:10:PRINT:SS MIDI DRE</t>
  </si>
  <si>
    <t>SS MIDI DRESS FP BGA KRAH BORDIR PIPING DGN TAS SAMP:PASTEL YELL:12:PRINT:SS MIDI DRE</t>
  </si>
  <si>
    <t>SS2101</t>
  </si>
  <si>
    <t>SS MIDI DRESS KOTAK DADA RUFFLE TAS BORDIR UNICORN SS2101:CLASSIC R:4:CHECKS:SS MIDI D</t>
  </si>
  <si>
    <t>SS MIDI DRESS KOTAK DADA RUFFLE TAS BORDIR UNICORN SS2101:CLASSIC R:5:CHECKS:SS MIDI D</t>
  </si>
  <si>
    <t>SS MIDI DRESS KOTAK DADA RUFFLE TAS BORDIR UNICORN SS2101:CLASSIC R:6:CHECKS:SS MIDI D</t>
  </si>
  <si>
    <t>SS MIDI DRESS KOTAK DADA RUFFLE TAS BORDIR UNICORN SS2101:CLASSIC R:8:CHECKS:SS MIDI D</t>
  </si>
  <si>
    <t>SS MIDI DRESS KOTAK DADA RUFFLE TAS BORDIR UNICORN SS2101:CLASSIC R:10:CHECKS:SS MIDI D</t>
  </si>
  <si>
    <t>SS MIDI DRESS KOTAK DADA RUFFLE TAS BORDIR UNICORN SS2101:CLASSIC R:12:CHECKS:SS MIDI D</t>
  </si>
  <si>
    <t>SS2102</t>
  </si>
  <si>
    <t>SS MIDI DRESS KRAH LIPAT BORDIRUNICORN KUTUNG SS2102:PASTEL PINK:4:PRINT:SS MIDI DRESS</t>
  </si>
  <si>
    <t>SS MIDI DRESS KRAH LIPAT BORDIRUNICORN KUTUNG SS2102:PASTEL PINK:5:PRINT:SS MIDI DRESS</t>
  </si>
  <si>
    <t>SS MIDI DRESS KRAH LIPAT BORDIRUNICORN KUTUNG SS2102:PASTEL PINK:6:PRINT:SS MIDI DRESS</t>
  </si>
  <si>
    <t>SS MIDI DRESS KRAH LIPAT BORDIRUNICORN KUTUNG SS2102:PASTEL PINK:8:PRINT:SS MIDI DRESS</t>
  </si>
  <si>
    <t>SS MIDI DRESS KRAH LIPAT BORDIRUNICORN KUTUNG SS2102:PASTEL PINK:10:PRINT:SS MIDI DRESS</t>
  </si>
  <si>
    <t>SS MIDI DRESS KRAH LIPAT BORDIRUNICORN KUTUNG SS2102:PASTEL PINK:12:PRINT:SS MIDI DRESS</t>
  </si>
  <si>
    <t>EV210903</t>
  </si>
  <si>
    <t>SS MIDI DRESS TANGAN RANDA DADA SALUR BAWAH FP EV210903:CLASSIC OR:4:PRINT:SS MIDI DR</t>
  </si>
  <si>
    <t>SS MIDI DRESS TANGAN RANDA DADA SALUR BAWAH FP EV210903:CLASSIC OR:5:PRINT:SS MIDI DR</t>
  </si>
  <si>
    <t>SS MIDI DRESS TANGAN RANDA DADA SALUR BAWAH FP EV210903:CLASSIC OR:6:PRINT:SS MIDI DR</t>
  </si>
  <si>
    <t>SS MIDI DRESS TANGAN RANDA DADA SALUR BAWAH FP EV210903:CLASSIC OR:8:PRINT:SS MIDI DR</t>
  </si>
  <si>
    <t>SS MIDI DRESS TANGAN RANDA DADA SALUR BAWAH FP EV210903:CLASSIC OR:10:PRINT:SS MIDI DR</t>
  </si>
  <si>
    <t>SS MIDI DRESS TANGAN RANDA DADA SALUR BAWAH FP EV210903:CLASSIC OR:12:PRINT:SS MIDI DR</t>
  </si>
  <si>
    <t>LEBM2012</t>
  </si>
  <si>
    <t>BAMUS BORDIR SUSUN 3 GEBER:OFF WHITE:4</t>
  </si>
  <si>
    <t>BAMUS BORDIR SUSUN 3 GEBER:OFF WHITE:5</t>
  </si>
  <si>
    <t>BAMUS BORDIR SUSUN 3 GEBER:OFF WHITE:6</t>
  </si>
  <si>
    <t>BAMUS BORDIR SUSUN 3 GEBER:OFF WHITE:8</t>
  </si>
  <si>
    <t>BAMUS BORDIR SUSUN 3 GEBER:OFF WHITE:10</t>
  </si>
  <si>
    <t>BAMUS BORDIR SUSUN 3 GEBER:OFF WHITE:12</t>
  </si>
  <si>
    <t>LEBDW206</t>
  </si>
  <si>
    <t>BAMUS OVL VMB PGG PEARL:SALMON:4</t>
  </si>
  <si>
    <t>BAMUS OVL VMB PGG PEARL:SALMON:5</t>
  </si>
  <si>
    <t>BAMUS OVL VMB PGG PEARL:SALMON:6</t>
  </si>
  <si>
    <t>BAMUS OVL VMB PGG PEARL:SALMON:8</t>
  </si>
  <si>
    <t>BAMUS OVL VMB PGG PEARL:SALMON:10</t>
  </si>
  <si>
    <t>BAMUS OVL VMB PGG PEARL:SALMON:12</t>
  </si>
  <si>
    <t>LEBM2004</t>
  </si>
  <si>
    <t>LS MAXI DRESS BAJU MUSLIM DOLBY BORDIR ZIGZAG LEBM2004:MAROON:4:SOLID:LS MAXI DR</t>
  </si>
  <si>
    <t>LS MAXI DRESS BAJU MUSLIM DOLBY BORDIR ZIGZAG LEBM2004:MAROON:5:SOLID:LS MAXI DR</t>
  </si>
  <si>
    <t>LS MAXI DRESS BAJU MUSLIM DOLBY BORDIR ZIGZAG LEBM2004:MAROON:6:SOLID:LS MAXI DR</t>
  </si>
  <si>
    <t>LS MAXI DRESS BAJU MUSLIM DOLBY BORDIR ZIGZAG LEBM2004:MAROON:8:SOLID:LS MAXI DR</t>
  </si>
  <si>
    <t>LS MAXI DRESS BAJU MUSLIM DOLBY BORDIR ZIGZAG LEBM2004:MAROON:10:SOLID:LS MAXI DR</t>
  </si>
  <si>
    <t>LS MAXI DRESS BAJU MUSLIM DOLBY BORDIR ZIGZAG LEBM2004:MAROON:12:SOLID:LS MAXI DR</t>
  </si>
  <si>
    <t>LEBI2016</t>
  </si>
  <si>
    <t>BAMUS DOBY POLOS KERUT PGG:BUBBLEGUM PINK:4</t>
  </si>
  <si>
    <t>BAMUS DOBY POLOS KERUT PGG:BUBBLEGUM PINK:5</t>
  </si>
  <si>
    <t>BAMUS DOBY POLOS KERUT PGG:BUBBLEGUM PINK:6</t>
  </si>
  <si>
    <t>BAMUS DOBY POLOS KERUT PGG:BUBBLEGUM PINK:8</t>
  </si>
  <si>
    <t>BAMUS DOBY POLOS KERUT PGG:BUBBLEGUM PINK:10</t>
  </si>
  <si>
    <t>BAMUS DOBY POLOS KERUT PGG:BUBBLEGUM PINK:12</t>
  </si>
  <si>
    <t>LEBI2017</t>
  </si>
  <si>
    <t>BAMUS DOBY POLOS HOODY:NAVY BLUE:4</t>
  </si>
  <si>
    <t>BAMUS DOBY POLOS HOODY:NAVY BLUE:5</t>
  </si>
  <si>
    <t>BAMUS DOBY POLOS HOODY:NAVY BLUE:6</t>
  </si>
  <si>
    <t>BAMUS DOBY POLOS HOODY:NAVY BLUE:8</t>
  </si>
  <si>
    <t>BAMUS DOBY POLOS HOODY:NAVY BLUE:10</t>
  </si>
  <si>
    <t>BAMUS DOBY POLOS HOODY:NAVY BLUE:12</t>
  </si>
  <si>
    <t>LEBM2002</t>
  </si>
  <si>
    <t>BAMUS FP BGA TGN DOBEL:DUSTY PINK:4</t>
  </si>
  <si>
    <t>BAMUS FP BGA TGN DOBEL:DUSTY PINK:5</t>
  </si>
  <si>
    <t>BAMUS FP BGA TGN DOBEL:DUSTY PINK:6</t>
  </si>
  <si>
    <t>BAMUS FP BGA TGN DOBEL:DUSTY PINK:8</t>
  </si>
  <si>
    <t>BAMUS FP BGA TGN DOBEL:DUSTY PINK:10</t>
  </si>
  <si>
    <t>BAMUS FP BGA TGN DOBEL:DUSTY PINK:12</t>
  </si>
  <si>
    <t>LEBMAS212</t>
  </si>
  <si>
    <t>LS MAXI DRESS BAMUS BORDIR DADA TGN BALON KARET LEBMAS212:CORAL:4:FLORAL:LS MAXI D</t>
  </si>
  <si>
    <t>LS MAXI DRESS BAMUS BORDIR DADA TGN BALON KARET LEBMAS212:CORAL:5:FLORAL:LS MAXI D</t>
  </si>
  <si>
    <t>LS MAXI DRESS BAMUS BORDIR DADA TGN BALON KARET LEBMAS212:CORAL:6:FLORAL:LS MAXI D</t>
  </si>
  <si>
    <t>LS MAXI DRESS BAMUS BORDIR DADA TGN BALON KARET LEBMAS212:CORAL:8:FLORAL:LS MAXI D</t>
  </si>
  <si>
    <t>LS MAXI DRESS BAMUS BORDIR DADA TGN BALON KARET LEBMAS212:CORAL:10:FLORAL:LS MAXI D</t>
  </si>
  <si>
    <t>LS MAXI DRESS BAMUS BORDIR DADA TGN BALON KARET LEBMAS212:CORAL:12:FLORAL:LS MAXI D</t>
  </si>
  <si>
    <t>LEBTSB215</t>
  </si>
  <si>
    <t>LS MAXI DRESS BAMUS BODY OVL PITA IKET PGG HDY LEBTSB215:PASTEL GRE:4:SOLID:LS MAXI DR</t>
  </si>
  <si>
    <t>LS MAXI DRESS BAMUS BODY OVL PITA IKET PGG HDY LEBTSB215:PASTEL GRE:5:SOLID:LS MAXI DR</t>
  </si>
  <si>
    <t>LS MAXI DRESS BAMUS BODY OVL PITA IKET PGG HDY LEBTSB215:PASTEL GRE:6:SOLID:LS MAXI DR</t>
  </si>
  <si>
    <t>LS MAXI DRESS BAMUS BODY OVL PITA IKET PGG HDY LEBTSB215:PASTEL GRE:8:SOLID:LS MAXI DR</t>
  </si>
  <si>
    <t>LS MAXI DRESS BAMUS BODY OVL PITA IKET PGG HDY LEBTSB215:PASTEL GRE:10:SOLID:LS MAXI DR</t>
  </si>
  <si>
    <t>LS MAXI DRESS BAMUS BODY OVL PITA IKET PGG HDY LEBTSB215:PASTEL GRE:12:SOLID:LS MAXI DR</t>
  </si>
  <si>
    <t>LEBMAS213</t>
  </si>
  <si>
    <t>LS MAXI DRESS BAMUS BORDIR DADA SUSUN 3 TGN KARET LEBMAS213:MUSTARD:4:FLORAL:LS MAXI D</t>
  </si>
  <si>
    <t>LS MAXI DRESS BAMUS BORDIR DADA SUSUN 3 TGN KARET LEBMAS213:MUSTARD:5:FLORAL:LS MAXI D</t>
  </si>
  <si>
    <t>LS MAXI DRESS BAMUS BORDIR DADA SUSUN 3 TGN KARET LEBMAS213:MUSTARD:6:FLORAL:LS MAXI D</t>
  </si>
  <si>
    <t>LS MAXI DRESS BAMUS BORDIR DADA SUSUN 3 TGN KARET LEBMAS213:MUSTARD:8:FLORAL:LS MAXI D</t>
  </si>
  <si>
    <t>LS MAXI DRESS BAMUS BORDIR DADA SUSUN 3 TGN KARET LEBMAS213:MUSTARD:10:FLORAL:LS MAXI D</t>
  </si>
  <si>
    <t>LS MAXI DRESS BAMUS BORDIR DADA SUSUN 3 TGN KARET LEBMAS213:MUSTARD:12:FLORAL:LS MAXI D</t>
  </si>
  <si>
    <t>LEBMAS214</t>
  </si>
  <si>
    <t>LS MAXI DRESS BAMUS DOBY TGN SUSUN IKAT PGG LEBMAS214:LIGHT BLUE:4:SOLID:LS MAXI DR</t>
  </si>
  <si>
    <t>LS MAXI DRESS BAMUS DOBY TGN SUSUN IKAT PGG LEBMAS214:LIGHT BLUE:5:SOLID:LS MAXI DR</t>
  </si>
  <si>
    <t>LS MAXI DRESS BAMUS DOBY TGN SUSUN IKAT PGG LEBMAS214:LIGHT BLUE:6:SOLID:LS MAXI DR</t>
  </si>
  <si>
    <t>LS MAXI DRESS BAMUS DOBY TGN SUSUN IKAT PGG LEBMAS214:LIGHT BLUE:8:SOLID:LS MAXI DR</t>
  </si>
  <si>
    <t>LS MAXI DRESS BAMUS DOBY TGN SUSUN IKAT PGG LEBMAS214:LIGHT BLUE:10:SOLID:LS MAXI DR</t>
  </si>
  <si>
    <t>LS MAXI DRESS BAMUS DOBY TGN SUSUN IKAT PGG LEBMAS214:LIGHT BLUE:12:SOLID:LS MAXI DR</t>
  </si>
  <si>
    <t>LEBMAS211</t>
  </si>
  <si>
    <t>LS MAXI DRESS BAMUS BORDIR DADA TGN LIPAT BORDIR LEBMAS211:PASTEL PI:4:FLORAL:LS MAXI D</t>
  </si>
  <si>
    <t>LS MAXI DRESS BAMUS BORDIR DADA TGN LIPAT BORDIR LEBMAS211:PASTEL PI:5:FLORAL:LS MAXI D</t>
  </si>
  <si>
    <t>LS MAXI DRESS BAMUS BORDIR DADA TGN LIPAT BORDIR LEBMAS211:PASTEL PI:6:FLORAL:LS MAXI D</t>
  </si>
  <si>
    <t>LS MAXI DRESS BAMUS BORDIR DADA TGN LIPAT BORDIR LEBMAS211:PASTEL PI:8:FLORAL:LS MAXI D</t>
  </si>
  <si>
    <t>LS MAXI DRESS BAMUS BORDIR DADA TGN LIPAT BORDIR LEBMAS211:PASTEL PI:10:FLORAL:LS MAXI D</t>
  </si>
  <si>
    <t>LS MAXI DRESS BAMUS BORDIR DADA TGN LIPAT BORDIR LEBMAS211:PASTEL PI:12:FLORAL:LS MAXI D</t>
  </si>
  <si>
    <t>AG3033Q4</t>
  </si>
  <si>
    <t>SS MIDI DRESS SL SEQUIN DADA BAWAH ZIGZAG AG3033Q4:CORAL:4:GRAPHIC:SS MIDI DRESS</t>
  </si>
  <si>
    <t>SS MIDI DRESS SL SEQUIN DADA BAWAH ZIGZAG AG3033Q4:CORAL:5:GRAPHIC:SS MIDI DRESS</t>
  </si>
  <si>
    <t>SS MIDI DRESS SL SEQUIN DADA BAWAH ZIGZAG AG3033Q4:CORAL:6:GRAPHIC:SS MIDI DRESS</t>
  </si>
  <si>
    <t>SS MIDI DRESS SL SEQUIN DADA BAWAH ZIGZAG AG3033Q4:CORAL:8:GRAPHIC:SS MIDI DRESS</t>
  </si>
  <si>
    <t>SS MIDI DRESS SL SEQUIN DADA BAWAH ZIGZAG AG3033Q4:CORAL:10:GRAPHIC:SS MIDI DRESS</t>
  </si>
  <si>
    <t>SS MIDI DRESS SL SEQUIN DADA BAWAH ZIGZAG AG3033Q4:CORAL:12:GRAPHIC:SS MIDI DRESS</t>
  </si>
  <si>
    <t>AG3044Q1</t>
  </si>
  <si>
    <t>SS MIDI DRESS PAYET PUNDAK PUNGGUNG BAWAH GEBER AG3044Q1:PASTEL BLU:4:SOLID:SS MIDI DR</t>
  </si>
  <si>
    <t>SS MIDI DRESS PAYET PUNDAK PUNGGUNG BAWAH GEBER AG3044Q1:PASTEL BLU:5:SOLID:SS MIDI DR</t>
  </si>
  <si>
    <t>SS MIDI DRESS PAYET PUNDAK PUNGGUNG BAWAH GEBER AG3044Q1:PASTEL BLU:6:SOLID:SS MIDI DR</t>
  </si>
  <si>
    <t>SS MIDI DRESS PAYET PUNDAK PUNGGUNG BAWAH GEBER AG3044Q1:PASTEL BLU:8:SOLID:SS MIDI DR</t>
  </si>
  <si>
    <t>SS MIDI DRESS PAYET PUNDAK PUNGGUNG BAWAH GEBER AG3044Q1:PASTEL BLU:10:SOLID:SS MIDI DR</t>
  </si>
  <si>
    <t>SS MIDI DRESS PAYET PUNDAK PUNGGUNG BAWAH GEBER AG3044Q1:PASTEL BLU:12:SOLID:SS MIDI DR</t>
  </si>
  <si>
    <t>AN178</t>
  </si>
  <si>
    <t>SS MIDI DRESS SL BROKAT BAWAH TILE HILO AN178:NAVY BLUE:4:PRINT:SS MIDI DRES</t>
  </si>
  <si>
    <t>SS MIDI DRESS SL BROKAT BAWAH TILE HILO AN178:NAVY BLUE:5:PRINT:SS MIDI DRES</t>
  </si>
  <si>
    <t>SS MIDI DRESS SL BROKAT BAWAH TILE HILO AN178:NAVY BLUE:6:PRINT:SS MIDI DRES</t>
  </si>
  <si>
    <t>SS MIDI DRESS SL BROKAT BAWAH TILE HILO AN178:NAVY BLUE:8:PRINT:SS MIDI DRES</t>
  </si>
  <si>
    <t>SS MIDI DRESS SL BROKAT BAWAH TILE HILO AN178:NAVY BLUE:10:PRINT:SS MIDI DRES</t>
  </si>
  <si>
    <t>SS MIDI DRESS SL BROKAT BAWAH TILE HILO AN178:NAVY BLUE:12:PRINT:SS MIDI DRES</t>
  </si>
  <si>
    <t>AG2953Q1</t>
  </si>
  <si>
    <t>SS MIDI DRESS SL FLIP SEQUIN UNICORN WITH TILE AG2953Q1:PASTEL PIN:12:GRAPHIC:SS MIDI DR</t>
  </si>
  <si>
    <t>SS MIDI DRESS SL FLIP SEQUIN UNICORN WITH TILE AG2953Q1:PASTEL PIN:4:GRAPHIC:SS MIDI DR</t>
  </si>
  <si>
    <t>SS MIDI DRESS SL FLIP SEQUIN UNICORN WITH TILE AG2953Q1:PASTEL PIN:5:GRAPHIC:SS MIDI DR</t>
  </si>
  <si>
    <t>SS MIDI DRESS SL FLIP SEQUIN UNICORN WITH TILE AG2953Q1:PASTEL PIN:6:GRAPHIC:SS MIDI DR</t>
  </si>
  <si>
    <t>SS MIDI DRESS SL FLIP SEQUIN UNICORN WITH TILE AG2953Q1:PASTEL PIN:8:GRAPHIC:SS MIDI DR</t>
  </si>
  <si>
    <t>SS MIDI DRESS SL FLIP SEQUIN UNICORN WITH TILE AG2953Q1:PASTEL PIN:10:GRAPHIC:SS MIDI DR</t>
  </si>
  <si>
    <t>AG3096</t>
  </si>
  <si>
    <t>SS MIDI DRESS FP FOIL LOVE BAWAH PITA PGG AG3096:GOLDEN BROWN:5:SOLID:SS MIDI DRES</t>
  </si>
  <si>
    <t>SS MIDI DRESS FP FOIL LOVE BAWAH PITA PGG AG3096:GOLDEN BROWN:10:SOLID:SS MIDI DRES</t>
  </si>
  <si>
    <t>SS MIDI DRESS FP FOIL LOVE BAWAH PITA PGG AG3096:GOLDEN BROWN:12:SOLID:SS MIDI DRES</t>
  </si>
  <si>
    <t>SS MIDI DRESS FP FOIL LOVE BAWAH PITA PGG AG3096:GOLDEN BROWN:4:SOLID:SS MIDI DRES</t>
  </si>
  <si>
    <t>SS MIDI DRESS FP FOIL LOVE BAWAH PITA PGG AG3096:GOLDEN BROWN:6:SOLID:SS MIDI DRES</t>
  </si>
  <si>
    <t>SS MIDI DRESS FP FOIL LOVE BAWAH PITA PGG AG3096:GOLDEN BROWN:8:SOLID:SS MIDI DRES</t>
  </si>
  <si>
    <t>AG3088</t>
  </si>
  <si>
    <t>SS MIDI DRESS FULL BROKAT TGN BGA SOLDER AG3088:PASTEL PINK:12:SOLID:SS MIDI DRESS</t>
  </si>
  <si>
    <t>SS MIDI DRESS FULL BROKAT TGN BGA SOLDER AG3088:PASTEL PINK:4:SOLID:SS MIDI DRESS</t>
  </si>
  <si>
    <t>SS MIDI DRESS FULL BROKAT TGN BGA SOLDER AG3088:PASTEL PINK:5:SOLID:SS MIDI DRESS</t>
  </si>
  <si>
    <t>SS MIDI DRESS FULL BROKAT TGN BGA SOLDER AG3088:PASTEL PINK:6:SOLID:SS MIDI DRESS</t>
  </si>
  <si>
    <t>SS MIDI DRESS FULL BROKAT TGN BGA SOLDER AG3088:PASTEL PINK:8:SOLID:SS MIDI DRESS</t>
  </si>
  <si>
    <t>SS MIDI DRESS FULL BROKAT TGN BGA SOLDER AG3088:PASTEL PINK:10:SOLID:SS MIDI DRESS</t>
  </si>
  <si>
    <t>AG3061</t>
  </si>
  <si>
    <t>SS MIDI DRESS DADA SEQUIN TGN KARET AG3061:PASTEL PURPLE:4:SOLID:SS MIDI DRESS</t>
  </si>
  <si>
    <t>SS MIDI DRESS DADA SEQUIN TGN KARET AG3061:PASTEL PURPLE:5:SOLID:SS MIDI DRESS</t>
  </si>
  <si>
    <t>SS MIDI DRESS DADA SEQUIN TGN KARET AG3061:PASTEL PURPLE:6:SOLID:SS MIDI DRESS</t>
  </si>
  <si>
    <t>SS MIDI DRESS DADA SEQUIN TGN KARET AG3061:PASTEL PURPLE:10:SOLID:SS MIDI DRESS</t>
  </si>
  <si>
    <t>SS MIDI DRESS DADA SEQUIN TGN KARET AG3061:PASTEL PURPLE:12:SOLID:SS MIDI DRESS</t>
  </si>
  <si>
    <t>SS MIDI DRESS DADA SEQUIN TGN KARET AG3061:PASTEL PURPLE:8:SOLID:SS MIDI DRESS</t>
  </si>
  <si>
    <t>AN155</t>
  </si>
  <si>
    <t>SS MIDI DRESS MIDI TILE ONDE SUSUN GEBER AN155:PASTEL PINK:4:SOLID:SS MIDI DRES</t>
  </si>
  <si>
    <t>SS MIDI DRESS MIDI TILE ONDE SUSUN GEBER AN155:PASTEL PINK:5:SOLID:SS MIDI DRES</t>
  </si>
  <si>
    <t>SS MIDI DRESS MIDI TILE ONDE SUSUN GEBER AN155:PASTEL PINK:8:SOLID:SS MIDI DRES</t>
  </si>
  <si>
    <t>SS MIDI DRESS MIDI TILE ONDE SUSUN GEBER AN155:PASTEL PINK:10:SOLID:SS MIDI DRES</t>
  </si>
  <si>
    <t>SS MIDI DRESS MIDI TILE ONDE SUSUN GEBER AN155:PASTEL PINK:12:SOLID:SS MIDI DRES</t>
  </si>
  <si>
    <t>SS MIDI DRESS MIDI TILE ONDE SUSUN GEBER AN155:PASTEL PINK:6:SOLID:SS MIDI DRES</t>
  </si>
  <si>
    <t>AG3090</t>
  </si>
  <si>
    <t>SS MIDI DRESS BROKAT DADA TILLE GEBER AG3090:CORAL:4:SOLID:SS MIDI DRESS</t>
  </si>
  <si>
    <t>SS MIDI DRESS BROKAT DADA TILLE GEBER AG3090:CORAL:5:SOLID:SS MIDI DRESS</t>
  </si>
  <si>
    <t>SS MIDI DRESS BROKAT DADA TILLE GEBER AG3090:CORAL:6:SOLID:SS MIDI DRESS</t>
  </si>
  <si>
    <t>SS MIDI DRESS BROKAT DADA TILLE GEBER AG3090:CORAL:8:SOLID:SS MIDI DRESS</t>
  </si>
  <si>
    <t>SS MIDI DRESS BROKAT DADA TILLE GEBER AG3090:CORAL:10:SOLID:SS MIDI DRESS</t>
  </si>
  <si>
    <t>SS MIDI DRESS BROKAT DADA TILLE GEBER AG3090:CORAL:12:SOLID:SS MIDI DRESS</t>
  </si>
  <si>
    <t>AG3072</t>
  </si>
  <si>
    <t>SS MIDI DRESS SL SUSUN DADA BROKAT TIMBUL AG3072:MISTY MEDIUM:12:SOLID:SS MIDI DRES</t>
  </si>
  <si>
    <t>SS MIDI DRESS SL SUSUN DADA BROKAT TIMBUL AG3072:MISTY MEDIUM:6:SOLID:SS MIDI DRES</t>
  </si>
  <si>
    <t>SS MIDI DRESS SL SUSUN DADA BROKAT TIMBUL AG3072:MISTY MEDIUM:10:SOLID:SS MIDI DRES</t>
  </si>
  <si>
    <t>SS MIDI DRESS SL SUSUN DADA BROKAT TIMBUL AG3072:MISTY MEDIUM:4:SOLID:SS MIDI DRES</t>
  </si>
  <si>
    <t>SS MIDI DRESS SL SUSUN DADA BROKAT TIMBUL AG3072:MISTY MEDIUM:5:SOLID:SS MIDI DRES</t>
  </si>
  <si>
    <t>SS MIDI DRESS SL SUSUN DADA BROKAT TIMBUL AG3072:MISTY MEDIUM:8:SOLID:SS MIDI DRES</t>
  </si>
  <si>
    <t>AN157</t>
  </si>
  <si>
    <t>SS MIDI DRESS SL TILE MUTIARA WITH BAG AN157:PASTEL BLUE:8:SOLID:SS MIDI DRESS</t>
  </si>
  <si>
    <t>SS MIDI DRESS SL TILE MUTIARA WITH BAG AN157:PASTEL BLUE:5:SOLID:SS MIDI DRESS</t>
  </si>
  <si>
    <t>SS MIDI DRESS SL TILE MUTIARA WITH BAG AN157:PASTEL BLUE:6:SOLID:SS MIDI DRESS</t>
  </si>
  <si>
    <t>SS MIDI DRESS SL TILE MUTIARA WITH BAG AN157:PASTEL BLUE:12:SOLID:SS MIDI DRESS</t>
  </si>
  <si>
    <t>SS MIDI DRESS SL TILE MUTIARA WITH BAG AN157:PASTEL BLUE:4:SOLID:SS MIDI DRESS</t>
  </si>
  <si>
    <t>SS MIDI DRESS SL TILE MUTIARA WITH BAG AN157:PASTEL BLUE:10:SOLID:SS MIDI DRESS</t>
  </si>
  <si>
    <t>AG3085</t>
  </si>
  <si>
    <t>SS MIDI DRESS SL DADA SEQUIN WITH TILE RAINBOW AG3085:CORAL:12:SOLID:SS MIDI DR</t>
  </si>
  <si>
    <t>SS MIDI DRESS SL DADA SEQUIN WITH TILE RAINBOW AG3085:CORAL:4:SOLID:SS MIDI DR</t>
  </si>
  <si>
    <t>SS MIDI DRESS SL DADA SEQUIN WITH TILE RAINBOW AG3085:CORAL:5:SOLID:SS MIDI DR</t>
  </si>
  <si>
    <t>SS MIDI DRESS SL DADA SEQUIN WITH TILE RAINBOW AG3085:CORAL:6:SOLID:SS MIDI DR</t>
  </si>
  <si>
    <t>SS MIDI DRESS SL DADA SEQUIN WITH TILE RAINBOW AG3085:CORAL:8:SOLID:SS MIDI DR</t>
  </si>
  <si>
    <t>SS MIDI DRESS SL DADA SEQUIN WITH TILE RAINBOW AG3085:CORAL:10:SOLID:SS MIDI DR</t>
  </si>
  <si>
    <t>AG3095</t>
  </si>
  <si>
    <t>SS MIDI DRESS TILE LIPAT DADA PITA MOTE PGG AG3095:ORCHID:4:SOLID:SS MIDI DRE</t>
  </si>
  <si>
    <t>SS MIDI DRESS TILE LIPAT DADA PITA MOTE PGG AG3095:ORCHID:6:SOLID:SS MIDI DRE</t>
  </si>
  <si>
    <t>SS MIDI DRESS TILE LIPAT DADA PITA MOTE PGG AG3095:ORCHID:8:SOLID:SS MIDI DRE</t>
  </si>
  <si>
    <t>SS MIDI DRESS TILE LIPAT DADA PITA MOTE PGG AG3095:ORCHID:10:SOLID:SS MIDI DRE</t>
  </si>
  <si>
    <t>SS MIDI DRESS TILE LIPAT DADA PITA MOTE PGG AG3095:ORCHID:12:SOLID:SS MIDI DRE</t>
  </si>
  <si>
    <t>SS MIDI DRESS TILE LIPAT DADA PITA MOTE PGG AG3095:ORCHID:5:SOLID:SS MIDI DRE</t>
  </si>
  <si>
    <t>AG3089</t>
  </si>
  <si>
    <t>SS MIDI DRESS DAISIES LOVE BWH GEBER AG3089:MISTY MEDIUM:4:SOLID:SS MIDI DRESS</t>
  </si>
  <si>
    <t>SS MIDI DRESS DAISIES LOVE BWH GEBER AG3089:MISTY MEDIUM:5:SOLID:SS MIDI DRESS</t>
  </si>
  <si>
    <t>SS MIDI DRESS DAISIES LOVE BWH GEBER AG3089:MISTY MEDIUM:6:SOLID:SS MIDI DRESS</t>
  </si>
  <si>
    <t>SS MIDI DRESS DAISIES LOVE BWH GEBER AG3089:MISTY MEDIUM:8:SOLID:SS MIDI DRESS</t>
  </si>
  <si>
    <t>SS MIDI DRESS DAISIES LOVE BWH GEBER AG3089:MISTY MEDIUM:10:SOLID:SS MIDI DRESS</t>
  </si>
  <si>
    <t>SS MIDI DRESS DAISIES LOVE BWH GEBER AG3089:MISTY MEDIUM:12:SOLID:SS MIDI DRESS</t>
  </si>
  <si>
    <t>AG3077B</t>
  </si>
  <si>
    <t>SS MIDI DRESS SL TILE GEBER DADA DAN BAWAH AG3077B:PASTEL PINK:4:SOLID:SS MIDI DRESS</t>
  </si>
  <si>
    <t>SS MIDI DRESS SL TILE GEBER DADA DAN BAWAH AG3077B:PASTEL PINK:10:SOLID:SS MIDI DRESS</t>
  </si>
  <si>
    <t>SS MIDI DRESS SL TILE GEBER DADA DAN BAWAH AG3077B:PASTEL PINK:12:SOLID:SS MIDI DRESS</t>
  </si>
  <si>
    <t>SS MIDI DRESS SL TILE GEBER DADA DAN BAWAH AG3077B:PASTEL PINK:5:SOLID:SS MIDI DRESS</t>
  </si>
  <si>
    <t>SS MIDI DRESS SL TILE GEBER DADA DAN BAWAH AG3077B:PASTEL PINK:6:SOLID:SS MIDI DRESS</t>
  </si>
  <si>
    <t>SS MIDI DRESS SL TILE GEBER DADA DAN BAWAH AG3077B:PASTEL PINK:8:SOLID:SS MIDI DRESS</t>
  </si>
  <si>
    <t>AG3155</t>
  </si>
  <si>
    <t>SS MIDI DRESS TANGAN GEBER PINGGANG KERUT BAWAH GEBE:PASTEL PINK:4:SOLID:SS MIDI DRE</t>
  </si>
  <si>
    <t>SS MIDI DRESS TANGAN GEBER PINGGANG KERUT BAWAH GEBE:PASTEL PINK:5:SOLID:SS MIDI DRE</t>
  </si>
  <si>
    <t>SS MIDI DRESS TANGAN GEBER PINGGANG KERUT BAWAH GEBE:PASTEL PINK:6:SOLID:SS MIDI DRE</t>
  </si>
  <si>
    <t>SS MIDI DRESS TANGAN GEBER PINGGANG KERUT BAWAH GEBE:PASTEL PINK:8:SOLID:SS MIDI DRE</t>
  </si>
  <si>
    <t>SS MIDI DRESS TANGAN GEBER PINGGANG KERUT BAWAH GEBE:PASTEL PINK:10:SOLID:SS MIDI DRE</t>
  </si>
  <si>
    <t>SS MIDI DRESS TANGAN GEBER PINGGANG KERUT BAWAH GEBE:PASTEL PINK:12:SOLID:SS MIDI DRE</t>
  </si>
  <si>
    <t>AG3050Q1</t>
  </si>
  <si>
    <t>SS MIDI DRESS BGA DADA TIMBUL TILE KILAP AG3050Q1:PASTEL PINK:4:SOLID:SS MIDI DRE</t>
  </si>
  <si>
    <t>SS MIDI DRESS BGA DADA TIMBUL TILE KILAP AG3050Q1:PASTEL PINK:6:SOLID:SS MIDI DRE</t>
  </si>
  <si>
    <t>SS MIDI DRESS BGA DADA TIMBUL TILE KILAP AG3050Q1:PASTEL PINK:12:SOLID:SS MIDI DRE</t>
  </si>
  <si>
    <t>SS MIDI DRESS BGA DADA TIMBUL TILE KILAP AG3050Q1:PASTEL PINK:5:SOLID:SS MIDI DRE</t>
  </si>
  <si>
    <t>SS MIDI DRESS BGA DADA TIMBUL TILE KILAP AG3050Q1:PASTEL PINK:8:SOLID:SS MIDI DRE</t>
  </si>
  <si>
    <t>SS MIDI DRESS BGA DADA TIMBUL TILE KILAP AG3050Q1:PASTEL PINK:10:SOLID:SS MIDI DRE</t>
  </si>
  <si>
    <t>AG3146</t>
  </si>
  <si>
    <t>SS MIDI DRESS SS TILE TGN BGA BAWAH BGA SOLDER AG3146:SALMON:4:SOLID:SS MIDI DR</t>
  </si>
  <si>
    <t>SS MIDI DRESS SS TILE TGN BGA BAWAH BGA SOLDER AG3146:SALMON:5:SOLID:SS MIDI DR</t>
  </si>
  <si>
    <t>SS MIDI DRESS SS TILE TGN BGA BAWAH BGA SOLDER AG3146:SALMON:6:SOLID:SS MIDI DR</t>
  </si>
  <si>
    <t>SS MIDI DRESS SS TILE TGN BGA BAWAH BGA SOLDER AG3146:SALMON:8:SOLID:SS MIDI DR</t>
  </si>
  <si>
    <t>SS MIDI DRESS SS TILE TGN BGA BAWAH BGA SOLDER AG3146:SALMON:10:SOLID:SS MIDI DR</t>
  </si>
  <si>
    <t>SS MIDI DRESS SS TILE TGN BGA BAWAH BGA SOLDER AG3146:SALMON:12:SOLID:SS MIDI DR</t>
  </si>
  <si>
    <t>AG3160</t>
  </si>
  <si>
    <t>SS MIDI DRESS TANGAN GEBER LEHER SATIN TUMPUK BAWAH AG3160:PASTEL PU:4:SOLID:SS MIDI D</t>
  </si>
  <si>
    <t>SS MIDI DRESS TANGAN GEBER LEHER SATIN TUMPUK BAWAH AG3160:PASTEL PU:5:SOLID:SS MIDI D</t>
  </si>
  <si>
    <t>SS MIDI DRESS TANGAN GEBER LEHER SATIN TUMPUK BAWAH AG3160:PASTEL PU:6:SOLID:SS MIDI D</t>
  </si>
  <si>
    <t>SS MIDI DRESS TANGAN GEBER LEHER SATIN TUMPUK BAWAH AG3160:PASTEL PU:8:SOLID:SS MIDI D</t>
  </si>
  <si>
    <t>SS MIDI DRESS TANGAN GEBER LEHER SATIN TUMPUK BAWAH AG3160:PASTEL PU:10:SOLID:SS MIDI D</t>
  </si>
  <si>
    <t>SS MIDI DRESS TANGAN GEBER LEHER SATIN TUMPUK BAWAH AG3160:PASTEL PU:12:SOLID:SS MIDI D</t>
  </si>
  <si>
    <t>EV211003</t>
  </si>
  <si>
    <t>SS MIDI DRESS STRIPE NAVY PITA PGG EV211003:NAVY BLUE:5:STRIPES:SS MIDI DRESS</t>
  </si>
  <si>
    <t>SS MIDI DRESS STRIPE NAVY PITA PGG EV211003:NAVY BLUE:6:STRIPES:SS MIDI DRESS</t>
  </si>
  <si>
    <t>SS MIDI DRESS STRIPE NAVY PITA PGG EV211003:NAVY BLUE:10:STRIPES:SS MIDI DRESS</t>
  </si>
  <si>
    <t>SS MIDI DRESS STRIPE NAVY PITA PGG EV211003:NAVY BLUE:8:STRIPES:SS MIDI DRESS</t>
  </si>
  <si>
    <t>SS MIDI DRESS STRIPE NAVY PITA PGG EV211003:NAVY BLUE:12:STRIPES:SS MIDI DRESS</t>
  </si>
  <si>
    <t>SS MIDI DRESS STRIPE NAVY PITA PGG EV211003:NAVY BLUE:4:STRIPES:SS MIDI DRESS</t>
  </si>
  <si>
    <t>EV211002</t>
  </si>
  <si>
    <t>SS MIDI DRESS KOTAK BORDIR BWH RABBIT POM EV211002:TURQOUISE:5:SOLID:SS MIDI DRE</t>
  </si>
  <si>
    <t>SS MIDI DRESS KOTAK BORDIR BWH RABBIT POM EV211002:TURQOUISE:8:SOLID:SS MIDI DRE</t>
  </si>
  <si>
    <t>SS MIDI DRESS KOTAK BORDIR BWH RABBIT POM EV211002:TURQOUISE:12:SOLID:SS MIDI DRE</t>
  </si>
  <si>
    <t>SS MIDI DRESS KOTAK BORDIR BWH RABBIT POM EV211002:TURQOUISE:4:SOLID:SS MIDI DRE</t>
  </si>
  <si>
    <t>SS MIDI DRESS KOTAK BORDIR BWH RABBIT POM EV211002:TURQOUISE:6:SOLID:SS MIDI DRE</t>
  </si>
  <si>
    <t>SS MIDI DRESS KOTAK BORDIR BWH RABBIT POM EV211002:TURQOUISE:10:SOLID:SS MIDI DRE</t>
  </si>
  <si>
    <t>AN138</t>
  </si>
  <si>
    <t>SS MIDI DRESS D SS FP BGA TYE DYE AN138:PASTEL BLUE:12:PRINT:SS MIDI DRESS</t>
  </si>
  <si>
    <t>SS MIDI DRESS D SS FP BGA TYE DYE AN138:PASTEL BLUE:5:PRINT:SS MIDI DRESS</t>
  </si>
  <si>
    <t>SS MIDI DRESS D SS FP BGA TYE DYE AN138:PASTEL BLUE:6:PRINT:SS MIDI DRESS</t>
  </si>
  <si>
    <t>SS MIDI DRESS D SS FP BGA TYE DYE AN138:PASTEL BLUE:10:PRINT:SS MIDI DRESS</t>
  </si>
  <si>
    <t>SS MIDI DRESS D SS FP BGA TYE DYE AN138:PASTEL BLUE:8:PRINT:SS MIDI DRESS</t>
  </si>
  <si>
    <t>SS MIDI DRESS D SS FP BGA TYE DYE AN138:PASTEL BLUE:4:PRINT:SS MIDI DRESS</t>
  </si>
  <si>
    <t>AG3060</t>
  </si>
  <si>
    <t>SS MIDI DRESS BORDIR FLAMINGO GEBER AG3060:PASTEL PINK:6:GRAPHIC:SS MIDI DRESS</t>
  </si>
  <si>
    <t>SS MIDI DRESS BORDIR FLAMINGO GEBER AG3060:PASTEL PINK:5:GRAPHIC:SS MIDI DRESS</t>
  </si>
  <si>
    <t>SS MIDI DRESS BORDIR FLAMINGO GEBER AG3060:PASTEL PINK:8:GRAPHIC:SS MIDI DRESS</t>
  </si>
  <si>
    <t>SS MIDI DRESS BORDIR FLAMINGO GEBER AG3060:PASTEL PINK:4:GRAPHIC:SS MIDI DRESS</t>
  </si>
  <si>
    <t>AN132</t>
  </si>
  <si>
    <t>SS MIDI DRESS PITA PINGGANG BAWAH SCALLOP AN132:PASTEL PURPL:8:SOLID:SS MIDI DRES</t>
  </si>
  <si>
    <t>SS MIDI DRESS PITA PINGGANG BAWAH SCALLOP AN132:PASTEL PURPL:10:SOLID:SS MIDI DRES</t>
  </si>
  <si>
    <t>SS MIDI DRESS PITA PINGGANG BAWAH SCALLOP AN132:PASTEL PURPL:4:SOLID:SS MIDI DRES</t>
  </si>
  <si>
    <t>SS MIDI DRESS PITA PINGGANG BAWAH SCALLOP AN132:PASTEL PURPL:5:SOLID:SS MIDI DRES</t>
  </si>
  <si>
    <t>SS MIDI DRESS PITA PINGGANG BAWAH SCALLOP AN132:PASTEL PURPL:6:SOLID:SS MIDI DRES</t>
  </si>
  <si>
    <t>SS MIDI DRESS PITA PINGGANG BAWAH SCALLOP AN132:PASTEL PURPL:12:SOLID:SS MIDI DRES</t>
  </si>
  <si>
    <t>MERV2103</t>
  </si>
  <si>
    <t>SS MIDI DRESS BGA KARET DADA BAWAH KERUT MERV2103:OFF WHITE:12:PRINT:SS MIDI DRE</t>
  </si>
  <si>
    <t>SS MIDI DRESS BGA KARET DADA BAWAH KERUT MERV2103:OFF WHITE:4:PRINT:SS MIDI DRE</t>
  </si>
  <si>
    <t>SS MIDI DRESS BGA KARET DADA BAWAH KERUT MERV2103:OFF WHITE:5:PRINT:SS MIDI DRE</t>
  </si>
  <si>
    <t>SS MIDI DRESS BGA KARET DADA BAWAH KERUT MERV2103:OFF WHITE:6:PRINT:SS MIDI DRE</t>
  </si>
  <si>
    <t>SS MIDI DRESS BGA KARET DADA BAWAH KERUT MERV2103:OFF WHITE:8:PRINT:SS MIDI DRE</t>
  </si>
  <si>
    <t>SS MIDI DRESS BGA KARET DADA BAWAH KERUT MERV2103:OFF WHITE:10:PRINT:SS MIDI DRE</t>
  </si>
  <si>
    <t>MAS2102</t>
  </si>
  <si>
    <t>SS MIDI DRESS FP BGA TGN BALON HI LO KERUT SUSUN MAS2102:MAROON:5:FLORAL:SS MIDI DR</t>
  </si>
  <si>
    <t>SS MIDI DRESS FP BGA TGN BALON HI LO KERUT SUSUN MAS2102:MAROON:6:FLORAL:SS MIDI DR</t>
  </si>
  <si>
    <t>SS MIDI DRESS FP BGA TGN BALON HI LO KERUT SUSUN MAS2102:MAROON:8:FLORAL:SS MIDI DR</t>
  </si>
  <si>
    <t>SS MIDI DRESS FP BGA TGN BALON HI LO KERUT SUSUN MAS2102:MAROON:4:FLORAL:SS MIDI DR</t>
  </si>
  <si>
    <t>SS MIDI DRESS FP BGA TGN BALON HI LO KERUT SUSUN MAS2102:MAROON:10:FLORAL:SS MIDI DR</t>
  </si>
  <si>
    <t>SS MIDI DRESS FP BGA TGN BALON HI LO KERUT SUSUN MAS2102:MAROON:12:FLORAL:SS MIDI DR</t>
  </si>
  <si>
    <t>MAS2101</t>
  </si>
  <si>
    <t>SS MIDI DRESS OVL LIPAT GEBER MAS2101:CORAL:4:SOLID:SS MIDI DRESS</t>
  </si>
  <si>
    <t>SS MIDI DRESS OVL LIPAT GEBER MAS2101:CORAL:5:SOLID:SS MIDI DRESS</t>
  </si>
  <si>
    <t>SS MIDI DRESS OVL LIPAT GEBER MAS2101:CORAL:6:SOLID:SS MIDI DRESS</t>
  </si>
  <si>
    <t>SS MIDI DRESS OVL LIPAT GEBER MAS2101:CORAL:8:SOLID:SS MIDI DRESS</t>
  </si>
  <si>
    <t>SS MIDI DRESS OVL LIPAT GEBER MAS2101:CORAL:10:SOLID:SS MIDI DRESS</t>
  </si>
  <si>
    <t>SS MIDI DRESS OVL LIPAT GEBER MAS2101:CORAL:12:SOLID:SS MIDI DRESS</t>
  </si>
  <si>
    <t>SS2103</t>
  </si>
  <si>
    <t>SS MIDI DRESS FP BGA PIPING PITA PGG SS2103:PASTEL PINK:8:FLORAL:SS MIDI DRESS</t>
  </si>
  <si>
    <t>SS MIDI DRESS FP BGA PIPING PITA PGG SS2103:PASTEL PINK:4:FLORAL:SS MIDI DRESS</t>
  </si>
  <si>
    <t>SS MIDI DRESS FP BGA PIPING PITA PGG SS2103:PASTEL PINK:5:FLORAL:SS MIDI DRESS</t>
  </si>
  <si>
    <t>SS MIDI DRESS FP BGA PIPING PITA PGG SS2103:PASTEL PINK:6:FLORAL:SS MIDI DRESS</t>
  </si>
  <si>
    <t>EV211201</t>
  </si>
  <si>
    <t>SS MIDI DRESS SL LEHER TANGAN KERUT FP WARNA TAS UNI:TURQOUISE:4:OMBRE:SS MIDI DRE</t>
  </si>
  <si>
    <t>SS MIDI DRESS SL LEHER TANGAN KERUT FP WARNA TAS UNI:TURQOUISE:5:OMBRE:SS MIDI DRE</t>
  </si>
  <si>
    <t>SS MIDI DRESS SL LEHER TANGAN KERUT FP WARNA TAS UNI:TURQOUISE:6:OMBRE:SS MIDI DRE</t>
  </si>
  <si>
    <t>SS MIDI DRESS SL LEHER TANGAN KERUT FP WARNA TAS UNI:TURQOUISE:8:OMBRE:SS MIDI DRE</t>
  </si>
  <si>
    <t>SS MIDI DRESS SL LEHER TANGAN KERUT FP WARNA TAS UNI:TURQOUISE:10:OMBRE:SS MIDI DRE</t>
  </si>
  <si>
    <t>SS MIDI DRESS SL LEHER TANGAN KERUT FP WARNA TAS UNI:TURQOUISE:12:OMBRE:SS MIDI DRE</t>
  </si>
  <si>
    <t>EV211004</t>
  </si>
  <si>
    <t>SS MIDI DRESS SL NONIK BUTTERFLY PITA PGG EV211004:PASTEL PINK:4:SOLID:SS MIDI DRESS</t>
  </si>
  <si>
    <t>SS MIDI DRESS SL NONIK BUTTERFLY PITA PGG EV211004:PASTEL PINK:8:SOLID:SS MIDI DRESS</t>
  </si>
  <si>
    <t>SS MIDI DRESS SL NONIK BUTTERFLY PITA PGG EV211004:PASTEL PINK:12:SOLID:SS MIDI DRESS</t>
  </si>
  <si>
    <t>SS MIDI DRESS SL NONIK BUTTERFLY PITA PGG EV211004:PASTEL PINK:10:SOLID:SS MIDI DRESS</t>
  </si>
  <si>
    <t>SS MIDI DRESS SL NONIK BUTTERFLY PITA PGG EV211004:PASTEL PINK:5:SOLID:SS MIDI DRESS</t>
  </si>
  <si>
    <t>SS MIDI DRESS SL NONIK BUTTERFLY PITA PGG EV211004:PASTEL PINK:6:SOLID:SS MIDI DRESS</t>
  </si>
  <si>
    <t>EV211001</t>
  </si>
  <si>
    <t>SS MIDI DRESS SL DADA BORDIR CUTE WITH TILE EV211001:FUSCHIA:12:SOLID:SS MIDI DRE</t>
  </si>
  <si>
    <t>SS MIDI DRESS SL DADA BORDIR CUTE WITH TILE EV211001:FUSCHIA:8:SOLID:SS MIDI DRE</t>
  </si>
  <si>
    <t>SS MIDI DRESS SL DADA BORDIR CUTE WITH TILE EV211001:FUSCHIA:10:SOLID:SS MIDI DRE</t>
  </si>
  <si>
    <t>SS MIDI DRESS SL DADA BORDIR CUTE WITH TILE EV211001:FUSCHIA:4:SOLID:SS MIDI DRE</t>
  </si>
  <si>
    <t>SS MIDI DRESS SL DADA BORDIR CUTE WITH TILE EV211001:FUSCHIA:5:SOLID:SS MIDI DRE</t>
  </si>
  <si>
    <t>SS MIDI DRESS SL DADA BORDIR CUTE WITH TILE EV211001:FUSCHIA:6:SOLID:SS MIDI DRE</t>
  </si>
  <si>
    <t>AN171</t>
  </si>
  <si>
    <t>SS MIDI DRESS KOMB BB TERRY ROK SATIN FP BUNNY OWL AN171:SALMON:12:PRINT:SS MIDI DR</t>
  </si>
  <si>
    <t>SS MIDI DRESS KOMB BB TERRY ROK SATIN FP BUNNY OWL AN171:SALMON:4:PRINT:SS MIDI DR</t>
  </si>
  <si>
    <t>SS MIDI DRESS KOMB BB TERRY ROK SATIN FP BUNNY OWL AN171:SALMON:5:PRINT:SS MIDI DR</t>
  </si>
  <si>
    <t>SS MIDI DRESS KOMB BB TERRY ROK SATIN FP BUNNY OWL AN171:SALMON:8:PRINT:SS MIDI DR</t>
  </si>
  <si>
    <t>SS MIDI DRESS KOMB BB TERRY ROK SATIN FP BUNNY OWL AN171:SALMON:10:PRINT:SS MIDI DR</t>
  </si>
  <si>
    <t>SS MIDI DRESS KOMB BB TERRY ROK SATIN FP BUNNY OWL AN171:SALMON:6:PRINT:SS MIDI DR</t>
  </si>
  <si>
    <t>EV211202</t>
  </si>
  <si>
    <t>SS MIDI DRESS OVL ONDE BUNNY EV211202:PASTEL PINK:4:SOLID:SS MIDI DRESS</t>
  </si>
  <si>
    <t>SS MIDI DRESS OVL ONDE BUNNY EV211202:PASTEL PINK:5:SOLID:SS MIDI DRESS</t>
  </si>
  <si>
    <t>SS MIDI DRESS OVL ONDE BUNNY EV211202:PASTEL PINK:6:SOLID:SS MIDI DRESS</t>
  </si>
  <si>
    <t>SS MIDI DRESS OVL ONDE BUNNY EV211202:PASTEL PINK:8:SOLID:SS MIDI DRESS</t>
  </si>
  <si>
    <t>SS MIDI DRESS OVL ONDE BUNNY EV211202:PASTEL PINK:10:SOLID:SS MIDI DRESS</t>
  </si>
  <si>
    <t>SS MIDI DRESS OVL ONDE BUNNY EV211202:PASTEL PINK:12:SOLID:SS MIDI DRESS</t>
  </si>
  <si>
    <t>AG3147</t>
  </si>
  <si>
    <t>SS MIDI DRESS SL TILE GEBER COLORFUL AG3147:NAVY BLUE:4:SOLID:SS MIDI DRESS</t>
  </si>
  <si>
    <t>SS MIDI DRESS SL TILE GEBER COLORFUL AG3147:NAVY BLUE:5:SOLID:SS MIDI DRESS</t>
  </si>
  <si>
    <t>SS MIDI DRESS SL TILE GEBER COLORFUL AG3147:NAVY BLUE:6:SOLID:SS MIDI DRESS</t>
  </si>
  <si>
    <t>SS MIDI DRESS SL TILE GEBER COLORFUL AG3147:NAVY BLUE:8:SOLID:SS MIDI DRESS</t>
  </si>
  <si>
    <t>SS MIDI DRESS SL TILE GEBER COLORFUL AG3147:NAVY BLUE:10:SOLID:SS MIDI DRESS</t>
  </si>
  <si>
    <t>SS MIDI DRESS SL TILE GEBER COLORFUL AG3147:NAVY BLUE:12:SOLID:SS MIDI DRESS</t>
  </si>
  <si>
    <t>AN89</t>
  </si>
  <si>
    <t>SS MIDI DRESS BABYDOLL BAWAH KERUT GEBER AN89:CORAL:4:SOLID:SS MIDI DRES</t>
  </si>
  <si>
    <t>SS MIDI DRESS BABYDOLL BAWAH KERUT GEBER AN89:CORAL:5:SOLID:SS MIDI DRES</t>
  </si>
  <si>
    <t>SS MIDI DRESS BABYDOLL BAWAH KERUT GEBER AN89:CORAL:6:SOLID:SS MIDI DRES</t>
  </si>
  <si>
    <t>SS MIDI DRESS BABYDOLL BAWAH KERUT GEBER AN89:CORAL:8:SOLID:SS MIDI DRES</t>
  </si>
  <si>
    <t>SS MIDI DRESS BABYDOLL BAWAH KERUT GEBER AN89:CORAL:10:SOLID:SS MIDI DRES</t>
  </si>
  <si>
    <t>SS MIDI DRESS BABYDOLL BAWAH KERUT GEBER AN89:CORAL:12:SOLID:SS MIDI DRES</t>
  </si>
  <si>
    <t>EV220201</t>
  </si>
  <si>
    <t>SS MIDI DRESS SALUR TANGAN  GEBER BORDIR CAT KANTONG:PASTEL PINK:4:GRAPHIC:SS MIDI DRE</t>
  </si>
  <si>
    <t>SS MIDI DRESS SALUR TANGAN  GEBER BORDIR CAT KANTONG:PASTEL PINK:5:GRAPHIC:SS MIDI DRE</t>
  </si>
  <si>
    <t>SS MIDI DRESS SALUR TANGAN  GEBER BORDIR CAT KANTONG:PASTEL PINK:6:GRAPHIC:SS MIDI DRE</t>
  </si>
  <si>
    <t>SS MIDI DRESS SALUR TANGAN  GEBER BORDIR CAT KANTONG:PASTEL PINK:8:GRAPHIC:SS MIDI DRE</t>
  </si>
  <si>
    <t>SS MIDI DRESS SALUR TANGAN  GEBER BORDIR CAT KANTONG:PASTEL PINK:10:GRAPHIC:SS MIDI DRE</t>
  </si>
  <si>
    <t>EV220301</t>
  </si>
  <si>
    <t>SS MIDI DRESS KOTAK KOMBI POLOSAN DENGAN LACE EV220301:PASTEL BLU:4:CHECKS:SS MIDI DR</t>
  </si>
  <si>
    <t>SS MIDI DRESS KOTAK KOMBI POLOSAN DENGAN LACE EV220301:PASTEL BLU:5:CHECKS:SS MIDI DR</t>
  </si>
  <si>
    <t>SS MIDI DRESS KOTAK KOMBI POLOSAN DENGAN LACE EV220301:PASTEL BLU:6:CHECKS:SS MIDI DR</t>
  </si>
  <si>
    <t>SS MIDI DRESS KOTAK KOMBI POLOSAN DENGAN LACE EV220301:PASTEL BLU:8:CHECKS:SS MIDI DR</t>
  </si>
  <si>
    <t>SS MIDI DRESS KOTAK KOMBI POLOSAN DENGAN LACE EV220301:PASTEL BLU:10:CHECKS:SS MIDI DR</t>
  </si>
  <si>
    <t>SS MIDI DRESS KOTAK KOMBI POLOSAN DENGAN LACE EV220301:PASTEL BLU:12:CHECKS:SS MIDI DR</t>
  </si>
  <si>
    <t>EV220101</t>
  </si>
  <si>
    <t>SS MIDI DRESS KOTAK TANGAN GEBER TAS BEAR  EV220101:PASTEL ORAN:10:CHECKS:SS MIDI DRE</t>
  </si>
  <si>
    <t>SS MIDI DRESS KOTAK TANGAN GEBER TAS BEAR  EV220101:PASTEL ORAN:8:CHECKS:SS MIDI DRE</t>
  </si>
  <si>
    <t>SS MIDI DRESS KOTAK TANGAN GEBER TAS BEAR  EV220101:PASTEL ORAN:4:CHECKS:SS MIDI DRE</t>
  </si>
  <si>
    <t>SS MIDI DRESS KOTAK TANGAN GEBER TAS BEAR  EV220101:PASTEL ORAN:5:CHECKS:SS MIDI DRE</t>
  </si>
  <si>
    <t>SS MIDI DRESS KOTAK TANGAN GEBER TAS BEAR  EV220101:PASTEL ORAN:6:CHECKS:SS MIDI DRE</t>
  </si>
  <si>
    <t>SS MIDI DRESS KOTAK TANGAN GEBER TAS BEAR  EV220101:PASTEL ORAN:12:CHECKS:SS MIDI DRE</t>
  </si>
  <si>
    <t>AG3138</t>
  </si>
  <si>
    <t>SS MIDI DRESS TILE RAINBOW GEBER BAWAH AG3138:PASTEL PINK:12:GRAPHIC:SS MIDI DRES</t>
  </si>
  <si>
    <t>SS MIDI DRESS TILE RAINBOW GEBER BAWAH AG3138:PASTEL PINK:4:GRAPHIC:SS MIDI DRESS</t>
  </si>
  <si>
    <t>SS MIDI DRESS TILE RAINBOW GEBER BAWAH AG3138:PASTEL PINK:5:GRAPHIC:SS MIDI DRESS</t>
  </si>
  <si>
    <t>SS MIDI DRESS TILE RAINBOW GEBER BAWAH AG3138:PASTEL PINK:6:GRAPHIC:SS MIDI DRESS</t>
  </si>
  <si>
    <t>SS MIDI DRESS TILE RAINBOW GEBER BAWAH AG3138:PASTEL PINK:8:GRAPHIC:SS MIDI DRESS</t>
  </si>
  <si>
    <t>SS MIDI DRESS TILE RAINBOW GEBER BAWAH AG3138:PASTEL PINK:10:GRAPHIC:SS MIDI DRES</t>
  </si>
  <si>
    <t>SS2104</t>
  </si>
  <si>
    <t>SS MIDI DRESS FULL PRINT TANGAN BGA KANCING DEPAN SS2104:OFF WHITE:10:PRINT:SS T-SHIRT</t>
  </si>
  <si>
    <t>SS MIDI DRESS FULL PRINT TANGAN BGA KANCING DEPAN SS2104:OFF WHITE:12:PRINT:SS T-SHIRT</t>
  </si>
  <si>
    <t>SS MIDI DRESS FULL PRINT TANGAN BGA KANCING DEPAN SS2104:OFF WHITE:4:PRINT:SS T-SHIRT</t>
  </si>
  <si>
    <t>SS MIDI DRESS FULL PRINT TANGAN BGA KANCING DEPAN SS2104:OFF WHITE:5:PRINT:SS T-SHIRT</t>
  </si>
  <si>
    <t>SS MIDI DRESS FULL PRINT TANGAN BGA KANCING DEPAN SS2104:OFF WHITE:6:PRINT:SS T-SHIRT</t>
  </si>
  <si>
    <t>SS MIDI DRESS FULL PRINT TANGAN BGA KANCING DEPAN SS2104:OFF WHITE:8:PRINT:SS T-SHIRT</t>
  </si>
  <si>
    <t>AN92</t>
  </si>
  <si>
    <t>SS MIDI DRESS TANGAN GEBER DADA PLISKET KANCING AN92:PASTEL BLUE:4:SOLID:SS MIDI DRE</t>
  </si>
  <si>
    <t>SS MIDI DRESS TANGAN GEBER DADA PLISKET KANCING AN92:PASTEL BLUE:5:SOLID:SS MIDI DRE</t>
  </si>
  <si>
    <t>SS MIDI DRESS TANGAN GEBER DADA PLISKET KANCING AN92:PASTEL BLUE:6:SOLID:SS MIDI DRE</t>
  </si>
  <si>
    <t>SS MIDI DRESS TANGAN GEBER DADA PLISKET KANCING AN92:PASTEL BLUE:8:SOLID:SS MIDI DRE</t>
  </si>
  <si>
    <t>SS MIDI DRESS TANGAN GEBER DADA PLISKET KANCING AN92:PASTEL BLUE:10:SOLID:SS MIDI DRE</t>
  </si>
  <si>
    <t>SS MIDI DRESS TANGAN GEBER DADA PLISKET KANCING AN92:PASTEL BLUE:12:SOLID:SS MIDI DRE</t>
  </si>
  <si>
    <t>EV220102</t>
  </si>
  <si>
    <t>SS MIDI DRESS SL KOTAK BORDIR  BUNNY KTG TANGAN EV220102:PASTEL PUR:4:CHECKS:SS MIDI DR</t>
  </si>
  <si>
    <t>SS MIDI DRESS SL KOTAK BORDIR  BUNNY KTG TANGAN EV220102:PASTEL PUR:5:CHECKS:SS MIDI DR</t>
  </si>
  <si>
    <t>SS MIDI DRESS SL KOTAK BORDIR  BUNNY KTG TANGAN EV220102:PASTEL PUR:6:CHECKS:SS MIDI DR</t>
  </si>
  <si>
    <t>SS MIDI DRESS SL KOTAK BORDIR  BUNNY KTG TANGAN EV220102:PASTEL PUR:8:CHECKS:SS MIDI DR</t>
  </si>
  <si>
    <t>SS MIDI DRESS SL KOTAK BORDIR  BUNNY KTG TANGAN EV220102:PASTEL PUR:10:CHECKS:SS MIDI DR</t>
  </si>
  <si>
    <t>SS MIDI DRESS SL KOTAK BORDIR  BUNNY KTG TANGAN EV220102:PASTEL PUR:12:CHECKS:SS MIDI DR</t>
  </si>
  <si>
    <t>AN104</t>
  </si>
  <si>
    <t>SS MIDI DRESS GEBER TUMPUK 3 UNICORN DADA AN104:PASTEL PINK:4:GRAPHIC:SS MIDI DRES</t>
  </si>
  <si>
    <t>SS MIDI DRESS GEBER TUMPUK 3 UNICORN DADA AN104:PASTEL PINK:5:GRAPHIC:SS MIDI DRES</t>
  </si>
  <si>
    <t>SS MIDI DRESS GEBER TUMPUK 3 UNICORN DADA AN104:PASTEL PINK:6:GRAPHIC:SS MIDI DRES</t>
  </si>
  <si>
    <t>SS MIDI DRESS GEBER TUMPUK 3 UNICORN DADA AN104:PASTEL PINK:8:GRAPHIC:SS MIDI DRES</t>
  </si>
  <si>
    <t>SS MIDI DRESS GEBER TUMPUK 3 UNICORN DADA AN104:PASTEL PINK:10:GRAPHIC:SS MIDI DRES</t>
  </si>
  <si>
    <t>SS MIDI DRESS GEBER TUMPUK 3 UNICORN DADA AN104:PASTEL PINK:12:GRAPHIC:SS MIDI DRES</t>
  </si>
  <si>
    <t>EV220303</t>
  </si>
  <si>
    <t>SS MIDI DRESS BUNGA KECIL LEHER LIPIT TAS CAT EV220303:PASTEL YEL:4:PRINT:SS MIDI DR</t>
  </si>
  <si>
    <t>SS MIDI DRESS BUNGA KECIL LEHER LIPIT TAS CAT EV220303:PASTEL YEL:5:PRINT:SS MIDI DR</t>
  </si>
  <si>
    <t>SS MIDI DRESS BUNGA KECIL LEHER LIPIT TAS CAT EV220303:PASTEL YEL:6:PRINT:SS MIDI DR</t>
  </si>
  <si>
    <t>SS MIDI DRESS BUNGA KECIL LEHER LIPIT TAS CAT EV220303:PASTEL YEL:8:PRINT:SS MIDI DR</t>
  </si>
  <si>
    <t>SS MIDI DRESS BUNGA KECIL LEHER LIPIT TAS CAT EV220303:PASTEL YEL:10:PRINT:SS MIDI DR</t>
  </si>
  <si>
    <t>SS MIDI DRESS BUNGA KECIL LEHER LIPIT TAS CAT EV220303:PASTEL YEL:12:PRINT:SS MIDI DR</t>
  </si>
  <si>
    <t>EV220304</t>
  </si>
  <si>
    <t>LS MIDI DRESS BUNGA NAVY RO TAS UNICORN EV220304:NAVY BLUE:4:PRINT:LS MIDI DRES</t>
  </si>
  <si>
    <t>LS MIDI DRESS BUNGA NAVY RO TAS UNICORN EV220304:NAVY BLUE:5:PRINT:LS MIDI DRES</t>
  </si>
  <si>
    <t>LS MIDI DRESS BUNGA NAVY RO TAS UNICORN EV220304:NAVY BLUE:6:PRINT:LS MIDI DRES</t>
  </si>
  <si>
    <t>LS MIDI DRESS BUNGA NAVY RO TAS UNICORN EV220304:NAVY BLUE:8:PRINT:LS MIDI DRES</t>
  </si>
  <si>
    <t>LS MIDI DRESS BUNGA NAVY RO TAS UNICORN EV220304:NAVY BLUE:10:PRINT:LS MIDI DRES</t>
  </si>
  <si>
    <t>LS MIDI DRESS BUNGA NAVY RO TAS UNICORN EV220304:NAVY BLUE:12:PRINT:LS MIDI DRES</t>
  </si>
  <si>
    <t>AG3129A</t>
  </si>
  <si>
    <t>SL MIDI DRESS BGA DADA BAWAH TILE GEBER AG3129A:PASTEL PINK:4:FLORAL:SS MIDI DRES</t>
  </si>
  <si>
    <t>SL MIDI DRESS BGA DADA BAWAH TILE GEBER AG3129A:PASTEL PINK:5:FLORAL:SS MIDI DRES</t>
  </si>
  <si>
    <t>SL MIDI DRESS BGA DADA BAWAH TILE GEBER AG3129A:PASTEL PINK:6:FLORAL:SS MIDI DRES</t>
  </si>
  <si>
    <t>SL MIDI DRESS BGA DADA BAWAH TILE GEBER AG3129A:PASTEL PINK:8:FLORAL:SS MIDI DRES</t>
  </si>
  <si>
    <t>SL MIDI DRESS BGA DADA BAWAH TILE GEBER AG3129A:PASTEL PINK:10:FLORAL:SS MIDI DRES</t>
  </si>
  <si>
    <t>SL MIDI DRESS BGA DADA BAWAH TILE GEBER AG3129A:PASTEL PINK:12:FLORAL:SS MIDI DRES</t>
  </si>
  <si>
    <t>AG3137</t>
  </si>
  <si>
    <t>SS MIDI DRESS TILE CAPE GEBER AG3137:WHITE:4:SOLID:SS MIDI DRESS</t>
  </si>
  <si>
    <t>SS MIDI DRESS TILE CAPE GEBER AG3137:WHITE:5:SOLID:SS MIDI DRESS</t>
  </si>
  <si>
    <t>SS MIDI DRESS TILE CAPE GEBER AG3137:WHITE:6:SOLID:SS MIDI DRESS</t>
  </si>
  <si>
    <t>SS MIDI DRESS TILE CAPE GEBER AG3137:WHITE:8:SOLID:SS MIDI DRESS</t>
  </si>
  <si>
    <t>SS MIDI DRESS TILE CAPE GEBER AG3137:WHITE:10:SOLID:SS MIDI DRESS</t>
  </si>
  <si>
    <t>SS MIDI DRESS TILE CAPE GEBER AG3137:WHITE:12:SOLID:SS MIDI DRESS</t>
  </si>
  <si>
    <t>AG3128</t>
  </si>
  <si>
    <t>SS MIDI DRESS SMOKE DADA TANGAN GEBER AG3128:PASTEL PINK:4:OMBRE:SS MIDI DRESS</t>
  </si>
  <si>
    <t>SS MIDI DRESS SMOKE DADA TANGAN GEBER AG3128:PASTEL PINK:5:OMBRE:SS MIDI DRESS</t>
  </si>
  <si>
    <t>SS MIDI DRESS SMOKE DADA TANGAN GEBER AG3128:PASTEL PINK:6:OMBRE:SS MIDI DRESS</t>
  </si>
  <si>
    <t>SS MIDI DRESS SMOKE DADA TANGAN GEBER AG3128:PASTEL PINK:8:OMBRE:SS MIDI DRESS</t>
  </si>
  <si>
    <t>SS MIDI DRESS SMOKE DADA TANGAN GEBER AG3128:PASTEL PINK:10:OMBRE:SS MIDI DRESS</t>
  </si>
  <si>
    <t>SS MIDI DRESS SMOKE DADA TANGAN GEBER AG3128:PASTEL PINK:12:OMBRE:SS MIDI DRESS</t>
  </si>
  <si>
    <t>AG3141</t>
  </si>
  <si>
    <t>SL MIDI DRESS TILE DADA BGA BAWAH BGA SOLDER AG3141:PASTEL PINK:4:SOLID:SS MIDI DRE</t>
  </si>
  <si>
    <t>SL MIDI DRESS TILE DADA BGA BAWAH BGA SOLDER AG3141:PASTEL PINK:5:SOLID:SS MIDI DRE</t>
  </si>
  <si>
    <t>SL MIDI DRESS TILE DADA BGA BAWAH BGA SOLDER AG3141:PASTEL PINK:6:SOLID:SS MIDI DRE</t>
  </si>
  <si>
    <t>SL MIDI DRESS TILE DADA BGA BAWAH BGA SOLDER AG3141:PASTEL PINK:8:SOLID:SS MIDI DRE</t>
  </si>
  <si>
    <t>SL MIDI DRESS TILE DADA BGA BAWAH BGA SOLDER AG3141:PASTEL PINK:10:SOLID:SS MIDI DRE</t>
  </si>
  <si>
    <t>SL MIDI DRESS TILE DADA BGA BAWAH BGA SOLDER AG3141:PASTEL PINK:12:SOLID:SS MIDI DRE</t>
  </si>
  <si>
    <t>AG3173</t>
  </si>
  <si>
    <t>SS MIDI DRESS TILE TANGAN KERUT WITH BROKAT DADA AG3173:PASTEL PIN:4:SOLID:SS MIDI DR</t>
  </si>
  <si>
    <t>SS MIDI DRESS TILE TANGAN KERUT WITH BROKAT DADA AG3173:PASTEL PIN:5:SOLID:SS MIDI DR</t>
  </si>
  <si>
    <t>SS MIDI DRESS TILE TANGAN KERUT WITH BROKAT DADA AG3173:PASTEL PIN:6:SOLID:SS MIDI DR</t>
  </si>
  <si>
    <t>SS MIDI DRESS TILE TANGAN KERUT WITH BROKAT DADA AG3173:PASTEL PIN:8:SOLID:SS MIDI DR</t>
  </si>
  <si>
    <t>SS MIDI DRESS TILE TANGAN KERUT WITH BROKAT DADA AG3173:PASTEL PIN:10:SOLID:SS MIDI DR</t>
  </si>
  <si>
    <t>SS MIDI DRESS TILE TANGAN KERUT WITH BROKAT DADA AG3173:PASTEL PIN:12:SOLID:SS MIDI DR</t>
  </si>
  <si>
    <t>AG3156</t>
  </si>
  <si>
    <t>SS MIDI DRESS TANGAN GEBER BORDIR BUNGA AG3156:PASTEL PINK:4:FLORAL:SS MIDI DRES</t>
  </si>
  <si>
    <t>SS MIDI DRESS TANGAN GEBER BORDIR BUNGA AG3156:PASTEL PINK:5:FLORAL:SS MIDI DRES</t>
  </si>
  <si>
    <t>SS MIDI DRESS TANGAN GEBER BORDIR BUNGA AG3156:PASTEL PINK:6:FLORAL:SS MIDI DRES</t>
  </si>
  <si>
    <t>SS MIDI DRESS TANGAN GEBER BORDIR BUNGA AG3156:PASTEL PINK:8:FLORAL:SS MIDI DRES</t>
  </si>
  <si>
    <t>SS MIDI DRESS TANGAN GEBER BORDIR BUNGA AG3156:PASTEL PINK:10:FLORAL:SS MIDI DRES</t>
  </si>
  <si>
    <t>SS MIDI DRESS TANGAN GEBER BORDIR BUNGA AG3156:PASTEL PINK:12:FLORAL:SS MIDI DRES</t>
  </si>
  <si>
    <t>AG3163</t>
  </si>
  <si>
    <t>SS MIDI DRESS GEBER TINGKAT TULE MANIK AG3163:DUSTY PINK:4:SOLID:SS MIDI DRES</t>
  </si>
  <si>
    <t>SS MIDI DRESS GEBER TINGKAT TULE MANIK AG3163:DUSTY PINK:5:SOLID:SS MIDI DRES</t>
  </si>
  <si>
    <t>SS MIDI DRESS GEBER TINGKAT TULE MANIK AG3163:DUSTY PINK:6:SOLID:SS MIDI DRES</t>
  </si>
  <si>
    <t>SS MIDI DRESS GEBER TINGKAT TULE MANIK AG3163:DUSTY PINK:8:SOLID:SS MIDI DRES</t>
  </si>
  <si>
    <t>SS MIDI DRESS GEBER TINGKAT TULE MANIK AG3163:DUSTY PINK:10:SOLID:SS MIDI DRES</t>
  </si>
  <si>
    <t>SS MIDI DRESS GEBER TINGKAT TULE MANIK AG3163:DUSTY PINK:12:SOLID:SS MIDI DRES</t>
  </si>
  <si>
    <t>AG3159</t>
  </si>
  <si>
    <t>LS MIDI DRESS TILE WARNA SALUR BUNGA PINGANG AG3159:OFF WHITE:4:OMBRE:LS MIDI DRE</t>
  </si>
  <si>
    <t>LS MIDI DRESS TILE WARNA SALUR BUNGA PINGANG AG3159:OFF WHITE:5:OMBRE:LS MIDI DRE</t>
  </si>
  <si>
    <t>LS MIDI DRESS TILE WARNA SALUR BUNGA PINGANG AG3159:OFF WHITE:6:OMBRE:LS MIDI DRE</t>
  </si>
  <si>
    <t>LS MIDI DRESS TILE WARNA SALUR BUNGA PINGANG AG3159:OFF WHITE:8:OMBRE:LS MIDI DRE</t>
  </si>
  <si>
    <t>LS MIDI DRESS TILE WARNA SALUR BUNGA PINGANG AG3159:OFF WHITE:10:OMBRE:LS MIDI DRE</t>
  </si>
  <si>
    <t>LS MIDI DRESS TILE WARNA SALUR BUNGA PINGANG AG3159:OFF WHITE:12:OMBRE:LS MIDI DRE</t>
  </si>
  <si>
    <t>AG3194</t>
  </si>
  <si>
    <t>SS MIDI DRESS TANGAN KERUT FULLPRINT STAR GOLD AG3194:CORAL:4:PRINT:SS MIDI DRESS</t>
  </si>
  <si>
    <t>SS MIDI DRESS TANGAN KERUT FULLPRINT STAR GOLD AG3194:CORAL:5:PRINT:SS MIDI DRESS</t>
  </si>
  <si>
    <t>SS MIDI DRESS TANGAN KERUT FULLPRINT STAR GOLD AG3194:CORAL:6:PRINT:SS MIDI DRESS</t>
  </si>
  <si>
    <t>SS MIDI DRESS TANGAN KERUT FULLPRINT STAR GOLD AG3194:CORAL:8:PRINT:SS MIDI DRESS</t>
  </si>
  <si>
    <t>SS MIDI DRESS TANGAN KERUT FULLPRINT STAR GOLD AG3194:CORAL:10:PRINT:SS MIDI DRESS</t>
  </si>
  <si>
    <t>SS MIDI DRESS TANGAN KERUT FULLPRINT STAR GOLD AG3194:CORAL:12:PRINT:SS MIDI DRESS</t>
  </si>
  <si>
    <t>AG3202</t>
  </si>
  <si>
    <t>SL MIDI DRESS DADA SEQUIN TILE SUSUN 3 AG3202:PASTEL PINK:4:OMBRE:SS MIDI DRES</t>
  </si>
  <si>
    <t>SL MIDI DRESS DADA SEQUIN TILE SUSUN 3 AG3202:PASTEL PINK:5:OMBRE:SS MIDI DRES</t>
  </si>
  <si>
    <t>SL MIDI DRESS DADA SEQUIN TILE SUSUN 3 AG3202:PASTEL PINK:6:OMBRE:SS MIDI DRES</t>
  </si>
  <si>
    <t>SL MIDI DRESS DADA SEQUIN TILE SUSUN 3 AG3202:PASTEL PINK:8:OMBRE:SS MIDI DRES</t>
  </si>
  <si>
    <t>SL MIDI DRESS DADA SEQUIN TILE SUSUN 3 AG3202:PASTEL PINK:10:OMBRE:SS MIDI DRES</t>
  </si>
  <si>
    <t>SL MIDI DRESS DADA SEQUIN TILE SUSUN 3 AG3202:PASTEL PINK:12:OMBRE:SS MIDI DRES</t>
  </si>
  <si>
    <t>AG3230</t>
  </si>
  <si>
    <t>SL MIDI DRESS DADA TYE DYE PINGGANG PITA AG3230:OFF WHITE:4:OMBRE:SS MIDI DRESS</t>
  </si>
  <si>
    <t>SL MIDI DRESS DADA TYE DYE PINGGANG PITA AG3230:OFF WHITE:5:OMBRE:SS MIDI DRESS</t>
  </si>
  <si>
    <t>SL MIDI DRESS DADA TYE DYE PINGGANG PITA AG3230:OFF WHITE:6:OMBRE:SS MIDI DRESS</t>
  </si>
  <si>
    <t>SL MIDI DRESS DADA TYE DYE PINGGANG PITA AG3230:OFF WHITE:8:OMBRE:SS MIDI DRESS</t>
  </si>
  <si>
    <t>SL MIDI DRESS DADA TYE DYE PINGGANG PITA AG3230:OFF WHITE:10:OMBRE:SS MIDI DRESS</t>
  </si>
  <si>
    <t>SL MIDI DRESS DADA TYE DYE PINGGANG PITA AG3230:OFF WHITE:12:OMBRE:SS MIDI DRESS</t>
  </si>
  <si>
    <t>AG3261</t>
  </si>
  <si>
    <t>SL MIDI DRESS SABLON UNICORN TILE TUMPUK AG3261:PASTEL PINK:4:OMBRE:SS MIDI DRESS</t>
  </si>
  <si>
    <t>SL MIDI DRESS SABLON UNICORN TILE TUMPUK AG3261:PASTEL PINK:5:OMBRE:SS MIDI DRESS</t>
  </si>
  <si>
    <t>SL MIDI DRESS SABLON UNICORN TILE TUMPUK AG3261:PASTEL PINK:6:OMBRE:SS MIDI DRESS</t>
  </si>
  <si>
    <t>SL MIDI DRESS SABLON UNICORN TILE TUMPUK AG3261:PASTEL PINK:8:OMBRE:SS MIDI DRESS</t>
  </si>
  <si>
    <t>SL MIDI DRESS SABLON UNICORN TILE TUMPUK AG3261:PASTEL PINK:10:OMBRE:SS MIDI DRESS</t>
  </si>
  <si>
    <t>SL MIDI DRESS SABLON UNICORN TILE TUMPUK AG3261:PASTEL PINK:12:OMBRE:SS MIDI DRESS</t>
  </si>
  <si>
    <t>AG3088B</t>
  </si>
  <si>
    <t>SS MIDI DRESS TANGAN BUNGA SOLDER BORDIR STAR AG3088B:TURQOUISE:4:PRINT:SS MIDI DRESS</t>
  </si>
  <si>
    <t>SS MIDI DRESS TANGAN BUNGA SOLDER BORDIR STAR AG3088B:TURQOUISE:5:PRINT:SS MIDI DRESS</t>
  </si>
  <si>
    <t>SS MIDI DRESS TANGAN BUNGA SOLDER BORDIR STAR AG3088B:TURQOUISE:6:PRINT:SS MIDI DRESS</t>
  </si>
  <si>
    <t>SS MIDI DRESS TANGAN BUNGA SOLDER BORDIR STAR AG3088B:TURQOUISE:8:PRINT:SS MIDI DRESS</t>
  </si>
  <si>
    <t>SS MIDI DRESS TANGAN BUNGA SOLDER BORDIR STAR AG3088B:TURQOUISE:10:PRINT:SS MIDI DRESS</t>
  </si>
  <si>
    <t>SS MIDI DRESS TANGAN BUNGA SOLDER BORDIR STAR AG3088B:TURQOUISE:12:PRINT:SS MIDI DRESS</t>
  </si>
  <si>
    <t>AG3161</t>
  </si>
  <si>
    <t>SS MIDI DRESS TANGAN GEBER DADA KERUT SUSUN 3 AG3161:PASTEL YELLOW:4:SOLID:SS MIDI DRESS</t>
  </si>
  <si>
    <t>SS MIDI DRESS TANGAN GEBER DADA KERUT SUSUN 3 AG3161:PASTEL YELLOW:5:SOLID:SS MIDI DRESS</t>
  </si>
  <si>
    <t>SS MIDI DRESS TANGAN GEBER DADA KERUT SUSUN 3 AG3161:PASTEL YELLOW:6:SOLID:SS MIDI DRESS</t>
  </si>
  <si>
    <t>SS MIDI DRESS TANGAN GEBER DADA KERUT SUSUN 3 AG3161:PASTEL YELLOW:8:SOLID:SS MIDI DRESS</t>
  </si>
  <si>
    <t>SS MIDI DRESS TANGAN GEBER DADA KERUT SUSUN 3 AG3161:PASTEL YELLOW:10:SOLID:SS MIDI DRESS</t>
  </si>
  <si>
    <t>SS MIDI DRESS TANGAN GEBER DADA KERUT SUSUN 3 AG3161:PASTEL YELLOW:12:SOLID:SS MIDI DRESS</t>
  </si>
  <si>
    <t>AG3162</t>
  </si>
  <si>
    <t>SS MIDI DRESS TANGAN GEBER BUNGA ROK SUSUN TILE AG3162:PASTEL PUR:4:FLORAL:SS MIDI DR</t>
  </si>
  <si>
    <t>SS MIDI DRESS TANGAN GEBER BUNGA ROK SUSUN TILE AG3162:PASTEL PUR:5:FLORAL:SS MIDI DR</t>
  </si>
  <si>
    <t>SS MIDI DRESS TANGAN GEBER BUNGA ROK SUSUN TILE AG3162:PASTEL PUR:6:FLORAL:SS MIDI DR</t>
  </si>
  <si>
    <t>SS MIDI DRESS TANGAN GEBER BUNGA ROK SUSUN TILE AG3162:PASTEL PUR:8:FLORAL:SS MIDI DR</t>
  </si>
  <si>
    <t>SS MIDI DRESS TANGAN GEBER BUNGA ROK SUSUN TILE AG3162:PASTEL PUR:10:FLORAL:SS MIDI DR</t>
  </si>
  <si>
    <t>SS MIDI DRESS TANGAN GEBER BUNGA ROK SUSUN TILE AG3162:PASTEL PUR:12:FLORAL:SS MIDI DR</t>
  </si>
  <si>
    <t>AG3254</t>
  </si>
  <si>
    <t>SS MIDI DRESS TANGAN GEBER BORDIR BUNGA AG3254:DUSTY PINK:4:FLORAL:SS MIDI DRESS</t>
  </si>
  <si>
    <t>SS MIDI DRESS TANGAN GEBER BORDIR BUNGA AG3254:DUSTY PINK:5:FLORAL:SS MIDI DRESS</t>
  </si>
  <si>
    <t>SS MIDI DRESS TANGAN GEBER BORDIR BUNGA AG3254:DUSTY PINK:6:FLORAL:SS MIDI DRESS</t>
  </si>
  <si>
    <t>SS MIDI DRESS TANGAN GEBER BORDIR BUNGA AG3254:DUSTY PINK:8:FLORAL:SS MIDI DRESS</t>
  </si>
  <si>
    <t>SS MIDI DRESS TANGAN GEBER BORDIR BUNGA AG3254:DUSTY PINK:10:FLORAL:SS MIDI DRESS</t>
  </si>
  <si>
    <t>SS MIDI DRESS TANGAN GEBER BORDIR BUNGA AG3254:DUSTY PINK:12:FLORAL:SS MIDI DRESS</t>
  </si>
  <si>
    <t>AG3180</t>
  </si>
  <si>
    <t>SS MIDI DRESS SUSUN TIGA GEBER TANGAN BUNGA SOLDER AG3180:FUSCHIA:4:SOLID:SS MIDI D</t>
  </si>
  <si>
    <t>SS MIDI DRESS SUSUN TIGA GEBER TANGAN BUNGA SOLDER AG3180:FUSCHIA:5:SOLID:SS MIDI D</t>
  </si>
  <si>
    <t>SS MIDI DRESS SUSUN TIGA GEBER TANGAN BUNGA SOLDER AG3180:FUSCHIA:6:SOLID:SS MIDI D</t>
  </si>
  <si>
    <t>SS MIDI DRESS SUSUN TIGA GEBER TANGAN BUNGA SOLDER AG3180:FUSCHIA:8:SOLID:SS MIDI D</t>
  </si>
  <si>
    <t>SS MIDI DRESS SUSUN TIGA GEBER TANGAN BUNGA SOLDER AG3180:FUSCHIA:10:SOLID:SS MIDI D</t>
  </si>
  <si>
    <t>SS MIDI DRESS SUSUN TIGA GEBER TANGAN BUNGA SOLDER AG3180:FUSCHIA:12:SOLID:SS MIDI D</t>
  </si>
  <si>
    <t>EV220603</t>
  </si>
  <si>
    <t>SL MIDI DRESS SALUR TAS BUNNY EV220603:PASTEL PINK:4:STRIPES:SS MIDI DRESS</t>
  </si>
  <si>
    <t>SL MIDI DRESS SALUR TAS BUNNY EV220603:PASTEL PINK:5:STRIPES:SS MIDI DRESS</t>
  </si>
  <si>
    <t>SL MIDI DRESS SALUR TAS BUNNY EV220603:PASTEL PINK:6:STRIPES:SS MIDI DRESS</t>
  </si>
  <si>
    <t>SL MIDI DRESS SALUR TAS BUNNY EV220603:PASTEL PINK:8:STRIPES:SS MIDI DRESS</t>
  </si>
  <si>
    <t>SL MIDI DRESS SALUR TAS BUNNY EV220603:PASTEL PINK:10:STRIPES:SS MIDI DRESS</t>
  </si>
  <si>
    <t>SL MIDI DRESS SALUR TAS BUNNY EV220603:PASTEL PINK:12:STRIPES:SS MIDI DRESS</t>
  </si>
  <si>
    <t>AN112</t>
  </si>
  <si>
    <t>SS MIDI DRESS SALUR BORDIR UNICORN GEBER 3 AN112:PASTEL PINK:4:GRAPHIC:SS MIDI DRES</t>
  </si>
  <si>
    <t>SS MIDI DRESS SALUR BORDIR UNICORN GEBER 3 AN112:PASTEL PINK:5:GRAPHIC:SS MIDI DRES</t>
  </si>
  <si>
    <t>SS MIDI DRESS SALUR BORDIR UNICORN GEBER 3 AN112:PASTEL PINK:6:GRAPHIC:SS MIDI DRES</t>
  </si>
  <si>
    <t>SS MIDI DRESS SALUR BORDIR UNICORN GEBER 3 AN112:PASTEL PINK:8:GRAPHIC:SS MIDI DRES</t>
  </si>
  <si>
    <t>SS MIDI DRESS SALUR BORDIR UNICORN GEBER 3 AN112:PASTEL PINK:10:GRAPHIC:SS MIDI DRES</t>
  </si>
  <si>
    <t>SS MIDI DRESS SALUR BORDIR UNICORN GEBER 3 AN112:PASTEL PINK:12:GRAPHIC:SS MIDI DRES</t>
  </si>
  <si>
    <t>AN128</t>
  </si>
  <si>
    <t>SS MIDI DRESS DADA UNICORN ROK WARNA WARNI AN128:WHITE:4:OMBRE:SS MIDI DRES</t>
  </si>
  <si>
    <t>SS MIDI DRESS DADA UNICORN ROK WARNA WARNI AN128:WHITE:5:OMBRE:SS MIDI DRES</t>
  </si>
  <si>
    <t>SS MIDI DRESS DADA UNICORN ROK WARNA WARNI AN128:WHITE:6:OMBRE:SS MIDI DRES</t>
  </si>
  <si>
    <t>SS MIDI DRESS DADA UNICORN ROK WARNA WARNI AN128:WHITE:8:OMBRE:SS MIDI DRES</t>
  </si>
  <si>
    <t>SS MIDI DRESS DADA UNICORN ROK WARNA WARNI AN128:WHITE:10:OMBRE:SS MIDI DRES</t>
  </si>
  <si>
    <t>SS MIDI DRESS DADA UNICORN ROK WARNA WARNI AN128:WHITE:12:OMBRE:SS MIDI DRES</t>
  </si>
  <si>
    <t>EV211201B</t>
  </si>
  <si>
    <t>SS MIDI DRESS TANGAN GEBER FP WARNA TAS UNI EV211201B:TURQOUISE:4:OMBRE:SS MIDI DR</t>
  </si>
  <si>
    <t>SS MIDI DRESS TANGAN GEBER FP WARNA TAS UNI EV211201B:TURQOUISE:5:OMBRE:SS MIDI DR</t>
  </si>
  <si>
    <t>SS MIDI DRESS TANGAN GEBER FP WARNA TAS UNI EV211201B:TURQOUISE:6:OMBRE:SS MIDI DR</t>
  </si>
  <si>
    <t>SS MIDI DRESS TANGAN GEBER FP WARNA TAS UNI EV211201B:TURQOUISE:8:OMBRE:SS MIDI DR</t>
  </si>
  <si>
    <t>EV220501</t>
  </si>
  <si>
    <t>SS MIDI DRESS TOP KNIT BUNNY MOTE EV220501:CORAL:4:GRAPHIC:SS MIDI DRESS</t>
  </si>
  <si>
    <t>SS MIDI DRESS TOP KNIT BUNNY MOTE EV220501:CORAL:5:GRAPHIC:SS MIDI DRESS</t>
  </si>
  <si>
    <t>SS MIDI DRESS TOP KNIT BUNNY MOTE EV220501:CORAL:6:GRAPHIC:SS MIDI DRESS</t>
  </si>
  <si>
    <t>SS MIDI DRESS TOP KNIT BUNNY MOTE EV220501:CORAL:8:GRAPHIC:SS MIDI DRESS</t>
  </si>
  <si>
    <t>SS MIDI DRESS TOP KNIT BUNNY MOTE EV220501:CORAL:10:GRAPHIC:SS MIDI DRESS</t>
  </si>
  <si>
    <t>SS MIDI DRESS TOP KNIT BUNNY MOTE EV220501:CORAL:12:GRAPHIC:SS MIDI DRESS</t>
  </si>
  <si>
    <t>AN182</t>
  </si>
  <si>
    <t>SS MIDI DRESS OPNASEL DADA BAWAH GEBER AN182:PASTEL GREEN:4:SOLID:SS MIDI DRESS</t>
  </si>
  <si>
    <t>SS MIDI DRESS OPNASEL DADA BAWAH GEBER AN182:PASTEL GREEN:5:SOLID:SS MIDI DRESS</t>
  </si>
  <si>
    <t>SS MIDI DRESS OPNASEL DADA BAWAH GEBER AN182:PASTEL GREEN:6:SOLID:SS MIDI DRESS</t>
  </si>
  <si>
    <t>SS MIDI DRESS OPNASEL DADA BAWAH GEBER AN182:PASTEL GREEN:8:SOLID:SS MIDI DRESS</t>
  </si>
  <si>
    <t>SS MIDI DRESS OPNASEL DADA BAWAH GEBER AN182:PASTEL GREEN:10:SOLID:SS MIDI DRESS</t>
  </si>
  <si>
    <t>SS MIDI DRESS OPNASEL DADA BAWAH GEBER AN182:PASTEL GREEN:12:SOLID:SS MIDI DRESS</t>
  </si>
  <si>
    <t>AN183</t>
  </si>
  <si>
    <t>SS MIDI DRESS SUSUN LENGAN GEBER AN183:PASTEL BLUE:4:FLORAL:SS MIDI DRESS</t>
  </si>
  <si>
    <t>SS MIDI DRESS SUSUN LENGAN GEBER AN183:PASTEL BLUE:5:FLORAL:SS MIDI DRESS</t>
  </si>
  <si>
    <t>SS MIDI DRESS SUSUN LENGAN GEBER AN183:PASTEL BLUE:6:FLORAL:SS MIDI DRESS</t>
  </si>
  <si>
    <t>SS MIDI DRESS SUSUN LENGAN GEBER AN183:PASTEL BLUE:8:FLORAL:SS MIDI DRESS</t>
  </si>
  <si>
    <t>SS MIDI DRESS SUSUN LENGAN GEBER AN183:PASTEL BLUE:10:FLORAL:SS MIDI DRESS</t>
  </si>
  <si>
    <t>SS MIDI DRESS SUSUN LENGAN GEBER AN183:PASTEL BLUE:12:FLORAL:SS MIDI DRESS</t>
  </si>
  <si>
    <t>EV220601</t>
  </si>
  <si>
    <t>SL MIDI DRESS KOTAK HITAM KANTONG GEBER CHERRY EV220601:BLACK:4:CHECKS:SS MIDI DR</t>
  </si>
  <si>
    <t>SL MIDI DRESS KOTAK HITAM KANTONG GEBER CHERRY EV220601:BLACK:5:CHECKS:SS MIDI DR</t>
  </si>
  <si>
    <t>SL MIDI DRESS KOTAK HITAM KANTONG GEBER CHERRY EV220601:BLACK:6:CHECKS:SS MIDI DR</t>
  </si>
  <si>
    <t>SL MIDI DRESS KOTAK HITAM KANTONG GEBER CHERRY EV220601:BLACK:8:CHECKS:SS MIDI DR</t>
  </si>
  <si>
    <t>SL MIDI DRESS KOTAK HITAM KANTONG GEBER CHERRY EV220601:BLACK:10:CHECKS:SS MIDI DR</t>
  </si>
  <si>
    <t>EV220602</t>
  </si>
  <si>
    <t>SS MIDI DRESS OVL BUNNY BORDIR EV220602:DUSTY PINK:4:GRAPHIC:SS MIDI DRESS</t>
  </si>
  <si>
    <t>SS MIDI DRESS OVL BUNNY BORDIR EV220602:DUSTY PINK:5:GRAPHIC:SS MIDI DRESS</t>
  </si>
  <si>
    <t>SS MIDI DRESS OVL BUNNY BORDIR EV220602:DUSTY PINK:6:GRAPHIC:SS MIDI DRESS</t>
  </si>
  <si>
    <t>SS MIDI DRESS OVL BUNNY BORDIR EV220602:DUSTY PINK:8:GRAPHIC:SS MIDI DRESS</t>
  </si>
  <si>
    <t>SS MIDI DRESS OVL BUNNY BORDIR EV220602:DUSTY PINK:10:GRAPHIC:SS MIDI DRESS</t>
  </si>
  <si>
    <t>SS MIDI DRESS OVL BUNNY BORDIR EV220602:DUSTY PINK:12:GRAPHIC:SS MIDI DRESS</t>
  </si>
  <si>
    <t>EV220629</t>
  </si>
  <si>
    <t>SS MIDI DRESS BUNGA HIDUP DI POCKET EV220629:PASTEL YELLOW:4:FLORAL:SS MIDI DRESS</t>
  </si>
  <si>
    <t>SS MIDI DRESS BUNGA HIDUP DI POCKET EV220629:PASTEL YELLOW:5:FLORAL:SS MIDI DRESS</t>
  </si>
  <si>
    <t>SS MIDI DRESS BUNGA HIDUP DI POCKET EV220629:PASTEL YELLOW:6:FLORAL:SS MIDI DRESS</t>
  </si>
  <si>
    <t>SS MIDI DRESS BUNGA HIDUP DI POCKET EV220629:PASTEL YELLOW:8:FLORAL:SS MIDI DRESS</t>
  </si>
  <si>
    <t>SS MIDI DRESS BUNGA HIDUP DI POCKET EV220629:PASTEL YELLOW:10:FLORAL:SS MIDI DRESS</t>
  </si>
  <si>
    <t>AN225</t>
  </si>
  <si>
    <t>SS MIDI DRESS PRINT ROK TUPAI PITA BUNGA AN225:DUSTY PINK:4:FLORAL:SS MIDI DRES</t>
  </si>
  <si>
    <t>SS MIDI DRESS PRINT ROK TUPAI PITA BUNGA AN225:DUSTY PINK:5:FLORAL:SS MIDI DRES</t>
  </si>
  <si>
    <t>SS MIDI DRESS PRINT ROK TUPAI PITA BUNGA AN225:DUSTY PINK:6:FLORAL:SS MIDI DRES</t>
  </si>
  <si>
    <t>SS MIDI DRESS PRINT ROK TUPAI PITA BUNGA AN225:DUSTY PINK:8:FLORAL:SS MIDI DRES</t>
  </si>
  <si>
    <t>SS MIDI DRESS PRINT ROK TUPAI PITA BUNGA AN225:DUSTY PINK:10:FLORAL:SS MIDI DRES</t>
  </si>
  <si>
    <t>SS MIDI DRESS PRINT ROK TUPAI PITA BUNGA AN225:DUSTY PINK:12:FLORAL:SS MIDI DRES</t>
  </si>
  <si>
    <t>EV0922Y3</t>
  </si>
  <si>
    <t>SL MIDI DRESS ANGEL AND STAR NAVY EV0922Y3:NAVY BLUE:4:PRINT:SS MIDI DRESS</t>
  </si>
  <si>
    <t>SL MIDI DRESS ANGEL AND STAR NAVY EV0922Y3:NAVY BLUE:5:PRINT:SS MIDI DRESS</t>
  </si>
  <si>
    <t>SL MIDI DRESS ANGEL AND STAR NAVY EV0922Y3:NAVY BLUE:6:PRINT:SS MIDI DRESS</t>
  </si>
  <si>
    <t>SL MIDI DRESS ANGEL AND STAR NAVY EV0922Y3:NAVY BLUE:8:PRINT:SS MIDI DRESS</t>
  </si>
  <si>
    <t>SL MIDI DRESS ANGEL AND STAR NAVY EV0922Y3:NAVY BLUE:10:PRINT:SS MIDI DRESS</t>
  </si>
  <si>
    <t>EV220502</t>
  </si>
  <si>
    <t>SL MIDI DRESS STRIPE TAS BUNNY KUPING EV220502:PASTEL PINK:4:STRIPES:SS MIDI DRESS</t>
  </si>
  <si>
    <t>SL MIDI DRESS STRIPE TAS BUNNY KUPING EV220502:PASTEL PINK:5:STRIPES:SS MIDI DRESS</t>
  </si>
  <si>
    <t>SL MIDI DRESS STRIPE TAS BUNNY KUPING EV220502:PASTEL PINK:6:STRIPES:SS MIDI DRESS</t>
  </si>
  <si>
    <t>SL MIDI DRESS STRIPE TAS BUNNY KUPING EV220502:PASTEL PINK:8:STRIPES:SS MIDI DRESS</t>
  </si>
  <si>
    <t>SL MIDI DRESS STRIPE TAS BUNNY KUPING EV220502:PASTEL PINK:10:STRIPES:SS MIDI DRESS</t>
  </si>
  <si>
    <t>SL MIDI DRESS STRIPE TAS BUNNY KUPING EV220502:PASTEL PINK:12:STRIPES:SS MIDI DRESS</t>
  </si>
  <si>
    <t>EV220630</t>
  </si>
  <si>
    <t>SS MIDI DRESS SUSUN 3 WARNA WITH TAS EV220630:PASTEL PINK:4:OMBRE:SS MIDI DRESS</t>
  </si>
  <si>
    <t>SS MIDI DRESS SUSUN 3 WARNA WITH TAS EV220630:PASTEL PINK:5:OMBRE:SS MIDI DRESS</t>
  </si>
  <si>
    <t>SS MIDI DRESS SUSUN 3 WARNA WITH TAS EV220630:PASTEL PINK:6:OMBRE:SS MIDI DRESS</t>
  </si>
  <si>
    <t>SS MIDI DRESS SUSUN 3 WARNA WITH TAS EV220630:PASTEL PINK:8:OMBRE:SS MIDI DRESS</t>
  </si>
  <si>
    <t>SS MIDI DRESS SUSUN 3 WARNA WITH TAS EV220630:PASTEL PINK:10:OMBRE:SS MIDI DRESS</t>
  </si>
  <si>
    <t>SS MIDI DRESS SUSUN 3 WARNA WITH TAS EV220630:PASTEL PINK:12:OMBRE:SS MIDI DRESS</t>
  </si>
  <si>
    <t>EV220631</t>
  </si>
  <si>
    <t>SS MIDI DRESS SUSUN 3 WARNA GRADASI BORDIR UNICORN EV220631:PASTEL PINK:4:OMBRE:SS MIDI DRESS</t>
  </si>
  <si>
    <t>SS MIDI DRESS SUSUN 3 WARNA GRADASI BORDIR UNICORN EV220631:PASTEL PINK:5:OMBRE:SS MIDI DRESS</t>
  </si>
  <si>
    <t>SS MIDI DRESS SUSUN 3 WARNA GRADASI BORDIR UNICORN EV220631:PASTEL PINK:6:OMBRE:SS MIDI DRESS</t>
  </si>
  <si>
    <t>SS MIDI DRESS SUSUN 3 WARNA GRADASI BORDIR UNICORN EV220631:PASTEL PINK:8:OMBRE:SS MIDI DRESS</t>
  </si>
  <si>
    <t>SS MIDI DRESS SUSUN 3 WARNA GRADASI BORDIR UNICORN EV220631:PASTEL PINK:10:OMBRE:SS MIDI DRESS</t>
  </si>
  <si>
    <t>SS MIDI DRESS SUSUN 3 WARNA GRADASI BORDIR UNICORN EV220631:PASTEL PINK:12:OMBRE:SS MIDI DRESS</t>
  </si>
  <si>
    <t>AN228</t>
  </si>
  <si>
    <t>SS MIDI DRESS ROK PRINT BALERINA AN228:NAVY BLUE:4:PRINT:SS MIDI DRESS</t>
  </si>
  <si>
    <t>SS MIDI DRESS ROK PRINT BALERINA AN228:NAVY BLUE:5:PRINT:SS MIDI DRESS</t>
  </si>
  <si>
    <t>SS MIDI DRESS ROK PRINT BALERINA AN228:NAVY BLUE:6:PRINT:SS MIDI DRESS</t>
  </si>
  <si>
    <t>SS MIDI DRESS ROK PRINT BALERINA AN228:NAVY BLUE:8:PRINT:SS MIDI DRESS</t>
  </si>
  <si>
    <t>SS MIDI DRESS ROK PRINT BALERINA AN228:NAVY BLUE:10:PRINT:SS MIDI DRESS</t>
  </si>
  <si>
    <t>SS MIDI DRESS ROK PRINT BALERINA AN228:NAVY BLUE:12:PRINT:SS MIDI DRESS</t>
  </si>
  <si>
    <t>AN238</t>
  </si>
  <si>
    <t>SS MIDI DRESS PRINT BUNGA ROK COMBI TILE AN238:LIGHT BLUE:4:FLORAL:SS MIDI DRESS</t>
  </si>
  <si>
    <t>SS MIDI DRESS PRINT BUNGA ROK COMBI TILE AN238:LIGHT BLUE:5:FLORAL:SS MIDI DRESS</t>
  </si>
  <si>
    <t>SS MIDI DRESS PRINT BUNGA ROK COMBI TILE AN238:LIGHT BLUE:6:FLORAL:SS MIDI DRESS</t>
  </si>
  <si>
    <t>SS MIDI DRESS PRINT BUNGA ROK COMBI TILE AN238:LIGHT BLUE:8:FLORAL:SS MIDI DRESS</t>
  </si>
  <si>
    <t>SS MIDI DRESS PRINT BUNGA ROK COMBI TILE AN238:LIGHT BLUE:10:FLORAL:SS MIDI DRESS</t>
  </si>
  <si>
    <t>SS MIDI DRESS PRINT BUNGA ROK COMBI TILE AN238:LIGHT BLUE:12:FLORAL:SS MIDI DRESS</t>
  </si>
  <si>
    <t>EV220628</t>
  </si>
  <si>
    <t>SS MIDI DRESS PRINT KOTAK DAN TAS LENGAN TULIP EV220628:PASTEL PURPLE:4:CHECKS:SS MIDI DRESS</t>
  </si>
  <si>
    <t>SS MIDI DRESS PRINT KOTAK DAN TAS LENGAN TULIP EV220628:PASTEL PURPLE:5:CHECKS:SS MIDI DRESS</t>
  </si>
  <si>
    <t>SS MIDI DRESS PRINT KOTAK DAN TAS LENGAN TULIP EV220628:PASTEL PURPLE:6:CHECKS:SS MIDI DRESS</t>
  </si>
  <si>
    <t>SS MIDI DRESS PRINT KOTAK DAN TAS LENGAN TULIP EV220628:PASTEL PURPLE:8:CHECKS:SS MIDI DRESS</t>
  </si>
  <si>
    <t>SS MIDI DRESS PRINT KOTAK DAN TAS LENGAN TULIP EV220628:PASTEL PURPLE:10:CHECKS:SS MIDI DRESS</t>
  </si>
  <si>
    <t>SS MIDI DRESS PRINT KOTAK DAN TAS LENGAN TULIP EV220628:PASTEL PURPLE:12:CHECKS:SS MIDI DRESS</t>
  </si>
  <si>
    <t>EV220729</t>
  </si>
  <si>
    <t>SS MIDI DRESS PRINT GARIS TAS PITA GARIS EV220729:PASTEL PINK:4:STRIPES:SS MIDI DRESS</t>
  </si>
  <si>
    <t>SS MIDI DRESS PRINT GARIS TAS PITA GARIS EV220729:PASTEL PINK:5:STRIPES:SS MIDI DRESS</t>
  </si>
  <si>
    <t>SS MIDI DRESS PRINT GARIS TAS PITA GARIS EV220729:PASTEL PINK:6:STRIPES:SS MIDI DRESS</t>
  </si>
  <si>
    <t>SS MIDI DRESS PRINT GARIS TAS PITA GARIS EV220729:PASTEL PINK:8:STRIPES:SS MIDI DRESS</t>
  </si>
  <si>
    <t>SS MIDI DRESS PRINT GARIS TAS PITA GARIS EV220729:PASTEL PINK:10:STRIPES:SS MIDI DRESS</t>
  </si>
  <si>
    <t>SS MIDI DRESS PRINT GARIS TAS PITA GARIS EV220729:PASTEL PINK:12:STRIPES:SS MIDI DRESS</t>
  </si>
  <si>
    <t>EV220730</t>
  </si>
  <si>
    <t>SS MIDI DRESS PRINT POLKADOT BUNNY CAT KANTONG EV220730:LIGHT BLUE:4:PRINT:SS MIDI DRESS</t>
  </si>
  <si>
    <t>SS MIDI DRESS PRINT POLKADOT BUNNY CAT KANTONG EV220730:LIGHT BLUE:5:PRINT:SS MIDI DRESS</t>
  </si>
  <si>
    <t>SS MIDI DRESS PRINT POLKADOT BUNNY CAT KANTONG EV220730:LIGHT BLUE:6:PRINT:SS MIDI DRESS</t>
  </si>
  <si>
    <t>SS MIDI DRESS PRINT POLKADOT BUNNY CAT KANTONG EV220730:LIGHT BLUE:8:PRINT:SS MIDI DRESS</t>
  </si>
  <si>
    <t>SS MIDI DRESS PRINT POLKADOT BUNNY CAT KANTONG EV220730:LIGHT BLUE:10:PRINT:SS MIDI DRESS</t>
  </si>
  <si>
    <t>SS MIDI DRESS PRINT POLKADOT BUNNY CAT KANTONG EV220730:LIGHT BLUE:12:PRINT:SS MIDI DRESS</t>
  </si>
  <si>
    <t>TSBUNGA</t>
  </si>
  <si>
    <t>LS MIDI DRESS FULL PRINT BUNGA DOLL COLLAR TSBUNGA:PASTEL PINK:4:FLORAL:LS MIDI DRESS</t>
  </si>
  <si>
    <t>LS MIDI DRESS FULL PRINT BUNGA DOLL COLLAR TSBUNGA:PASTEL PINK:5:FLORAL:LS MIDI DRESS</t>
  </si>
  <si>
    <t>LS MIDI DRESS FULL PRINT BUNGA DOLL COLLAR TSBUNGA:PASTEL PINK:6:FLORAL:LS MIDI DRESS</t>
  </si>
  <si>
    <t>LS MIDI DRESS FULL PRINT BUNGA DOLL COLLAR TSBUNGA:PASTEL PINK:8:FLORAL:LS MIDI DRESS</t>
  </si>
  <si>
    <t>LS MIDI DRESS FULL PRINT BUNGA DOLL COLLAR TSBUNGA:PASTEL PINK:10:FLORAL:LS MIDI DRESS</t>
  </si>
  <si>
    <t>LS MIDI DRESS FULL PRINT BUNGA DOLL COLLAR TSBUNGA:PASTEL PINK:12:FLORAL:LS MIDI DRESS</t>
  </si>
  <si>
    <t>AG3042</t>
  </si>
  <si>
    <t>LS MIDI DRESS LEHER KERUT TILE ONDE AG3042:PEPPERMINT:4:PRINT:LS MIDI DRESS</t>
  </si>
  <si>
    <t>LS MIDI DRESS LEHER KERUT TILE ONDE AG3042:PEPPERMINT:5:PRINT:LS MIDI DRESS</t>
  </si>
  <si>
    <t>LS MIDI DRESS LEHER KERUT TILE ONDE AG3042:PEPPERMINT:6:PRINT:LS MIDI DRESS</t>
  </si>
  <si>
    <t>LS MIDI DRESS LEHER KERUT TILE ONDE AG3042:PEPPERMINT:8:PRINT:LS MIDI DRESS</t>
  </si>
  <si>
    <t>LS MIDI DRESS LEHER KERUT TILE ONDE AG3042:PEPPERMINT:10:PRINT:LS MIDI DRESS</t>
  </si>
  <si>
    <t>LS MIDI DRESS LEHER KERUT TILE ONDE AG3042:PEPPERMINT:12:PRINT:LS MIDI DRESS</t>
  </si>
  <si>
    <t>AG3184</t>
  </si>
  <si>
    <t>SS MIDI DRESS BUNGA LEHER BELAKANG BIG BOW AG3184:VANILLA:12:SOLID:SS MIDI DRESS</t>
  </si>
  <si>
    <t>SS MIDI DRESS BUNGA LEHER BELAKANG BIG BOW AG3184:VANILLA:4:SOLID:SS MIDI DRESS</t>
  </si>
  <si>
    <t>SS MIDI DRESS BUNGA LEHER BELAKANG BIG BOW AG3184:VANILLA:5:SOLID:SS MIDI DRESS</t>
  </si>
  <si>
    <t>SS MIDI DRESS BUNGA LEHER BELAKANG BIG BOW AG3184:VANILLA:6:SOLID:SS MIDI DRESS</t>
  </si>
  <si>
    <t>SS MIDI DRESS BUNGA LEHER BELAKANG BIG BOW AG3184:VANILLA:8:SOLID:SS MIDI DRESS</t>
  </si>
  <si>
    <t>SS MIDI DRESS BUNGA LEHER BELAKANG BIG BOW AG3184:VANILLA:10:SOLID:SS MIDI DRESS</t>
  </si>
  <si>
    <t>AN226</t>
  </si>
  <si>
    <t>SS MIDI DRESS PRINT LOVE AN226:PASTEL PINK:4:PRINT:SS MIDI DRESS</t>
  </si>
  <si>
    <t>SS MIDI DRESS PRINT LOVE AN226:PASTEL PINK:5:PRINT:SS MIDI DRESS</t>
  </si>
  <si>
    <t>SS MIDI DRESS PRINT LOVE AN226:PASTEL PINK:6:PRINT:SS MIDI DRESS</t>
  </si>
  <si>
    <t>SS MIDI DRESS PRINT LOVE AN226:PASTEL PINK:8:PRINT:SS MIDI DRESS</t>
  </si>
  <si>
    <t>SS MIDI DRESS PRINT LOVE AN226:PASTEL PINK:10:PRINT:SS MIDI DRESS</t>
  </si>
  <si>
    <t>SS MIDI DRESS PRINT LOVE AN226:PASTEL PINK:12:PRINT:SS MIDI DRESS</t>
  </si>
  <si>
    <t>AN234</t>
  </si>
  <si>
    <t>SL MIDI DRESS RUFFLE BAHU DADA FULL PRINT AN234:NAVY BLUE:4:PRINT:SS MIDI DRESS</t>
  </si>
  <si>
    <t>SL MIDI DRESS RUFFLE BAHU DADA FULL PRINT AN234:NAVY BLUE:5:PRINT:SS MIDI DRESS</t>
  </si>
  <si>
    <t>SL MIDI DRESS RUFFLE BAHU DADA FULL PRINT AN234:NAVY BLUE:6:PRINT:SS MIDI DRESS</t>
  </si>
  <si>
    <t>SL MIDI DRESS RUFFLE BAHU DADA FULL PRINT AN234:NAVY BLUE:8:PRINT:SS MIDI DRESS</t>
  </si>
  <si>
    <t>SL MIDI DRESS RUFFLE BAHU DADA FULL PRINT AN234:NAVY BLUE:10:PRINT:SS MIDI DRESS</t>
  </si>
  <si>
    <t>SL MIDI DRESS RUFFLE BAHU DADA FULL PRINT AN234:NAVY BLUE:12:PRINT:SS MIDI DRESS</t>
  </si>
  <si>
    <t>EV220728</t>
  </si>
  <si>
    <t>SS MIDI DRESS FULL PRINT BUNGA KERAH BORDIR DAN TAS EV220728:PASTEL PINK:4:FLORAL:SS MIDI DRESS</t>
  </si>
  <si>
    <t>SS MIDI DRESS FULL PRINT BUNGA KERAH BORDIR DAN TAS EV220728:PASTEL PINK:5:FLORAL:SS MIDI DRESS</t>
  </si>
  <si>
    <t>SS MIDI DRESS FULL PRINT BUNGA KERAH BORDIR DAN TAS EV220728:PASTEL PINK:6:FLORAL:SS MIDI DRESS</t>
  </si>
  <si>
    <t>SS MIDI DRESS FULL PRINT BUNGA KERAH BORDIR DAN TAS EV220728:PASTEL PINK:8:FLORAL:SS MIDI DRESS</t>
  </si>
  <si>
    <t>SS MIDI DRESS FULL PRINT BUNGA KERAH BORDIR DAN TAS EV220728:PASTEL PINK:10:FLORAL:SS MIDI DRESS</t>
  </si>
  <si>
    <t>SS MIDI DRESS FULL PRINT BUNGA KERAH BORDIR DAN TAS EV220728:PASTEL PINK:12:FLORAL:SS MIDI DRESS</t>
  </si>
  <si>
    <t>LEBTSB222</t>
  </si>
  <si>
    <t>LS MAXI DRESS MODEST DOBY KOMB FP STRIPES FAKE 2PCS:MUSTARD:4:STRIPES:LS MAXI DRE</t>
  </si>
  <si>
    <t>LS MAXI DRESS MODEST DOBY KOMB FP STRIPES FAKE 2PCS:MUSTARD:5:STRIPES:LS MAXI DRE</t>
  </si>
  <si>
    <t>LS MAXI DRESS MODEST DOBY KOMB FP STRIPES FAKE 2PCS:MUSTARD:6:STRIPES:LS MAXI DRE</t>
  </si>
  <si>
    <t>LS MAXI DRESS MODEST DOBY KOMB FP STRIPES FAKE 2PCS:MUSTARD:8:STRIPES:LS MAXI DRE</t>
  </si>
  <si>
    <t>LS MAXI DRESS MODEST DOBY KOMB FP STRIPES FAKE 2PCS:MUSTARD:10:STRIPES:LS MAXI DRE</t>
  </si>
  <si>
    <t>LS MAXI DRESS MODEST DOBY KOMB FP STRIPES FAKE 2PCS:MUSTARD:12:STRIPES:LS MAXI DRE</t>
  </si>
  <si>
    <t>LEBTSB223</t>
  </si>
  <si>
    <t>LS MAXI DRESS MODEST DOBY KOMB FP KOTAK FAKE 2PCS LEBTSB223:PASTEL PU:4:CHECKS:LS MAXI D</t>
  </si>
  <si>
    <t>LS MAXI DRESS MODEST DOBY KOMB FP KOTAK FAKE 2PCS LEBTSB223:PASTEL PU:5:CHECKS:LS MAXI D</t>
  </si>
  <si>
    <t>LS MAXI DRESS MODEST DOBY KOMB FP KOTAK FAKE 2PCS LEBTSB223:PASTEL PU:6:CHECKS:LS MAXI D</t>
  </si>
  <si>
    <t>LS MAXI DRESS MODEST DOBY KOMB FP KOTAK FAKE 2PCS LEBTSB223:PASTEL PU:8:CHECKS:LS MAXI D</t>
  </si>
  <si>
    <t>LS MAXI DRESS MODEST DOBY KOMB FP KOTAK FAKE 2PCS LEBTSB223:PASTEL PU:10:CHECKS:LS MAXI D</t>
  </si>
  <si>
    <t>LS MAXI DRESS MODEST DOBY KOMB FP KOTAK FAKE 2PCS LEBTSB223:PASTEL PU:12:CHECKS:LS MAXI D</t>
  </si>
  <si>
    <t>LEBTSB224</t>
  </si>
  <si>
    <t>LS MAXI DRESS MODEST DOBY KOMB FP STRIPES FAKE 2PCS:PASTEL PINK:4:STRIPES:LS MAXI DRE</t>
  </si>
  <si>
    <t>LS MAXI DRESS MODEST DOBY KOMB FP STRIPES FAKE 2PCS:PASTEL PINK:5:STRIPES:LS MAXI DRE</t>
  </si>
  <si>
    <t>LS MAXI DRESS MODEST DOBY KOMB FP STRIPES FAKE 2PCS:PASTEL PINK:6:STRIPES:LS MAXI DRE</t>
  </si>
  <si>
    <t>LS MAXI DRESS MODEST DOBY KOMB FP STRIPES FAKE 2PCS:PASTEL PINK:8:STRIPES:LS MAXI DRE</t>
  </si>
  <si>
    <t>LS MAXI DRESS MODEST DOBY KOMB FP STRIPES FAKE 2PCS:PASTEL PINK:10:STRIPES:LS MAXI DRE</t>
  </si>
  <si>
    <t>LS MAXI DRESS MODEST DOBY KOMB FP STRIPES FAKE 2PCS:PASTEL PINK:12:STRIPES:LS MAXI DRE</t>
  </si>
  <si>
    <t>LEBTSB225</t>
  </si>
  <si>
    <t>LS MAXI DRESS MODEST DOBY HDY KOMB FP FAKE 2 PCS LEBTSB225:PASTEL GR:4:PRINT:LS MAXI D</t>
  </si>
  <si>
    <t>LS MAXI DRESS MODEST DOBY HDY KOMB FP FAKE 2 PCS LEBTSB225:PASTEL GR:5:PRINT:LS MAXI D</t>
  </si>
  <si>
    <t>LS MAXI DRESS MODEST DOBY HDY KOMB FP FAKE 2 PCS LEBTSB225:PASTEL GR:6:PRINT:LS MAXI D</t>
  </si>
  <si>
    <t>LS MAXI DRESS MODEST DOBY HDY KOMB FP FAKE 2 PCS LEBTSB225:PASTEL GR:8:PRINT:LS MAXI D</t>
  </si>
  <si>
    <t>LS MAXI DRESS MODEST DOBY HDY KOMB FP FAKE 2 PCS LEBTSB225:PASTEL GR:10:PRINT:LS MAXI D</t>
  </si>
  <si>
    <t>LS MAXI DRESS MODEST DOBY HDY KOMB FP FAKE 2 PCS LEBTSB225:PASTEL GR:12:PRINT:LS MAXI D</t>
  </si>
  <si>
    <t>LEBTSB226</t>
  </si>
  <si>
    <t>LS MAXI DRESS MODEST DOBY HDY KOMB FP FAKE 2 PCS LEBTSB226:PASTEL YE:4:PRINT:LS MAXI D</t>
  </si>
  <si>
    <t>LS MAXI DRESS MODEST DOBY HDY KOMB FP FAKE 2 PCS LEBTSB226:PASTEL YE:5:PRINT:LS MAXI D</t>
  </si>
  <si>
    <t>LS MAXI DRESS MODEST DOBY HDY KOMB FP FAKE 2 PCS LEBTSB226:PASTEL YE:6:PRINT:LS MAXI D</t>
  </si>
  <si>
    <t>LS MAXI DRESS MODEST DOBY HDY KOMB FP FAKE 2 PCS LEBTSB226:PASTEL YE:8:PRINT:LS MAXI D</t>
  </si>
  <si>
    <t>LS MAXI DRESS MODEST DOBY HDY KOMB FP FAKE 2 PCS LEBTSB226:PASTEL YE:10:PRINT:LS MAXI D</t>
  </si>
  <si>
    <t>LS MAXI DRESS MODEST DOBY HDY KOMB FP FAKE 2 PCS LEBTSB226:PASTEL YE:12:PRINT:LS MAXI D</t>
  </si>
  <si>
    <t>LEBTSB227</t>
  </si>
  <si>
    <t>LS MAXI DRESS MODEST DOBY HDY KOMB FP FAKE 2 PCS LEBTSB227:PASTEL PU:4:PRINT:LS MAXI D</t>
  </si>
  <si>
    <t>LS MAXI DRESS MODEST DOBY HDY KOMB FP FAKE 2 PCS LEBTSB227:PASTEL PU:5:PRINT:LS MAXI D</t>
  </si>
  <si>
    <t>LS MAXI DRESS MODEST DOBY HDY KOMB FP FAKE 2 PCS LEBTSB227:PASTEL PU:6:PRINT:LS MAXI D</t>
  </si>
  <si>
    <t>LS MAXI DRESS MODEST DOBY HDY KOMB FP FAKE 2 PCS LEBTSB227:PASTEL PU:8:PRINT:LS MAXI D</t>
  </si>
  <si>
    <t>LS MAXI DRESS MODEST DOBY HDY KOMB FP FAKE 2 PCS LEBTSB227:PASTEL PU:10:PRINT:LS MAXI D</t>
  </si>
  <si>
    <t>LS MAXI DRESS MODEST DOBY HDY KOMB FP FAKE 2 PCS LEBTSB227:PASTEL PU:12:PRINT:LS MAXI D</t>
  </si>
  <si>
    <t>LEBTSB228</t>
  </si>
  <si>
    <t>LS MAXI DRESS MODEST HDY KOMB KOTAK FP FAKE 2 PCS LEBTSB228:NAVY BLUE:4:PRINT:LS MAXI D</t>
  </si>
  <si>
    <t>LS MAXI DRESS MODEST HDY KOMB KOTAK FP FAKE 2 PCS LEBTSB228:NAVY BLUE:5:PRINT:LS MAXI D</t>
  </si>
  <si>
    <t>LS MAXI DRESS MODEST HDY KOMB KOTAK FP FAKE 2 PCS LEBTSB228:NAVY BLUE:6:PRINT:LS MAXI D</t>
  </si>
  <si>
    <t>LS MAXI DRESS MODEST HDY KOMB KOTAK FP FAKE 2 PCS LEBTSB228:NAVY BLUE:8:PRINT:LS MAXI D</t>
  </si>
  <si>
    <t>LS MAXI DRESS MODEST HDY KOMB KOTAK FP FAKE 2 PCS LEBTSB228:NAVY BLUE:10:PRINT:LS MAXI D</t>
  </si>
  <si>
    <t>LS MAXI DRESS MODEST HDY KOMB KOTAK FP FAKE 2 PCS LEBTSB228:NAVY BLUE:12:PRINT:LS MAXI D</t>
  </si>
  <si>
    <t>LEBTSB229</t>
  </si>
  <si>
    <t>OVERALL MAXI SKIRT MODEST OVL SUSUN KOMB 3 BAHAN LEBTSB229:PASTEL BL:4:PRINT:OVERALL M</t>
  </si>
  <si>
    <t>OVERALL MAXI SKIRT MODEST OVL SUSUN KOMB 3 BAHAN LEBTSB229:PASTEL BL:5:PRINT:OVERALL M</t>
  </si>
  <si>
    <t>OVERALL MAXI SKIRT MODEST OVL SUSUN KOMB 3 BAHAN LEBTSB229:PASTEL BL:6:PRINT:OVERALL M</t>
  </si>
  <si>
    <t>OVERALL MAXI SKIRT MODEST OVL SUSUN KOMB 3 BAHAN LEBTSB229:PASTEL BL:8:PRINT:OVERALL M</t>
  </si>
  <si>
    <t>OVERALL MAXI SKIRT MODEST OVL SUSUN KOMB 3 BAHAN LEBTSB229:PASTEL BL:10:PRINT:OVERALL M</t>
  </si>
  <si>
    <t>OVERALL MAXI SKIRT MODEST OVL SUSUN KOMB 3 BAHAN LEBTSB229:PASTEL BL:12:PRINT:OVERALL M</t>
  </si>
  <si>
    <t>LEBMAS223</t>
  </si>
  <si>
    <t>LS MAXI DRESS MODEST BORDIR DADA WITH TASSEL LEBMAS223:PASTEL PIN:4:SOLID:LS MAXI DR</t>
  </si>
  <si>
    <t>LS MAXI DRESS MODEST BORDIR DADA WITH TASSEL LEBMAS223:PASTEL PIN:5:SOLID:LS MAXI DR</t>
  </si>
  <si>
    <t>LS MAXI DRESS MODEST BORDIR DADA WITH TASSEL LEBMAS223:PASTEL PIN:6:SOLID:LS MAXI DR</t>
  </si>
  <si>
    <t>LS MAXI DRESS MODEST BORDIR DADA WITH TASSEL LEBMAS223:PASTEL PIN:8:SOLID:LS MAXI DR</t>
  </si>
  <si>
    <t>LS MAXI DRESS MODEST BORDIR DADA WITH TASSEL LEBMAS223:PASTEL PIN:10:SOLID:LS MAXI DR</t>
  </si>
  <si>
    <t>LS MAXI DRESS MODEST BORDIR DADA WITH TASSEL LEBMAS223:PASTEL PIN:12:SOLID:LS MAXI DR</t>
  </si>
  <si>
    <t>LEBMAS224</t>
  </si>
  <si>
    <t>LS MAXI DRESS MODEST BORDIR DADA LEHER LIPAT WITH TA:SALMON:4:SOLID:LS MAXI DRE</t>
  </si>
  <si>
    <t>LS MAXI DRESS MODEST BORDIR DADA LEHER LIPAT WITH TA:SALMON:5:SOLID:LS MAXI DRE</t>
  </si>
  <si>
    <t>LS MAXI DRESS MODEST BORDIR DADA LEHER LIPAT WITH TA:SALMON:6:SOLID:LS MAXI DRE</t>
  </si>
  <si>
    <t>LS MAXI DRESS MODEST BORDIR DADA LEHER LIPAT WITH TA:SALMON:8:SOLID:LS MAXI DRE</t>
  </si>
  <si>
    <t>LS MAXI DRESS MODEST BORDIR DADA LEHER LIPAT WITH TA:SALMON:10:SOLID:LS MAXI DRE</t>
  </si>
  <si>
    <t>LS MAXI DRESS MODEST BORDIR DADA LEHER LIPAT WITH TA:SALMON:12:SOLID:LS MAXI DRE</t>
  </si>
  <si>
    <t>LEBMAS222</t>
  </si>
  <si>
    <t>LS MAXI DRESS MODEST FP KOTAK KERAH RENDA ROK GEBER:PASTEL BLUE:4:SOLID:LS MAXI DRE</t>
  </si>
  <si>
    <t>LS MAXI DRESS MODEST FP KOTAK KERAH RENDA ROK GEBER:PASTEL BLUE:5:SOLID:LS MAXI DRE</t>
  </si>
  <si>
    <t>LS MAXI DRESS MODEST FP KOTAK KERAH RENDA ROK GEBER:PASTEL BLUE:6:SOLID:LS MAXI DRE</t>
  </si>
  <si>
    <t>LS MAXI DRESS MODEST FP KOTAK KERAH RENDA ROK GEBER:PASTEL BLUE:8:SOLID:LS MAXI DRE</t>
  </si>
  <si>
    <t>LS MAXI DRESS MODEST FP KOTAK KERAH RENDA ROK GEBER:PASTEL BLUE:10:SOLID:LS MAXI DRE</t>
  </si>
  <si>
    <t>LS MAXI DRESS MODEST FP KOTAK KERAH RENDA ROK GEBER:PASTEL BLUE:12:SOLID:LS MAXI DRE</t>
  </si>
  <si>
    <t>LEBMAS221</t>
  </si>
  <si>
    <t>LS MAXI DRESS MODEST OVL TANGAN KERUT BWH SUSUN GEBE:TURQOUISE:4:SOLID:LS MAXI DRE</t>
  </si>
  <si>
    <t>LS MAXI DRESS MODEST OVL TANGAN KERUT BWH SUSUN GEBE:TURQOUISE:5:SOLID:LS MAXI DRE</t>
  </si>
  <si>
    <t>LS MAXI DRESS MODEST OVL TANGAN KERUT BWH SUSUN GEBE:TURQOUISE:6:SOLID:LS MAXI DRE</t>
  </si>
  <si>
    <t>LS MAXI DRESS MODEST OVL TANGAN KERUT BWH SUSUN GEBE:TURQOUISE:8:SOLID:LS MAXI DRE</t>
  </si>
  <si>
    <t>LS MAXI DRESS MODEST OVL TANGAN KERUT BWH SUSUN GEBE:TURQOUISE:10:SOLID:LS MAXI DRE</t>
  </si>
  <si>
    <t>LS MAXI DRESS MODEST OVL TANGAN KERUT BWH SUSUN GEBE:TURQOUISE:12:SOLID:LS MAXI DRE</t>
  </si>
  <si>
    <t>LEBMAS225</t>
  </si>
  <si>
    <t>LS MAXI DRESS MODEST DOBY OPNASEL DADA WITH TASSEL L:OFF WHITE:4:SOLID:LS MAXI DRE</t>
  </si>
  <si>
    <t>LS MAXI DRESS MODEST DOBY OPNASEL DADA WITH TASSEL L:OFF WHITE:5:SOLID:LS MAXI DRE</t>
  </si>
  <si>
    <t>LS MAXI DRESS MODEST DOBY OPNASEL DADA WITH TASSEL L:OFF WHITE:6:SOLID:LS MAXI DRE</t>
  </si>
  <si>
    <t>LS MAXI DRESS MODEST DOBY OPNASEL DADA WITH TASSEL L:OFF WHITE:8:SOLID:LS MAXI DRE</t>
  </si>
  <si>
    <t>LS MAXI DRESS MODEST DOBY OPNASEL DADA WITH TASSEL L:OFF WHITE:10:SOLID:LS MAXI DRE</t>
  </si>
  <si>
    <t>LS MAXI DRESS MODEST DOBY OPNASEL DADA WITH TASSEL L:OFF WHITE:12:SOLID:LS MAXI DRE</t>
  </si>
  <si>
    <t>LEBTSB230</t>
  </si>
  <si>
    <t>LS MAXI DRESS MODEST OPNASEL DADA ROK KERUT LEBTSB230:PASTEL GRE:4:SOLID:LS MAXI DR</t>
  </si>
  <si>
    <t>LS MAXI DRESS MODEST OPNASEL DADA ROK KERUT LEBTSB230:PASTEL GRE:5:SOLID:LS MAXI DR</t>
  </si>
  <si>
    <t>LS MAXI DRESS MODEST OPNASEL DADA ROK KERUT LEBTSB230:PASTEL GRE:6:SOLID:LS MAXI DR</t>
  </si>
  <si>
    <t>LS MAXI DRESS MODEST OPNASEL DADA ROK KERUT LEBTSB230:PASTEL GRE:8:SOLID:LS MAXI DR</t>
  </si>
  <si>
    <t>LS MAXI DRESS MODEST OPNASEL DADA ROK KERUT LEBTSB230:PASTEL GRE:10:SOLID:LS MAXI DR</t>
  </si>
  <si>
    <t>LS MAXI DRESS MODEST OPNASEL DADA ROK KERUT LEBTSB230:PASTEL GRE:12:SOLID:LS MAXI DR</t>
  </si>
  <si>
    <t>EV220712</t>
  </si>
  <si>
    <t>SS MIDI DRESS DOLL COLAR BORDIR BUNGA EV220712:PEPPERMINT:4:FLORAL:SS MIDI DRESS</t>
  </si>
  <si>
    <t>SS MIDI DRESS DOLL COLAR BORDIR BUNGA EV220712:PEPPERMINT:5:FLORAL:SS MIDI DRESS</t>
  </si>
  <si>
    <t>SS MIDI DRESS DOLL COLAR BORDIR BUNGA EV220712:PEPPERMINT:6:FLORAL:SS MIDI DRESS</t>
  </si>
  <si>
    <t>SS MIDI DRESS DOLL COLAR BORDIR BUNGA EV220712:PEPPERMINT:8:FLORAL:SS MIDI DRESS</t>
  </si>
  <si>
    <t>SS MIDI DRESS DOLL COLAR BORDIR BUNGA EV220712:PEPPERMINT:10:FLORAL:SS MIDI DRESS</t>
  </si>
  <si>
    <t>SS MIDI DRESS DOLL COLAR BORDIR BUNGA EV220712:PEPPERMINT:12:FLORAL:SS MIDI DRESS</t>
  </si>
  <si>
    <t>AN239</t>
  </si>
  <si>
    <t>SS MIDI DRESS POLOS ROK RIMPEL AN239:DUSTY PINK:4:SOLID:SS MIDI DRESS</t>
  </si>
  <si>
    <t>SS MIDI DRESS POLOS ROK RIMPEL AN239:DUSTY PINK:5:SOLID:SS MIDI DRESS</t>
  </si>
  <si>
    <t>SS MIDI DRESS POLOS ROK RIMPEL AN239:DUSTY PINK:6:SOLID:SS MIDI DRESS</t>
  </si>
  <si>
    <t>SS MIDI DRESS POLOS ROK RIMPEL AN239:DUSTY PINK:8:SOLID:SS MIDI DRESS</t>
  </si>
  <si>
    <t>SS MIDI DRESS POLOS ROK RIMPEL AN239:DUSTY PINK:10:SOLID:SS MIDI DRESS</t>
  </si>
  <si>
    <t>SS MIDI DRESS POLOS ROK RIMPEL AN239:DUSTY PINK:12:SOLID:SS MIDI DRESS</t>
  </si>
  <si>
    <t>AG3252</t>
  </si>
  <si>
    <t>SS MIDI DRESS BORDIR PITA LEHER KERUT PINGGANG BUNGA AG3252:DUSTY PINK:4:FLORAL:SS MIDI DRESS</t>
  </si>
  <si>
    <t>SS MIDI DRESS BORDIR PITA LEHER KERUT PINGGANG BUNGA AG3252:DUSTY PINK:5:FLORAL:SS MIDI DRESS</t>
  </si>
  <si>
    <t>SS MIDI DRESS BORDIR PITA LEHER KERUT PINGGANG BUNGA AG3252:DUSTY PINK:6:FLORAL:SS MIDI DRESS</t>
  </si>
  <si>
    <t>SS MIDI DRESS BORDIR PITA LEHER KERUT PINGGANG BUNGA AG3252:DUSTY PINK:8:FLORAL:SS MIDI DRESS</t>
  </si>
  <si>
    <t>SS MIDI DRESS BORDIR PITA LEHER KERUT PINGGANG BUNGA AG3252:DUSTY PINK:10:FLORAL:SS MIDI DRESS</t>
  </si>
  <si>
    <t>SS MIDI DRESS BORDIR PITA LEHER KERUT PINGGANG BUNGA AG3252:DUSTY PINK:12:FLORAL:SS MIDI DRESS</t>
  </si>
  <si>
    <t>EV220727</t>
  </si>
  <si>
    <t>SL MIDI DRESS KERAH BORDIR BAHAN KOTAK EV220727:PASTEL PINK:4:CHECKS:SS MIDI DRESS</t>
  </si>
  <si>
    <t>SL MIDI DRESS KERAH BORDIR BAHAN KOTAK EV220727:PASTEL PINK:5:CHECKS:SS MIDI DRESS</t>
  </si>
  <si>
    <t>SL MIDI DRESS KERAH BORDIR BAHAN KOTAK EV220727:PASTEL PINK:6:CHECKS:SS MIDI DRESS</t>
  </si>
  <si>
    <t>SL MIDI DRESS KERAH BORDIR BAHAN KOTAK EV220727:PASTEL PINK:8:CHECKS:SS MIDI DRESS</t>
  </si>
  <si>
    <t>SL MIDI DRESS KERAH BORDIR BAHAN KOTAK EV220727:PASTEL PINK:10:CHECKS:SS MIDI DRESS</t>
  </si>
  <si>
    <t>SL MIDI DRESS KERAH BORDIR BAHAN KOTAK EV220727:PASTEL PINK:12:CHECKS:SS MIDI DRESS</t>
  </si>
  <si>
    <t>EV0922Y16</t>
  </si>
  <si>
    <t>SS MIDI DRESS DADA BORDIR FLOWERS EV0922Y16:DUSTY PINK:4:FLORAL:SS MIDI DRESS</t>
  </si>
  <si>
    <t>SS MIDI DRESS DADA BORDIR FLOWERS EV0922Y16:DUSTY PINK:5:FLORAL:SS MIDI DRESS</t>
  </si>
  <si>
    <t>SS MIDI DRESS DADA BORDIR FLOWERS EV0922Y16:DUSTY PINK:6:FLORAL:SS MIDI DRESS</t>
  </si>
  <si>
    <t>SS MIDI DRESS DADA BORDIR FLOWERS EV0922Y16:DUSTY PINK:8:FLORAL:SS MIDI DRESS</t>
  </si>
  <si>
    <t>SS MIDI DRESS DADA BORDIR FLOWERS EV0922Y16:DUSTY PINK:10:FLORAL:SS MIDI DRESS</t>
  </si>
  <si>
    <t>SS MIDI DRESS DADA BORDIR FLOWERS EV0922Y16:DUSTY PINK:12:FLORAL:SS MIDI DRESS</t>
  </si>
  <si>
    <t>AG2474B</t>
  </si>
  <si>
    <t>SL MIDI DRESS RENDA DADA WITH BUNGA SULUR AG2474B:OFF WHITE:4:FLORAL:SS MIDI DRESS</t>
  </si>
  <si>
    <t>SL MIDI DRESS RENDA DADA WITH BUNGA SULUR AG2474B:OFF WHITE:5:FLORAL:SS MIDI DRESS</t>
  </si>
  <si>
    <t>SL MIDI DRESS RENDA DADA WITH BUNGA SULUR AG2474B:OFF WHITE:6:FLORAL:SS MIDI DRESS</t>
  </si>
  <si>
    <t>SL MIDI DRESS RENDA DADA WITH BUNGA SULUR AG2474B:OFF WHITE:8:FLORAL:SS MIDI DRESS</t>
  </si>
  <si>
    <t>SL MIDI DRESS RENDA DADA WITH BUNGA SULUR AG2474B:OFF WHITE:10:FLORAL:SS MIDI DRESS</t>
  </si>
  <si>
    <t>SL MIDI DRESS RENDA DADA WITH BUNGA SULUR AG2474B:OFF WHITE:12:FLORAL:SS MIDI DRESS</t>
  </si>
  <si>
    <t>AG3235</t>
  </si>
  <si>
    <t>SL MIDI DRESS TILE WITH MOTE LEHER AG3235:NAVY BLUE:4:SOLID:SS MIDI DRESS</t>
  </si>
  <si>
    <t>SL MIDI DRESS TILE WITH MOTE LEHER AG3235:NAVY BLUE:5:SOLID:SS MIDI DRESS</t>
  </si>
  <si>
    <t>SL MIDI DRESS TILE WITH MOTE LEHER AG3235:NAVY BLUE:6:SOLID:SS MIDI DRESS</t>
  </si>
  <si>
    <t>SL MIDI DRESS TILE WITH MOTE LEHER AG3235:NAVY BLUE:8:SOLID:SS MIDI DRESS</t>
  </si>
  <si>
    <t>SL MIDI DRESS TILE WITH MOTE LEHER AG3235:NAVY BLUE:10:SOLID:SS MIDI DRESS</t>
  </si>
  <si>
    <t>SL MIDI DRESS TILE WITH MOTE LEHER AG3235:NAVY BLUE:12:SOLID:SS MIDI DRESS</t>
  </si>
  <si>
    <t>AG3295</t>
  </si>
  <si>
    <t>SL MIDI DRESS WITH ACCESSORIES CROWN AG3295:VANILLA:4:SOLID:SS MIDI DRESS</t>
  </si>
  <si>
    <t>SL MIDI DRESS WITH ACCESSORIES CROWN AG3295:VANILLA:5:SOLID:SS MIDI DRESS</t>
  </si>
  <si>
    <t>SL MIDI DRESS WITH ACCESSORIES CROWN AG3295:VANILLA:6:SOLID:SS MIDI DRESS</t>
  </si>
  <si>
    <t>SL MIDI DRESS WITH ACCESSORIES CROWN AG3295:VANILLA:8:SOLID:SS MIDI DRESS</t>
  </si>
  <si>
    <t>SL MIDI DRESS WITH ACCESSORIES CROWN AG3295:VANILLA:10:SOLID:SS MIDI DRESS</t>
  </si>
  <si>
    <t>SL MIDI DRESS WITH ACCESSORIES CROWN AG3295:VANILLA:12:SOLID:SS MIDI DRESS</t>
  </si>
  <si>
    <t>AG3373</t>
  </si>
  <si>
    <t>LS MIDI DRESS WITH TILE RUMBAI AG3373:DUSTY PINK:4:SOLID:LS MIDI DRESS</t>
  </si>
  <si>
    <t>LS MIDI DRESS WITH TILE RUMBAI AG3373:DUSTY PINK:5:SOLID:LS MIDI DRESS</t>
  </si>
  <si>
    <t>LS MIDI DRESS WITH TILE RUMBAI AG3373:DUSTY PINK:8:SOLID:LS MIDI DRESS</t>
  </si>
  <si>
    <t>LS MIDI DRESS WITH TILE RUMBAI AG3373:DUSTY PINK:10:SOLID:LS MIDI DRESS</t>
  </si>
  <si>
    <t>LS MIDI DRESS WITH TILE RUMBAI AG3373:DUSTY PINK:12:SOLID:LS MIDI DRESS</t>
  </si>
  <si>
    <t>AG3469</t>
  </si>
  <si>
    <t>SS MIDI DRESS TILE WITH PITA AG3469:PASTEL PINK:4:SOLID:SS MIDI DRESS</t>
  </si>
  <si>
    <t>SS MIDI DRESS TILE WITH PITA AG3469:PASTEL PINK:5:SOLID:SS MIDI DRESS</t>
  </si>
  <si>
    <t>SS MIDI DRESS TILE WITH PITA AG3469:PASTEL PINK:6:SOLID:SS MIDI DRESS</t>
  </si>
  <si>
    <t>SS MIDI DRESS TILE WITH PITA AG3469:PASTEL PINK:8:SOLID:SS MIDI DRESS</t>
  </si>
  <si>
    <t>SS MIDI DRESS TILE WITH PITA AG3469:PASTEL PINK:10:SOLID:SS MIDI DRESS</t>
  </si>
  <si>
    <t>SS MIDI DRESS TILE WITH PITA AG3469:PASTEL PINK:12:SOLID:SS MIDI DRESS</t>
  </si>
  <si>
    <t>AG3481</t>
  </si>
  <si>
    <t>SS MIDI DRESS MUTIARA DADA STAR TANGAN GEBER AG3481:PASTEL PINK:5:SOLID:SS MIDI DRESS</t>
  </si>
  <si>
    <t>SS MIDI DRESS MUTIARA DADA STAR TANGAN GEBER AG3481:PASTEL PINK:6:SOLID:SS MIDI DRESS</t>
  </si>
  <si>
    <t>SS MIDI DRESS MUTIARA DADA STAR TANGAN GEBER AG3481:PASTEL PINK:8:SOLID:SS MIDI DRESS</t>
  </si>
  <si>
    <t>SS MIDI DRESS MUTIARA DADA STAR TANGAN GEBER AG3481:PASTEL PINK:10:SOLID:SS MIDI DRESS</t>
  </si>
  <si>
    <t>SS MIDI DRESS MUTIARA DADA STAR TANGAN GEBER AG3481:PASTEL PINK:12:SOLID:SS MIDI DRESS</t>
  </si>
  <si>
    <t>AG3482</t>
  </si>
  <si>
    <t>SS MIDI DRESS MOTE DADA PINGGANG AG3482:PASTEL PINK:4:SOLID:SS MIDI DRESS</t>
  </si>
  <si>
    <t>SS MIDI DRESS MOTE DADA PINGGANG AG3482:PASTEL PINK:6:SOLID:SS MIDI DRESS</t>
  </si>
  <si>
    <t>SS MIDI DRESS MOTE DADA PINGGANG AG3482:PASTEL PINK:8:SOLID:SS MIDI DRESS</t>
  </si>
  <si>
    <t>SS MIDI DRESS MOTE DADA PINGGANG AG3482:PASTEL PINK:10:SOLID:SS MIDI DRESS</t>
  </si>
  <si>
    <t>SS MIDI DRESS MOTE DADA PINGGANG AG3482:PASTEL PINK:12:SOLID:SS MIDI DRESS</t>
  </si>
  <si>
    <t>AG3491</t>
  </si>
  <si>
    <t>SS MIDI DRESS TILE DADA BORDIR DADA DAN ROK AG3491:VANILLA:4:FLORAL:SS MIDI DRESS</t>
  </si>
  <si>
    <t>SS MIDI DRESS TILE DADA BORDIR DADA DAN ROK AG3491:VANILLA:5:FLORAL:SS MIDI DRESS</t>
  </si>
  <si>
    <t>SS MIDI DRESS TILE DADA BORDIR DADA DAN ROK AG3491:VANILLA:6:FLORAL:SS MIDI DRESS</t>
  </si>
  <si>
    <t>SS MIDI DRESS TILE DADA BORDIR DADA DAN ROK AG3491:VANILLA:8:FLORAL:SS MIDI DRESS</t>
  </si>
  <si>
    <t>SS MIDI DRESS TILE DADA BORDIR DADA DAN ROK AG3491:VANILLA:10:FLORAL:SS MIDI DRESS</t>
  </si>
  <si>
    <t>SS MIDI DRESS TILE DADA BORDIR DADA DAN ROK AG3491:VANILLA:12:FLORAL:SS MIDI DRESS</t>
  </si>
  <si>
    <t>AG3493</t>
  </si>
  <si>
    <t>SL MIDI DRESS BORDIR LOVE WITH DADA GEBER AG3493:PASTEL BLUE:4:SOLID:SS MIDI DRESS</t>
  </si>
  <si>
    <t>SL MIDI DRESS BORDIR LOVE WITH DADA GEBER AG3493:PASTEL BLUE:5:SOLID:SS MIDI DRESS</t>
  </si>
  <si>
    <t>SL MIDI DRESS BORDIR LOVE WITH DADA GEBER AG3493:PASTEL BLUE:6:SOLID:SS MIDI DRESS</t>
  </si>
  <si>
    <t>SL MIDI DRESS BORDIR LOVE WITH DADA GEBER AG3493:PASTEL BLUE:8:SOLID:SS MIDI DRESS</t>
  </si>
  <si>
    <t>SL MIDI DRESS BORDIR LOVE WITH DADA GEBER AG3493:PASTEL BLUE:10:SOLID:SS MIDI DRESS</t>
  </si>
  <si>
    <t>SL MIDI DRESS BORDIR LOVE WITH DADA GEBER AG3493:PASTEL BLUE:12:SOLID:SS MIDI DRESS</t>
  </si>
  <si>
    <t>AG3494</t>
  </si>
  <si>
    <t>SS MIDI DRESS BUNGA TILE DAUN ROK RAINBOW AG3494:OFF WHITE:4:OMBRE:SS MIDI DRESS</t>
  </si>
  <si>
    <t>SS MIDI DRESS BUNGA TILE DAUN ROK RAINBOW AG3494:OFF WHITE:5:OMBRE:SS MIDI DRESS</t>
  </si>
  <si>
    <t>SS MIDI DRESS BUNGA TILE DAUN ROK RAINBOW AG3494:OFF WHITE:6:OMBRE:SS MIDI DRESS</t>
  </si>
  <si>
    <t>SS MIDI DRESS BUNGA TILE DAUN ROK RAINBOW AG3494:OFF WHITE:8:OMBRE:SS MIDI DRESS</t>
  </si>
  <si>
    <t>SS MIDI DRESS BUNGA TILE DAUN ROK RAINBOW AG3494:OFF WHITE:10:OMBRE:SS MIDI DRESS</t>
  </si>
  <si>
    <t>SS MIDI DRESS BUNGA TILE DAUN ROK RAINBOW AG3494:OFF WHITE:12:OMBRE:SS MIDI DRESS</t>
  </si>
  <si>
    <t>AG3503</t>
  </si>
  <si>
    <t>SS MIDI DRESS RENDA DADA TILE BUNGA PINGGANG AG3503:SAND:4:FLORAL:SS MIDI DRESS</t>
  </si>
  <si>
    <t>SS MIDI DRESS RENDA DADA TILE BUNGA PINGGANG AG3503:SAND:5:FLORAL:SS MIDI DRESS</t>
  </si>
  <si>
    <t>SS MIDI DRESS RENDA DADA TILE BUNGA PINGGANG AG3503:SAND:6:FLORAL:SS MIDI DRESS</t>
  </si>
  <si>
    <t>SS MIDI DRESS RENDA DADA TILE BUNGA PINGGANG AG3503:SAND:8:FLORAL:SS MIDI DRESS</t>
  </si>
  <si>
    <t>SS MIDI DRESS RENDA DADA TILE BUNGA PINGGANG AG3503:SAND:10:FLORAL:SS MIDI DRESS</t>
  </si>
  <si>
    <t>SS MIDI DRESS RENDA DADA TILE BUNGA PINGGANG AG3503:SAND:12:FLORAL:SS MIDI DRESS</t>
  </si>
  <si>
    <t>AG3510B</t>
  </si>
  <si>
    <t>SS MIDI DRESS TILE KERUT TANGAN BUNGA SOLDER AG3510B:PASTEL BLUE:4:OMBRE:SS MIDI DRESS</t>
  </si>
  <si>
    <t>SS MIDI DRESS TILE KERUT TANGAN BUNGA SOLDER AG3510B:PASTEL BLUE:5:OMBRE:SS MIDI DRESS</t>
  </si>
  <si>
    <t>SS MIDI DRESS TILE KERUT TANGAN BUNGA SOLDER AG3510B:PASTEL BLUE:6:OMBRE:SS MIDI DRESS</t>
  </si>
  <si>
    <t>SS MIDI DRESS TILE KERUT TANGAN BUNGA SOLDER AG3510B:PASTEL BLUE:8:OMBRE:SS MIDI DRESS</t>
  </si>
  <si>
    <t>SS MIDI DRESS TILE KERUT TANGAN BUNGA SOLDER AG3510B:PASTEL BLUE:10:OMBRE:SS MIDI DRESS</t>
  </si>
  <si>
    <t>SS MIDI DRESS TILE KERUT TANGAN BUNGA SOLDER AG3510B:PASTEL BLUE:12:OMBRE:SS MIDI DRESS</t>
  </si>
  <si>
    <t>AG3520</t>
  </si>
  <si>
    <t>SL MIDI DRESS DADA BROKAT BAWAH TILE SUSUN PINGGANG BUNGA AG3520:CORAL:4:FLORAL:SS MIDI DRESS</t>
  </si>
  <si>
    <t>SL MIDI DRESS DADA BROKAT BAWAH TILE SUSUN PINGGANG BUNGA AG3520:CORAL:6:FLORAL:SS MIDI DRESS</t>
  </si>
  <si>
    <t>SL MIDI DRESS DADA BROKAT BAWAH TILE SUSUN PINGGANG BUNGA AG3520:CORAL:8:FLORAL:SS MIDI DRESS</t>
  </si>
  <si>
    <t>SL MIDI DRESS DADA BROKAT BAWAH TILE SUSUN PINGGANG BUNGA AG3520:CORAL:10:FLORAL:SS MIDI DRESS</t>
  </si>
  <si>
    <t>SL MIDI DRESS DADA BROKAT BAWAH TILE SUSUN PINGGANG BUNGA AG3520:CORAL:12:FLORAL:SS MIDI DRESS</t>
  </si>
  <si>
    <t>AG3535</t>
  </si>
  <si>
    <t>SS MIDI DRESS DADA PITA TILE TANGAN KERUT AG3535:PASTEL BLUE:4:SOLID:SS MIDI DRESS</t>
  </si>
  <si>
    <t>SS MIDI DRESS DADA PITA TILE TANGAN KERUT AG3535:PASTEL BLUE:6:SOLID:SS MIDI DRESS</t>
  </si>
  <si>
    <t>SS MIDI DRESS DADA PITA TILE TANGAN KERUT AG3535:PASTEL BLUE:8:SOLID:SS MIDI DRESS</t>
  </si>
  <si>
    <t>SS MIDI DRESS DADA PITA TILE TANGAN KERUT AG3535:PASTEL BLUE:10:SOLID:SS MIDI DRESS</t>
  </si>
  <si>
    <t>SS MIDI DRESS DADA PITA TILE TANGAN KERUT AG3535:PASTEL BLUE:12:SOLID:SS MIDI DRESS</t>
  </si>
  <si>
    <t>AG3536</t>
  </si>
  <si>
    <t>SL MIDI DRESS DADA BROKAT PINGGANG DAUN AG3536:PASTEL PINK:4:FLORAL:SS MIDI DRESS</t>
  </si>
  <si>
    <t>SL MIDI DRESS DADA BROKAT PINGGANG DAUN AG3536:PASTEL PINK:5:FLORAL:SS MIDI DRESS</t>
  </si>
  <si>
    <t>SL MIDI DRESS DADA BROKAT PINGGANG DAUN AG3536:PASTEL PINK:8:FLORAL:SS MIDI DRESS</t>
  </si>
  <si>
    <t>SL MIDI DRESS DADA BROKAT PINGGANG DAUN AG3536:PASTEL PINK:10:FLORAL:SS MIDI DRESS</t>
  </si>
  <si>
    <t>SL MIDI DRESS DADA BROKAT PINGGANG DAUN AG3536:PASTEL PINK:12:FLORAL:SS MIDI DRESS</t>
  </si>
  <si>
    <t>AG3435</t>
  </si>
  <si>
    <t>SS MIDI DRESS UNICORN PINGGANG PAYET TILE RAINBOW AG3435:PASTEL PURPLE:4:OMBRE:SS MIDI DRESS</t>
  </si>
  <si>
    <t>SS MIDI DRESS UNICORN PINGGANG PAYET TILE RAINBOW AG3435:PASTEL PURPLE:5:OMBRE:SS MIDI DRESS</t>
  </si>
  <si>
    <t>SS MIDI DRESS UNICORN PINGGANG PAYET TILE RAINBOW AG3435:PASTEL PURPLE:6:OMBRE:SS MIDI DRESS</t>
  </si>
  <si>
    <t>SS MIDI DRESS UNICORN PINGGANG PAYET TILE RAINBOW AG3435:PASTEL PURPLE:8:OMBRE:SS MIDI DRESS</t>
  </si>
  <si>
    <t>SS MIDI DRESS UNICORN PINGGANG PAYET TILE RAINBOW AG3435:PASTEL PURPLE:10:OMBRE:SS MIDI DRESS</t>
  </si>
  <si>
    <t>SS MIDI DRESS UNICORN PINGGANG PAYET TILE RAINBOW AG3435:PASTEL PURPLE:12:OMBRE:SS MIDI DRESS</t>
  </si>
  <si>
    <t>AG3443</t>
  </si>
  <si>
    <t>SS MIDI DRESS TILE RAINBOW AG3443:WHITE:4:OMBRE:SS MIDI DRESS</t>
  </si>
  <si>
    <t>SS MIDI DRESS TILE RAINBOW AG3443:WHITE:5:OMBRE:SS MIDI DRESS</t>
  </si>
  <si>
    <t>SS MIDI DRESS TILE RAINBOW AG3443:WHITE:6:OMBRE:SS MIDI DRESS</t>
  </si>
  <si>
    <t>SS MIDI DRESS TILE RAINBOW AG3443:WHITE:8:OMBRE:SS MIDI DRESS</t>
  </si>
  <si>
    <t>SS MIDI DRESS TILE RAINBOW AG3443:WHITE:10:OMBRE:SS MIDI DRESS</t>
  </si>
  <si>
    <t>SS MIDI DRESS TILE RAINBOW AG3443:WHITE:12:OMBRE:SS MIDI DRESS</t>
  </si>
  <si>
    <t>SS MIDI DRESS MUTIARA DADA STAR TANGAN GEBER AG3481:PASTEL PINK:4:SOLID:SS MIDI DRESS</t>
  </si>
  <si>
    <t>SS MIDI DRESS DADA PITA TILE TANGAN KERUT AG3535:PASTEL BLUE:5:SOLID:SS MIDI DRESS</t>
  </si>
  <si>
    <t>SL MIDI DRESS DADA BROKAT BAWAH TILE SUSUN PINGGANG BUNGA AG3520:CORAL:5:FLORAL:SS MIDI DRESS</t>
  </si>
  <si>
    <t>SL MIDI DRESS DADA BROKAT PINGGANG DAUN AG3536:PASTEL PINK:6:FLORAL:SS MIDI DRESS</t>
  </si>
  <si>
    <t>SS MIDI DRESS MOTE DADA PINGGANG AG3482:PASTEL PINK:5:SOLID:SS MIDI DRESS</t>
  </si>
  <si>
    <t>LS MIDI DRESS WITH TILE RUMBAI AG3373:DUSTY PINK:6:SOLID:LS MIDI DRESS</t>
  </si>
  <si>
    <t>AN202</t>
  </si>
  <si>
    <t>LS MIDI DRESS KERAH FULL PRINT BUNGA KANTONG RENDA AN202:NAVY BLUE:4:FLORAL:LS MIDI DRESS</t>
  </si>
  <si>
    <t>LS MIDI DRESS KERAH FULL PRINT BUNGA KANTONG RENDA AN202:NAVY BLUE:5:FLORAL:LS MIDI DRESS</t>
  </si>
  <si>
    <t>LS MIDI DRESS KERAH FULL PRINT BUNGA KANTONG RENDA AN202:NAVY BLUE:6:FLORAL:LS MIDI DRESS</t>
  </si>
  <si>
    <t>LS MIDI DRESS KERAH FULL PRINT BUNGA KANTONG RENDA AN202:NAVY BLUE:8:FLORAL:LS MIDI DRESS</t>
  </si>
  <si>
    <t>LS MIDI DRESS KERAH FULL PRINT BUNGA KANTONG RENDA AN202:NAVY BLUE:10:FLORAL:LS MIDI DRESS</t>
  </si>
  <si>
    <t>LS MIDI DRESS KERAH FULL PRINT BUNGA KANTONG RENDA AN202:NAVY BLUE:12:FLORAL:LS MIDI DRESS</t>
  </si>
  <si>
    <t>AN240</t>
  </si>
  <si>
    <t>SS MIDI DRESS FULL PRINT BUNGA DADA GEBER POM AN240:VANILLA:4:FLORAL:SS MIDI DRESS</t>
  </si>
  <si>
    <t>SS MIDI DRESS FULL PRINT BUNGA DADA GEBER POM AN240:VANILLA:5:FLORAL:SS MIDI DRESS</t>
  </si>
  <si>
    <t>SS MIDI DRESS FULL PRINT BUNGA DADA GEBER POM AN240:VANILLA:6:FLORAL:SS MIDI DRESS</t>
  </si>
  <si>
    <t>SS MIDI DRESS FULL PRINT BUNGA DADA GEBER POM AN240:VANILLA:8:FLORAL:SS MIDI DRESS</t>
  </si>
  <si>
    <t>SS MIDI DRESS FULL PRINT BUNGA DADA GEBER POM AN240:VANILLA:10:FLORAL:SS MIDI DRESS</t>
  </si>
  <si>
    <t>SS MIDI DRESS FULL PRINT BUNGA DADA GEBER POM AN240:VANILLA:12:FLORAL:SS MIDI DRESS</t>
  </si>
  <si>
    <t>AN247</t>
  </si>
  <si>
    <t>SS MIDI DRESS FULL PRINT BUNGA BAWAH GEBER KOMB POLOS AN247:PASTEL PINK:4:FLORAL:SS MIDI DRESS</t>
  </si>
  <si>
    <t>SS MIDI DRESS FULL PRINT BUNGA BAWAH GEBER KOMB POLOS AN247:PASTEL PINK:5:FLORAL:SS MIDI DRESS</t>
  </si>
  <si>
    <t>SS MIDI DRESS FULL PRINT BUNGA BAWAH GEBER KOMB POLOS AN247:PASTEL PINK:6:FLORAL:SS MIDI DRESS</t>
  </si>
  <si>
    <t>SS MIDI DRESS FULL PRINT BUNGA BAWAH GEBER KOMB POLOS AN247:PASTEL PINK:8:FLORAL:SS MIDI DRESS</t>
  </si>
  <si>
    <t>SS MIDI DRESS FULL PRINT BUNGA BAWAH GEBER KOMB POLOS AN247:PASTEL PINK:10:FLORAL:SS MIDI DRESS</t>
  </si>
  <si>
    <t>SS MIDI DRESS FULL PRINT BUNGA BAWAH GEBER KOMB POLOS AN247:PASTEL PINK:12:FLORAL:SS MIDI DRESS</t>
  </si>
  <si>
    <t>AN262</t>
  </si>
  <si>
    <t>SS MIDI DRESS FULLPRINT BUNGA KOMB KOTAK PINGGANG PITA AN262:PASTEL BLUE:4:FLORAL:SS MIDI DRESS</t>
  </si>
  <si>
    <t>SS MIDI DRESS FULLPRINT BUNGA KOMB KOTAK PINGGANG PITA AN262:PASTEL BLUE:5:FLORAL:SS MIDI DRESS</t>
  </si>
  <si>
    <t>SS MIDI DRESS FULLPRINT BUNGA KOMB KOTAK PINGGANG PITA AN262:PASTEL BLUE:6:FLORAL:SS MIDI DRESS</t>
  </si>
  <si>
    <t>SS MIDI DRESS FULLPRINT BUNGA KOMB KOTAK PINGGANG PITA AN262:PASTEL BLUE:8:FLORAL:SS MIDI DRESS</t>
  </si>
  <si>
    <t>SS MIDI DRESS FULLPRINT BUNGA KOMB KOTAK PINGGANG PITA AN262:PASTEL BLUE:10:FLORAL:SS MIDI DRESS</t>
  </si>
  <si>
    <t>SS MIDI DRESS FULLPRINT BUNGA KOMB KOTAK PINGGANG PITA AN262:PASTEL BLUE:12:FLORAL:SS MIDI DRESS</t>
  </si>
  <si>
    <t>EV0922Y4</t>
  </si>
  <si>
    <t>SL MIDI DRESS KOMBINASI RAINBOW EV0922Y4:ASSORTIVE COLOR:4:STRIPES:SS MIDI DRESS</t>
  </si>
  <si>
    <t>SL MIDI DRESS KOMBINASI RAINBOW EV0922Y4:ASSORTIVE COLOR:5:STRIPES:SS MIDI DRESS</t>
  </si>
  <si>
    <t>SL MIDI DRESS KOMBINASI RAINBOW EV0922Y4:ASSORTIVE COLOR:6:STRIPES:SS MIDI DRESS</t>
  </si>
  <si>
    <t>SL MIDI DRESS KOMBINASI RAINBOW EV0922Y4:ASSORTIVE COLOR:8:STRIPES:SS MIDI DRESS</t>
  </si>
  <si>
    <t>SL MIDI DRESS KOMBINASI RAINBOW EV0922Y4:ASSORTIVE COLOR:10:STRIPES:SS MIDI DRESS</t>
  </si>
  <si>
    <t>SL MIDI DRESS KOMBINASI RAINBOW EV0922Y4:ASSORTIVE COLOR:12:STRIPES:SS MIDI DRESS</t>
  </si>
  <si>
    <t>EV0922Y5</t>
  </si>
  <si>
    <t>SS MIDI DRESS KOMBINASI POLKADOT EV0922Y5:PASTEL PURPLE:4:SOLID:SS MIDI DRESS</t>
  </si>
  <si>
    <t>SS MIDI DRESS KOMBINASI POLKADOT EV0922Y5:PASTEL PURPLE:5:SOLID:SS MIDI DRESS</t>
  </si>
  <si>
    <t>SS MIDI DRESS KOMBINASI POLKADOT EV0922Y5:PASTEL PURPLE:6:SOLID:SS MIDI DRESS</t>
  </si>
  <si>
    <t>SS MIDI DRESS KOMBINASI POLKADOT EV0922Y5:PASTEL PURPLE:8:SOLID:SS MIDI DRESS</t>
  </si>
  <si>
    <t>SS MIDI DRESS KOMBINASI POLKADOT EV0922Y5:PASTEL PURPLE:10:SOLID:SS MIDI DRESS</t>
  </si>
  <si>
    <t>SS MIDI DRESS KOMBINASI POLKADOT EV0922Y5:PASTEL PURPLE:12:SOLID:SS MIDI DRESS</t>
  </si>
  <si>
    <t>EV0922Y7</t>
  </si>
  <si>
    <t>SS MIDI DRESS FLOWERS EV0922Y7:PASTEL PINK:4:FLORAL:SS MIDI DRESS</t>
  </si>
  <si>
    <t>SS MIDI DRESS FLOWERS EV0922Y7:PASTEL PINK:5:FLORAL:SS MIDI DRESS</t>
  </si>
  <si>
    <t>SS MIDI DRESS FLOWERS EV0922Y7:PASTEL PINK:6:FLORAL:SS MIDI DRESS</t>
  </si>
  <si>
    <t>SS MIDI DRESS FLOWERS EV0922Y7:PASTEL PINK:8:FLORAL:SS MIDI DRESS</t>
  </si>
  <si>
    <t>SS MIDI DRESS FLOWERS EV0922Y7:PASTEL PINK:10:FLORAL:SS MIDI DRESS</t>
  </si>
  <si>
    <t>SS MIDI DRESS FLOWERS EV0922Y7:PASTEL PINK:12:FLORAL:SS MIDI DRESS</t>
  </si>
  <si>
    <t>EV0922Y8</t>
  </si>
  <si>
    <t>SS MIDI DRESS KERAH BULAT FLOWERS EV0922Y8:TURQOUISE:4:FLORAL:SS MIDI DRESS</t>
  </si>
  <si>
    <t>SS MIDI DRESS KERAH BULAT FLOWERS EV0922Y8:TURQOUISE:5:FLORAL:SS MIDI DRESS</t>
  </si>
  <si>
    <t>SS MIDI DRESS KERAH BULAT FLOWERS EV0922Y8:TURQOUISE:6:FLORAL:SS MIDI DRESS</t>
  </si>
  <si>
    <t>SS MIDI DRESS KERAH BULAT FLOWERS EV0922Y8:TURQOUISE:8:FLORAL:SS MIDI DRESS</t>
  </si>
  <si>
    <t>SS MIDI DRESS KERAH BULAT FLOWERS EV0922Y8:TURQOUISE:10:FLORAL:SS MIDI DRESS</t>
  </si>
  <si>
    <t>SS MIDI DRESS KERAH BULAT FLOWERS EV0922Y8:TURQOUISE:12:FLORAL:SS MIDI DRESS</t>
  </si>
  <si>
    <t>EV0922Y9</t>
  </si>
  <si>
    <t>SS MIDI DRESS LAYER FLOWERS EV0922Y9:VANILLA:4:FLORAL:SS MIDI DRESS</t>
  </si>
  <si>
    <t>SS MIDI DRESS LAYER FLOWERS EV0922Y9:VANILLA:5:FLORAL:SS MIDI DRESS</t>
  </si>
  <si>
    <t>SS MIDI DRESS LAYER FLOWERS EV0922Y9:VANILLA:6:FLORAL:SS MIDI DRESS</t>
  </si>
  <si>
    <t>SS MIDI DRESS LAYER FLOWERS EV0922Y9:VANILLA:8:FLORAL:SS MIDI DRESS</t>
  </si>
  <si>
    <t>SS MIDI DRESS LAYER FLOWERS EV0922Y9:VANILLA:10:FLORAL:SS MIDI DRESS</t>
  </si>
  <si>
    <t>SS MIDI DRESS LAYER FLOWERS EV0922Y9:VANILLA:12:FLORAL:SS MIDI DRESS</t>
  </si>
  <si>
    <t>EV0922Y14</t>
  </si>
  <si>
    <t>LS MIDI DRESS RABBIT KOMBINASI TANGAN 3 PER 4 EV0922Y14:SALMON:4:GRAPHIC:LS MIDI DRESS</t>
  </si>
  <si>
    <t>LS MIDI DRESS RABBIT KOMBINASI TANGAN 3 PER 4 EV0922Y14:SALMON:5:GRAPHIC:LS MIDI DRESS</t>
  </si>
  <si>
    <t>LS MIDI DRESS RABBIT KOMBINASI TANGAN 3 PER 4 EV0922Y14:SALMON:6:GRAPHIC:LS MIDI DRESS</t>
  </si>
  <si>
    <t>LS MIDI DRESS RABBIT KOMBINASI TANGAN 3 PER 4 EV0922Y14:SALMON:8:GRAPHIC:LS MIDI DRESS</t>
  </si>
  <si>
    <t>LS MIDI DRESS RABBIT KOMBINASI TANGAN 3 PER 4 EV0922Y14:SALMON:10:GRAPHIC:LS MIDI DRESS</t>
  </si>
  <si>
    <t>EV0922Y15</t>
  </si>
  <si>
    <t>SS MIDI DRESS POUCH KOMBINASI BEAR EV0922Y15:CLASSIC RED:4:CHECKS:SS MIDI DRESS</t>
  </si>
  <si>
    <t>SS MIDI DRESS POUCH KOMBINASI BEAR EV0922Y15:CLASSIC RED:5:CHECKS:SS MIDI DRESS</t>
  </si>
  <si>
    <t>SS MIDI DRESS POUCH KOMBINASI BEAR EV0922Y15:CLASSIC RED:6:CHECKS:SS MIDI DRESS</t>
  </si>
  <si>
    <t>SS MIDI DRESS POUCH KOMBINASI BEAR EV0922Y15:CLASSIC RED:8:CHECKS:SS MIDI DRESS</t>
  </si>
  <si>
    <t>SS MIDI DRESS POUCH KOMBINASI BEAR EV0922Y15:CLASSIC RED:10:CHECKS:SS MIDI DRESS</t>
  </si>
  <si>
    <t>AN286</t>
  </si>
  <si>
    <t>SS MIDI DRESS KERAH COLAR FULLPRINT BUNGA RANTING TANGAN KARET AN286:PASTEL LAVENDER:4:FLORAL:SS MID</t>
  </si>
  <si>
    <t>SS MIDI DRESS KERAH COLAR FULLPRINT BUNGA RANTING TANGAN KARET AN286:PASTEL LAVENDER:5:FLORAL:SS MID</t>
  </si>
  <si>
    <t>SS MIDI DRESS KERAH COLAR FULLPRINT BUNGA RANTING TANGAN KARET AN286:PASTEL LAVENDER:6:FLORAL:SS MID</t>
  </si>
  <si>
    <t>SS MIDI DRESS KERAH COLAR FULLPRINT BUNGA RANTING TANGAN KARET AN286:PASTEL LAVENDER:8:FLORAL:SS MID</t>
  </si>
  <si>
    <t>SS MIDI DRESS KERAH COLAR FULLPRINT BUNGA RANTING TANGAN KARET AN286:PASTEL LAVENDER:10:FLORAL:SS MI</t>
  </si>
  <si>
    <t>SS MIDI DRESS KERAH COLAR FULLPRINT BUNGA RANTING TANGAN KARET AN286:PASTEL LAVENDER:12:FLORAL:SS MI</t>
  </si>
  <si>
    <t>AN252</t>
  </si>
  <si>
    <t>SS MIDI DRESS FULLRPINT BUNGA BABYDOLL TANGAN GEBER TAS SAMPING AN252:OFF WHITE:4:FLORAL:SS MIDI DRE</t>
  </si>
  <si>
    <t>SS MIDI DRESS FULLRPINT BUNGA BABYDOLL TANGAN GEBER TAS SAMPING AN252:OFF WHITE:5:FLORAL:SS MIDI DRE</t>
  </si>
  <si>
    <t>SS MIDI DRESS FULLRPINT BUNGA BABYDOLL TANGAN GEBER TAS SAMPING AN252:OFF WHITE:6:FLORAL:SS MIDI DRE</t>
  </si>
  <si>
    <t>SS MIDI DRESS FULLPRINT BUNGA BABYDOLL TANGAN GEBER TAS SAMPING AN252:OFF WHITE:8:FLORAL:SS MIDI DRE</t>
  </si>
  <si>
    <t>SS MIDI DRESS FULLPRINT BUNGA BABYDOLL TANGAN GEBER TAS SAMPING AN252:OFF WHITE:10:FLORAL:SS MIDI DR</t>
  </si>
  <si>
    <t>SS MIDI DRESS FULLPRINT BUNGA BABYDOLL TANGAN GEBER TAS SAMPING AN252:OFF WHITE:12:FLORAL:SS MIDI DR</t>
  </si>
  <si>
    <t>AN257</t>
  </si>
  <si>
    <t>SS MIDI DRESS FULLPRINT BUNGA TANGAN GEBER PINGGANG PITA AN257:PASTEL YELLOW:4:FLORAL:SS MIDI DRESS</t>
  </si>
  <si>
    <t>SS MIDI DRESS FULLPRINT BUNGA TANGAN GEBER PINGGANG PITA AN257:PASTEL YELLOW:5:FLORAL:SS MIDI DRESS</t>
  </si>
  <si>
    <t>SS MIDI DRESS FULLPRINT BUNGA TANGAN GEBER PINGGANG PITA AN257:PASTEL YELLOW:6:FLORAL:SS MIDI DRESS</t>
  </si>
  <si>
    <t>SS MIDI DRESS FULLPRINT BUNGA TANGAN GEBER PINGGANG PITA AN257:PASTEL YELLOW:8:FLORAL:SS MIDI DRESS</t>
  </si>
  <si>
    <t>SS MIDI DRESS FULLPRINT BUNGA TANGAN GEBER PINGGANG PITA AN257:PASTEL YELLOW:10:FLORAL:SS MIDI DRESS</t>
  </si>
  <si>
    <t>SS MIDI DRESS FULLPRINT BUNGA TANGAN GEBER PINGGANG PITA AN257:PASTEL YELLOW:12:FLORAL:SS MIDI DRESS</t>
  </si>
  <si>
    <t>AN259</t>
  </si>
  <si>
    <t>SS MIDI DRESS BABYDOLL COLAR KERUT KANCING DEPAN BAWAH GEBER AN259:NAVY BLUE:4:PRINT:SS MIDI DRESS</t>
  </si>
  <si>
    <t>SS MIDI DRESS BABYDOLL COLAR KERUT KANCING DEPAN BAWAH GEBER AN259:NAVY BLUE:5:PRINT:SS MIDI DRESS</t>
  </si>
  <si>
    <t>SS MIDI DRESS BABYDOLL COLAR KERUT KANCING DEPAN BAWAH GEBER AN259:NAVY BLUE:6:PRINT:SS MIDI DRESS</t>
  </si>
  <si>
    <t>SS MIDI DRESS BABYDOLL COLAR KERUT KANCING DEPAN BAWAH GEBER AN259:NAVY BLUE:8:PRINT:SS MIDI DRESS</t>
  </si>
  <si>
    <t>SS MIDI DRESS BABYDOLL COLAR KERUT KANCING DEPAN BAWAH GEBER AN259:NAVY BLUE:10:PRINT:SS MIDI DRESS</t>
  </si>
  <si>
    <t>SS MIDI DRESS BABYDOLL COLAR KERUT KANCING DEPAN BAWAH GEBER AN259:NAVY BLUE:12:PRINT:SS MIDI DRESS</t>
  </si>
  <si>
    <t>AN261</t>
  </si>
  <si>
    <t>SS MIDI DRESS KOTAK PINGGANG BUNGA BAWAH RUFFLE AN261:CLASSIC GREEN:4:CHECKS:SS MIDI DRESS</t>
  </si>
  <si>
    <t>SS MIDI DRESS KOTAK PINGGANG BUNGA BAWAH RUFFLE AN261:CLASSIC GREEN:5:CHECKS:SS MIDI DRESS</t>
  </si>
  <si>
    <t>SS MIDI DRESS KOTAK PINGGANG BUNGA BAWAH RUFFLE AN261:CLASSIC GREEN:6:CHECKS:SS MIDI DRESS</t>
  </si>
  <si>
    <t>SS MIDI DRESS KOTAK PINGGANG BUNGA BAWAH RUFFLE AN261:CLASSIC GREEN:8:CHECKS:SS MIDI DRESS</t>
  </si>
  <si>
    <t>SS MIDI DRESS KOTAK PINGGANG BUNGA BAWAH RUFFLE AN261:CLASSIC GREEN:10:CHECKS:SS MIDI DRESS</t>
  </si>
  <si>
    <t>SS MIDI DRESS KOTAK PINGGANG BUNGA BAWAH RUFFLE AN261:CLASSIC GREEN:12:CHECKS:SS MIDI DRESS</t>
  </si>
  <si>
    <t>AN287</t>
  </si>
  <si>
    <t>SS MIDI DRESS KERAH TANGAN LIPAT KOMB POLOS AN287:CLASSIC BLUE:4:PRINT:SS MIDI DRESS</t>
  </si>
  <si>
    <t>SS MIDI DRESS KERAH TANGAN LIPAT KOMB POLOS AN287:CLASSIC BLUE:5:PRINT:SS MIDI DRESS</t>
  </si>
  <si>
    <t>SS MIDI DRESS KERAH TANGAN LIPAT KOMB POLOS AN287:CLASSIC BLUE:6:PRINT:SS MIDI DRESS</t>
  </si>
  <si>
    <t>SS MIDI DRESS KERAH TANGAN LIPAT KOMB POLOS AN287:CLASSIC BLUE:8:PRINT:SS MIDI DRESS</t>
  </si>
  <si>
    <t>SS MIDI DRESS KERAH TANGAN LIPAT KOMB POLOS AN287:CLASSIC BLUE:10:PRINT:SS MIDI DRESS</t>
  </si>
  <si>
    <t>SS MIDI DRESS KERAH TANGAN LIPAT KOMB POLOS AN287:CLASSIC BLUE:12:PRINT:SS MIDI DRESS</t>
  </si>
  <si>
    <t>AN304</t>
  </si>
  <si>
    <t>SS MIDI DRESS FULLPRINT KOTAK BUNGA PUNDAK GEBER AN304:PASTEL BLUE:4:PRINT:SS MIDI DRESS</t>
  </si>
  <si>
    <t>SS MIDI DRESS FULLPRINT KOTAK BUNGA PUNDAK GEBER AN304:PASTEL BLUE:5:PRINT:SS MIDI DRESS</t>
  </si>
  <si>
    <t>SS MIDI DRESS FULLPRINT KOTAK BUNGA PUNDAK GEBER AN304:PASTEL BLUE:6:PRINT:SS MIDI DRESS</t>
  </si>
  <si>
    <t>SS MIDI DRESS FILLPRINT KOTAK BUNGA PUNDAK GEBER AN304:PASTEL BLUE:8:PRINT:SS MIDI DRESS</t>
  </si>
  <si>
    <t>SS MIDI DRESS FILLPRINT KOTAK BUNGA PUNDAK GEBER AN304:PASTEL BLUE:10:PRINT:SS MIDI DRESS</t>
  </si>
  <si>
    <t>SS MIDI DRESS FILLPRINT KOTAK BUNGA PUNDAK GEBER AN304:PASTEL BLUE:12:PRINT:SS MIDI DRESS</t>
  </si>
  <si>
    <t>AN307</t>
  </si>
  <si>
    <t>SS MIDI DRESS FULLPRINT PRISMA TANGAN GEBER POM POM AN307:PASTEL PINK:4:PRINT:SS MIDI DRESS</t>
  </si>
  <si>
    <t>SS MIDI DRESS FULLPRINT PRISMA TANGAN GEBER POM POM AN307:PASTEL PINK:5:PRINT:SS MIDI DRESS</t>
  </si>
  <si>
    <t>SS MIDI DRESS FULLPRINT PRISMA TANGAN GEBER POM POM AN307:PASTEL PINK:6:PRINT:SS MIDI DRESS</t>
  </si>
  <si>
    <t>SS MIDI DRESS FULLPRINT PRISMA TANGAN GEBER POM POM AN307:PASTEL PINK:8:PRINT:SS MIDI DRESS</t>
  </si>
  <si>
    <t>SS MIDI DRESS FULLPRINT PRISMA TANGAN GEBER POM POM AN307:PASTEL PINK:10:PRINT:SS MIDI DRESS</t>
  </si>
  <si>
    <t>SS MIDI DRESS FULLPRINT PRISMA TANGAN GEBER POM POM AN307:PASTEL PINK:12:PRINT:SS MIDI DRESS</t>
  </si>
  <si>
    <t>AN308</t>
  </si>
  <si>
    <t>SS MIDI DRESS FULLPRINT BUNGA ABSTRAK TEPI SULUR AN308:VANILLA:4:FLORAL:SS MIDI DRESS</t>
  </si>
  <si>
    <t>SS MIDI DRESS FULLPRINT BUNGA ABSTRAK TEPI SULUR AN308:VANILLA:5:FLORAL:SS MIDI DRESS</t>
  </si>
  <si>
    <t>SS MIDI DRESS FULLPRINT BUNGA ABSTRAK TEPI SULUR AN308:VANILLA:6:FLORAL:SS MIDI DRESS</t>
  </si>
  <si>
    <t>SS MIDI DRESS FULLPRINT BUNGA ABSTRAK TEPI SULUR AN308:VANILLA:8:FLORAL:SS MIDI DRESS</t>
  </si>
  <si>
    <t>SS MIDI DRESS FULLPRINT BUNGA ABSTRAK TEPI SULUR AN308:VANILLA:10:FLORAL:SS MIDI DRESS</t>
  </si>
  <si>
    <t>SS MIDI DRESS FULLPRINT BUNGA ABSTRAK TEPI SULUR AN308:VANILLA:12:FLORAL:SS MIDI DRESS</t>
  </si>
  <si>
    <t>AN311</t>
  </si>
  <si>
    <t>SS MIDI DRESS FULLPRINT BUNGA KERAH PINGGANG LIPIT AN311:DUSTY PINK:4:FLORAL:SS MIDI DRESS</t>
  </si>
  <si>
    <t>SS MIDI DRESS FULLPRINT BUNGA KERAH PINGGANG LIPIT AN311:DUSTY PINK:5:FLORAL:SS MIDI DRESS</t>
  </si>
  <si>
    <t>SS MIDI DRESS FULLPRINT BUNGA KERAH PINGGANG LIPIT AN311:DUSTY PINK:6:FLORAL:SS MIDI DRESS</t>
  </si>
  <si>
    <t>SS MIDI DRESS FULLPRINT BUNGA KERAH PINGGANG LIPIT AN311:DUSTY PINK:8:FLORAL:SS MIDI DRESS</t>
  </si>
  <si>
    <t>SS MIDI DRESS FULLPRINT BUNGA KERAH PINGGANG LIPIT AN311:DUSTY PINK:10:FLORAL:SS MIDI DRESS</t>
  </si>
  <si>
    <t>SS MIDI DRESS FULLPRINT BUNGA KERAH PINGGANG LIPIT AN311:DUSTY PINK:12:FLORAL:SS MIDI DRESS</t>
  </si>
  <si>
    <t>AN312</t>
  </si>
  <si>
    <t>SS MIDI DRESS FULLPRINT BUNGA FAKE 2 PCS AN312:PASTEL PINK:4:FLORAL:SS MIDI DRESS</t>
  </si>
  <si>
    <t>SS MIDI DRESS FULLPRINT BUNGA FAKE 2 PCS AN312:PASTEL PINK:5:FLORAL:SS MIDI DRESS</t>
  </si>
  <si>
    <t>SS MIDI DRESS FULLPRINT BUNGA FAKE 2 PCS AN312:PASTEL PINK:6:FLORAL:SS MIDI DRESS</t>
  </si>
  <si>
    <t>SS MIDI DRESS FULLPRINT BUNGA FAKE 2 PCS AN312:PASTEL PINK:8:FLORAL:SS MIDI DRESS</t>
  </si>
  <si>
    <t>SS MIDI DRESS FULLPRINT BUNGA FAKE 2 PCS AN312:PASTEL PINK:10:FLORAL:SS MIDI DRESS</t>
  </si>
  <si>
    <t>SS MIDI DRESS FULLPRINT BUNGA FAKE 2 PCS AN312:PASTEL PINK:12:FLORAL:SS MIDI DRESS</t>
  </si>
  <si>
    <t>EV2210W13</t>
  </si>
  <si>
    <t>SS MIDI DRESS OVERALL KOTAK PINGGANG GEBER KANONG KANAN KIRI EV2210W13:CLASSIC BLUE:4:CHECKS:SS MIDI</t>
  </si>
  <si>
    <t>SS MIDI DRESS OVERALL KOTAK PINGGANG GEBER KANONG KANAN KIRI EV2210W13:CLASSIC BLUE:5:CHECKS:SS MIDI</t>
  </si>
  <si>
    <t>SS MIDI DRESS OVERALL KOTAK PINGGANG GEBER KANONG KANAN KIRI EV2210W13:CLASSIC BLUE:6:CHECKS:SS MIDI</t>
  </si>
  <si>
    <t>SS MIDI DRESS OVERALL KOTAK PINGGANG GEBER KANONG KANAN KIRI EV2210W13:CLASSIC BLUE:8:CHECKS:SS MIDI</t>
  </si>
  <si>
    <t>SS MIDI DRESS OVERALL KOTAK PINGGANG GEBER KANONG KANAN KIRI EV2210W13:CLASSIC BLUE:10:CHECKS:SS MID</t>
  </si>
  <si>
    <t>SS MIDI DRESS OVERALL KOTAK PINGGANG GEBER KANONG KANAN KIRI EV2210W13:CLASSIC BLUE:12:CHECKS:SS MID</t>
  </si>
  <si>
    <t>EV2210W14</t>
  </si>
  <si>
    <t>SS MIDI DRESS OVERALL KOTAK EV2210W14:PASTEL GREEN:4:GRAPHIC:SS MIDI DRESS</t>
  </si>
  <si>
    <t>SS MIDI DRESS OVERALL KOTAK EV2210W14:PASTEL GREEN:5:GRAPHIC:SS MIDI DRESS</t>
  </si>
  <si>
    <t>SS MIDI DRESS OVERALL KOTAK EV2210W14:PASTEL GREEN:6:GRAPHIC:SS MIDI DRESS</t>
  </si>
  <si>
    <t>SS MIDI DRESS OVERALL KOTAK EV2210W14:PASTEL GREEN:8:GRAPHIC:SS MIDI DRESS</t>
  </si>
  <si>
    <t>SS MIDI DRESS OVERALL KOTAK EV2210W14:PASTEL GREEN:10:GRAPHIC:SS MIDI DRESS</t>
  </si>
  <si>
    <t>SS MIDI DRESS OVERALL KOTAK EV2210W14:PASTEL GREEN:12:GRAPHIC:SS MIDI DRESS</t>
  </si>
  <si>
    <t>JM2301</t>
  </si>
  <si>
    <t>SS MIDI DRESS BUNGA PINGGANG KERUT TANGAN GEBER JM2301:CLASSIC BLUE:4:FLORAL:SS MIDI DRESS</t>
  </si>
  <si>
    <t>SS MIDI DRESS BUNGA PINGGANG KERUT TANGAN GEBER JM2301:CLASSIC BLUE:5:FLORAL:SS MIDI DRESS</t>
  </si>
  <si>
    <t>SS MIDI DRESS BUNGA PINGGANG KERUT TANGAN GEBER JM2301:CLASSIC BLUE:6:FLORAL:SS MIDI DRESS</t>
  </si>
  <si>
    <t>SS MIDI DRESS BUNGA PINGGANG KERUT TANGAN GEBER JM2301:CLASSIC BLUE:8:FLORAL:SS MIDI DRESS</t>
  </si>
  <si>
    <t>SS MIDI DRESS BUNGA PINGGANG KERUT TANGAN GEBER JM2301:CLASSIC BLUE:10:FLORAL:SS MIDI DRESS</t>
  </si>
  <si>
    <t>SS MIDI DRESS BUNGA PINGGANG KERUT TANGAN GEBER JM2301:CLASSIC BLUE:12:FLORAL:SS MIDI DRESS</t>
  </si>
  <si>
    <t>EV2210W12</t>
  </si>
  <si>
    <t>SS MIDI DRESS TANGAN GEBER BUNNY PITA EV2210W12:TURQOUISE:4:GRAPHIC:SS MIDI DRESS</t>
  </si>
  <si>
    <t>SS MIDI DRESS TANGAN GEBER BUNNY PITA EV2210W12:TURQOUISE:5:GRAPHIC:SS MIDI DRESS</t>
  </si>
  <si>
    <t>SS MIDI DRESS TANGAN GEBER BUNNY PITA EV2210W12:TURQOUISE:6:GRAPHIC:SS MIDI DRESS</t>
  </si>
  <si>
    <t>SS MIDI DRESS TANGAN GEBER BUNNY PITA EV2210W12:TURQOUISE:8:GRAPHIC:SS MIDI DRESS</t>
  </si>
  <si>
    <t>SS MIDI DRESS TANGAN GEBER BUNNY PITA EV2210W12:TURQOUISE:10:GRAPHIC:SS MIDI DRESS</t>
  </si>
  <si>
    <t>AG3545</t>
  </si>
  <si>
    <t>SS MIDI DRESS DADA BORDIR PINGGANG KERUT TILE AG3545:DUSTY PINK:4:SOLID:SS MIDI DRESS</t>
  </si>
  <si>
    <t>SS MIDI DRESS DADA BORDIR PINGGANG KERUT TILE AG3545:DUSTY PINK:5:SOLID:SS MIDI DRESS</t>
  </si>
  <si>
    <t>SS MIDI DRESS DADA BORDIR PINGGANG KERUT TILE AG3545:DUSTY PINK:6:SOLID:SS MIDI DRESS</t>
  </si>
  <si>
    <t>SS MIDI DRESS DADA BORDIR PINGGANG KERUT TILE AG3545:DUSTY PINK:8:SOLID:SS MIDI DRESS</t>
  </si>
  <si>
    <t>SS MIDI DRESS DADA BORDIR PINGGANG KERUT TILE AG3545:DUSTY PINK:10:SOLID:SS MIDI DRESS</t>
  </si>
  <si>
    <t>SS MIDI DRESS DADA BORDIR PINGGANG KERUT TILE AG3545:DUSTY PINK:12:SOLID:SS MIDI DRESS</t>
  </si>
  <si>
    <t>AG3508</t>
  </si>
  <si>
    <t>SL MIDI DRESS PUNDAK KERUT POM TILE BAWAH AG3508:PASTEL PINK:4:SOLID:SS MIDI DRESS</t>
  </si>
  <si>
    <t>SL MIDI DRESS PUNDAK KERUT POM TILE BAWAH AG3508:PASTEL PINK:5:SOLID:SS MIDI DRESS</t>
  </si>
  <si>
    <t>SL MIDI DRESS PUNDAK KERUT POM TILE BAWAH AG3508:PASTEL PINK:6:SOLID:SS MIDI DRESS</t>
  </si>
  <si>
    <t>SL MIDI DRESS PUNDAK KERUT POM TILE BAWAH AG3508:PASTEL PINK:8:SOLID:SS MIDI DRESS</t>
  </si>
  <si>
    <t>SL MIDI DRESS PUNDAK KERUT POM TILE BAWAH AG3508:PASTEL PINK:10:SOLID:SS MIDI DRESS</t>
  </si>
  <si>
    <t>SL MIDI DRESS PUNDAK KERUT POM TILE BAWAH AG3508:PASTEL PINK:12:SOLID:SS MIDI DRESS</t>
  </si>
  <si>
    <t>AG3517B</t>
  </si>
  <si>
    <t>SL MIDI DRESS TILE SUSUN WARNA KERUT PUNDAK AG3517B:OFF WHITE:4:OMBRE:SS MIDI DRESS</t>
  </si>
  <si>
    <t>SL MIDI DRESS TILE SUSUN WARNA KERUT PUNDAK AG3517B:OFF WHITE:5:OMBRE:SS MIDI DRESS</t>
  </si>
  <si>
    <t>SL MIDI DRESS TILE SUSUN WARNA KERUT PUNDAK AG3517B:OFF WHITE:6:OMBRE:SS MIDI DRESS</t>
  </si>
  <si>
    <t>SL MIDI DRESS TILE SUSUN WARNA KERUT PUNDAK AG3517B:OFF WHITE:8:OMBRE:SS MIDI DRESS</t>
  </si>
  <si>
    <t>SL MIDI DRESS TILE SUSUN WARNA KERUT PUNDAK AG3517B:OFF WHITE:10:OMBRE:SS MIDI DRESS</t>
  </si>
  <si>
    <t>SL MIDI DRESS TILE SUSUN WARNA KERUT PUNDAK AG3517B:OFF WHITE:12:OMBRE:SS MIDI DRESS</t>
  </si>
  <si>
    <t>AN310</t>
  </si>
  <si>
    <t>SS MIDI DRESS FULLPRINT BUNGA KOMB POLOS PINGGANG BUNGA SULUR AN310:KHAKI:4:FLORAL:SS MIDI DRESS</t>
  </si>
  <si>
    <t>SS MIDI DRESS FULLPRINT BUNGA KOMB POLOS PINGGANG BUNGA SULUR AN310:KHAKI:8:FLORAL:SS MIDI DRESS</t>
  </si>
  <si>
    <t>SS MIDI DRESS FULLPRINT BUNGA KOMB POLOS PINGGANG BUNGA SULUR AN310:KHAKI:5:FLORAL:SS MIDI DRESS</t>
  </si>
  <si>
    <t>SS MIDI DRESS FULLPRINT BUNGA KOMB POLOS PINGGANG BUNGA SULUR AN310:KHAKI:12:FLORAL:SS MIDI DRESS</t>
  </si>
  <si>
    <t>SS MIDI DRESS FULLPRINT BUNGA KOMB POLOS PINGGANG BUNGA SULUR AN310:KHAKI:10:FLORAL:SS MIDI DRESS</t>
  </si>
  <si>
    <t>SS MIDI DRESS FULLPRINT BUNGA KOMB POLOS PINGGANG BUNGA SULUR AN310:KHAKI:6:FLORAL:SS MIDI DRESS</t>
  </si>
  <si>
    <t>AN313</t>
  </si>
  <si>
    <t>SS MIDI DRESS FULLPRINT BUNGA KERAH BULAT PITA BESAR PINGGIR AN313:PASTEL PINK:4:FLORAL:SS MIDI DRES</t>
  </si>
  <si>
    <t>SS MIDI DRESS FULLPRINT BUNGA KERAH BULAT PITA BESAR PINGGIR AN313:PASTEL PINK:5:FLORAL:SS MIDI DRES</t>
  </si>
  <si>
    <t>SS MIDI DRESS FULLPRINT BUNGA KERAH BULAT PITA BESAR PINGGIR AN313:PASTEL PINK:6:FLORAL:SS MIDI DRES</t>
  </si>
  <si>
    <t>SS MIDI DRESS FULLPRINT BUNGA KERAH BULAT PITA BESAR PINGGIR AN313:PASTEL PINK:8:FLORAL:SS MIDI DRES</t>
  </si>
  <si>
    <t>SS MIDI DRESS FULLPRINT BUNGA KERAH BULAT PITA BESAR PINGGIR AN313:PASTEL PINK:10:FLORAL:SS MIDI DRE</t>
  </si>
  <si>
    <t>SS MIDI DRESS FULLPRINT BUNGA KERAH BULAT PITA BESAR PINGGIR AN313:PASTEL PINK:12:FLORAL:SS MIDI DRE</t>
  </si>
  <si>
    <t>EV0922Y10</t>
  </si>
  <si>
    <t>SS MIDI DRESS CAT KOMBINASI POUCH EV0922Y10:PASTEL GREEN:4:GRAPHIC:SS MIDI DRESS</t>
  </si>
  <si>
    <t>SS MIDI DRESS CAT KOMBINASI POUCH EV0922Y10:PASTEL GREEN:5:GRAPHIC:SS MIDI DRESS</t>
  </si>
  <si>
    <t>SS MIDI DRESS CAT KOMBINASI POUCH EV0922Y10:PASTEL GREEN:6:GRAPHIC:SS MIDI DRESS</t>
  </si>
  <si>
    <t>SS MIDI DRESS CAT KOMBINASI POUCH EV0922Y10:PASTEL GREEN:8:GRAPHIC:SS MIDI DRESS</t>
  </si>
  <si>
    <t>SS MIDI DRESS CAT KOMBINASI POUCH EV0922Y10:PASTEL GREEN:10:GRAPHIC:SS MIDI DRESS</t>
  </si>
  <si>
    <t>AN321</t>
  </si>
  <si>
    <t>SS MIDI DRESS KERAH DADA OPNASEL BAWAH GEBER AN321:PASTEL PINK:4:CHECKS:SS MIDI DRESS</t>
  </si>
  <si>
    <t>SS MIDI DRESS KERAH DADA OPNASEL BAWAH GEBER AN321:PASTEL PINK:5:CHECKS:SS MIDI DRESS</t>
  </si>
  <si>
    <t>SS MIDI DRESS KERAH DADA OPNASEL BAWAH GEBER AN321:PASTEL PINK:6:CHECKS:SS MIDI DRESS</t>
  </si>
  <si>
    <t>SS MIDI DRESS KERAH DADA OPNASEL BAWAH GEBER AN321:PASTEL PINK:8:CHECKS:SS MIDI DRESS</t>
  </si>
  <si>
    <t>SS MIDI DRESS KERAH DADA OPNASEL BAWAH GEBER AN321:PASTEL PINK:10:CHECKS:SS MIDI DRESS</t>
  </si>
  <si>
    <t>SS MIDI DRESS KERAH DADA OPNASEL BAWAH GEBER AN321:PASTEL PINK:12:CHECKS:SS MIDI DRESS</t>
  </si>
  <si>
    <t>JM2302</t>
  </si>
  <si>
    <t>LS MIDI DRESS BUNGA KERAH BULAT KERUT JM2302:CLASSIC GREEN:4:FLORAL:LS MIDI DRESS</t>
  </si>
  <si>
    <t>LS MIDI DRESS BUNGA KERAH BULAT KERUT JM2302:CLASSIC GREEN:5:FLORAL:LS MIDI DRESS</t>
  </si>
  <si>
    <t>LS MIDI DRESS BUNGA KERAH BULAT KERUT JM2302:CLASSIC GREEN:6:FLORAL:LS MIDI DRESS</t>
  </si>
  <si>
    <t>LS MIDI DRESS BUNGA KERAH BULAT KERUT JM2302:CLASSIC GREEN:8:FLORAL:LS MIDI DRESS</t>
  </si>
  <si>
    <t>LS MIDI DRESS BUNGA KERAH BULAT KERUT JM2302:CLASSIC GREEN:10:FLORAL:LS MIDI DRESS</t>
  </si>
  <si>
    <t>LS MIDI DRESS BUNGA KERAH BULAT KERUT JM2302:CLASSIC GREEN:12:FLORAL:LS MIDI DRESS</t>
  </si>
  <si>
    <t>EV0922Y6</t>
  </si>
  <si>
    <t>SS MIDI DRESS KOMBINASI PRINT BEAR EV0922Y6:BLACK:4:GRAPHIC:SS MIDI DRESS</t>
  </si>
  <si>
    <t>SS MIDI DRESS KOMBINASI PRINT BEAR EV0922Y6:BLACK:5:GRAPHIC:SS MIDI DRESS</t>
  </si>
  <si>
    <t>SS MIDI DRESS KOMBINASI PRINT BEAR EV0922Y6:BLACK:6:GRAPHIC:SS MIDI DRESS</t>
  </si>
  <si>
    <t>SS MIDI DRESS KOMBINASI PRINT BEAR EV0922Y6:BLACK:8:GRAPHIC:SS MIDI DRESS</t>
  </si>
  <si>
    <t>AG3641</t>
  </si>
  <si>
    <t>SS MIDI DRESS FULLPRINT BUNGA SALUR KANTONG SAMPING AG3641:PASTEL PINK:4:FLORAL:SS MIDI DRESS</t>
  </si>
  <si>
    <t>SS MIDI DRESS FULLPRINT BUNGA SALUR KANTONG SAMPING AG3641:PASTEL PINK:5:FLORAL:SS MIDI DRESS</t>
  </si>
  <si>
    <t>SS MIDI DRESS FULLPRINT BUNGA SALUR KANTONG SAMPING AG3641:PASTEL PINK:6:FLORAL:SS MIDI DRESS</t>
  </si>
  <si>
    <t>SS MIDI DRESS FULLPRINT BUNGA SALUR KANTONG SAMPING AG3641:PASTEL PINK:8:FLORAL:SS MIDI DRESS</t>
  </si>
  <si>
    <t>SS MIDI DRESS FULLPRINT BUNGA SALUR KANTONG SAMPING AG3641:PASTEL PINK:10:FLORAL:SS MIDI DRESS</t>
  </si>
  <si>
    <t>SS MIDI DRESS FULLPRINT BUNGA SALUR KANTONG SAMPING AG3641:PASTEL PINK:12:FLORAL:SS MIDI DRESS</t>
  </si>
  <si>
    <t>AN332</t>
  </si>
  <si>
    <t>SS MIDI DRESS FULLPRINT BUNGA SUSUN 3 KOMB SALUR AN332:PASTEL BLUE:4:FLORAL:SS MIDI DRESS</t>
  </si>
  <si>
    <t>SS MIDI DRESS FULLPRINT BUNGA SUSUN 3 KOMB SALUR AN332:PASTEL BLUE:5:FLORAL:SS MIDI DRESS</t>
  </si>
  <si>
    <t>SS MIDI DRESS FULLPRINT BUNGA SUSUN 3 KOMB SALUR AN332:PASTEL BLUE:6:FLORAL:SS MIDI DRESS</t>
  </si>
  <si>
    <t>SS MIDI DRESS FULLPRINT BUNGA SUSUN 3 KOMB SALUR AN332:PASTEL BLUE:8:FLORAL:SS MIDI DRESS</t>
  </si>
  <si>
    <t>SS MIDI DRESS FULLPRINT BUNGA SUSUN 3 KOMB SALUR AN332:PASTEL BLUE:10:FLORAL:SS MIDI DRESS</t>
  </si>
  <si>
    <t>SS MIDI DRESS FULLPRINT BUNGA SUSUN 3 KOMB SALUR AN332:PASTEL BLUE:12:FLORAL:SS MIDI DRESS</t>
  </si>
  <si>
    <t>EV2304W58</t>
  </si>
  <si>
    <t>SS MIDI DRESS FP KOTAK KUPING DADA PITA EV2304W58:PASTEL PINK:4:CHECKS:SS MIDI DRESS</t>
  </si>
  <si>
    <t>SS MIDI DRESS FP KOTAK KUPING DADA PITA EV2304W58:PASTEL PINK:5:CHECKS:SS MIDI DRESS</t>
  </si>
  <si>
    <t>SS MIDI DRESS FP KOTAK KUPING DADA PITA EV2304W58:PASTEL PINK:6:CHECKS:SS MIDI DRESS</t>
  </si>
  <si>
    <t>SS MIDI DRESS FP KOTAK KUPING DADA PITA EV2304W58:PASTEL PINK:8:CHECKS:SS MIDI DRESS</t>
  </si>
  <si>
    <t>SS MIDI DRESS FP KOTAK KUPING DADA PITA EV2304W58:PASTEL PINK:10:CHECKS:SS MIDI DRESS</t>
  </si>
  <si>
    <t>SS MIDI DRESS FP KOTAK KUPING DADA PITA EV2304W58:PASTEL PINK:12:CHECKS:SS MIDI DRESS</t>
  </si>
  <si>
    <t>AN315</t>
  </si>
  <si>
    <t>SS MIDI DRESS OVL KERUT SUSUN 3 AN315:CORAL:4:PRINT:SS MIDI DRESS</t>
  </si>
  <si>
    <t>SS MIDI DRESS OVL KERUT SUSUN 3 AN315:CORAL:5:PRINT:SS MIDI DRESS</t>
  </si>
  <si>
    <t>SS MIDI DRESS OVL KERUT SUSUN 3 AN315:CORAL:6:PRINT:SS MIDI DRESS</t>
  </si>
  <si>
    <t>SS MIDI DRESS OVL KERUT SUSUN 3 AN315:CORAL:8:PRINT:SS MIDI DRESS</t>
  </si>
  <si>
    <t>SS MIDI DRESS OVL KERUT SUSUN 3 AN315:CORAL:10:PRINT:SS MIDI DRESS</t>
  </si>
  <si>
    <t>SS MIDI DRESS OVL KERUT SUSUN 3 AN315:CORAL:12:PRINT:SS MIDI DRESS</t>
  </si>
  <si>
    <t>EV2304W51</t>
  </si>
  <si>
    <t>SS MIDI DRESS FP BUNGA TANGKAI TANGAN PINGGANG GEBER EV2304W51:PASTEL PINK:4:FLORAL:SS MIDI DRESS</t>
  </si>
  <si>
    <t>SS MIDI DRESS FP BUNGA TANGKAI TANGAN PINGGANG GEBER EV2304W51:PASTEL PINK:5:FLORAL:SS MIDI DRESS</t>
  </si>
  <si>
    <t>SS MIDI DRESS FP BUNGA TANGKAI TANGAN PINGGANG GEBER EV2304W51:PASTEL PINK:6:FLORAL:SS MIDI DRESS</t>
  </si>
  <si>
    <t>SS MIDI DRESS FP BUNGA TANGKAI TANGAN PINGGANG GEBER EV2304W51:PASTEL PINK:8:FLORAL:SS MIDI DRESS</t>
  </si>
  <si>
    <t>SS MIDI DRESS FP BUNGA TANGKAI TANGAN PINGGANG GEBER EV2304W51:PASTEL PINK:10:FLORAL:SS MIDI DRESS</t>
  </si>
  <si>
    <t>SS MIDI DRESS FP BUNGA TANGKAI TANGAN PINGGANG GEBER EV2304W51:PASTEL PINK:12:FLORAL:SS MIDI DRESS</t>
  </si>
  <si>
    <t>JMLS23052</t>
  </si>
  <si>
    <t>LS MIDI DRESS FP BUNGA KERAH LACE BULAT TANGAN GEBER LACE JMLS23052:CORAL:4:FLORAL:LS MIDI DRESS</t>
  </si>
  <si>
    <t>LS MIDI DRESS FP BUNGA KERAH LACE BULAT TANGAN GEBER LACE JMLS23052:CORAL:5:FLORAL:LS MIDI DRESS</t>
  </si>
  <si>
    <t>LS MIDI DRESS FP BUNGA KERAH LACE BULAT TANGAN GEBER LACE JMLS23052:CORAL:6:FLORAL:LS MIDI DRESS</t>
  </si>
  <si>
    <t>LS MIDI DRESS FP BUNGA KERAH LACE BULAT TANGAN GEBER LACE JMLS23052:CORAL:8:FLORAL:LS MIDI DRESS</t>
  </si>
  <si>
    <t>LS MIDI DRESS FP BUNGA KERAH LACE BULAT TANGAN GEBER LACE JMLS23052:CORAL:10:FLORAL:LS MIDI DRESS</t>
  </si>
  <si>
    <t>LS MIDI DRESS FP BUNGA KERAH LACE BULAT TANGAN GEBER LACE JMLS23052:CORAL:12:FLORAL:LS MIDI DRESS</t>
  </si>
  <si>
    <t>AG3617</t>
  </si>
  <si>
    <t>SS MIDI DRESS TILE TANGAN GEBER SISIK IKAN AG3617:ASSORTIVE COLOR:4:STRIPES:SS MIDI DRESS</t>
  </si>
  <si>
    <t>SS MIDI DRESS TILE TANGAN GEBER SISIK IKAN AG3617:ASSORTIVE COLOR:5:STRIPES:SS MIDI DRESS</t>
  </si>
  <si>
    <t>SS MIDI DRESS TILE TANGAN GEBER SISIK IKAN AG3617:ASSORTIVE COLOR:6:STRIPES:SS MIDI DRESS</t>
  </si>
  <si>
    <t>SS MIDI DRESS TILE TANGAN GEBER SISIK IKAN AG3617:ASSORTIVE COLOR:8:STRIPES:SS MIDI DRESS</t>
  </si>
  <si>
    <t>SS MIDI DRESS TILE TANGAN GEBER SISIK IKAN AG3617:ASSORTIVE COLOR:10:STRIPES:SS MIDI DRESS</t>
  </si>
  <si>
    <t>SS MIDI DRESS TILE TANGAN GEBER SISIK IKAN AG3617:ASSORTIVE COLOR:12:STRIPES:SS MIDI DRESS</t>
  </si>
  <si>
    <t>AG3618</t>
  </si>
  <si>
    <t>SS MIDI DRESS TILE TANGAN GEBER GLITER AG3618:SALMON:4:SOLID:SS MIDI DRESS</t>
  </si>
  <si>
    <t>SS MIDI DRESS TILE TANGAN GEBER GLITER AG3618:SALMON:5:SOLID:SS MIDI DRESS</t>
  </si>
  <si>
    <t>SS MIDI DRESS TILE TANGAN GEBER GLITER AG3618:SALMON:6:SOLID:SS MIDI DRESS</t>
  </si>
  <si>
    <t>SS MIDI DRESS TILE TANGAN GEBER GLITER AG3618:SALMON:8:SOLID:SS MIDI DRESS</t>
  </si>
  <si>
    <t>SS MIDI DRESS TILE TANGAN GEBER GLITER AG3618:SALMON:10:SOLID:SS MIDI DRESS</t>
  </si>
  <si>
    <t>SS MIDI DRESS TILE TANGAN GEBER GLITER AG3618:SALMON:12:SOLID:SS MIDI DRESS</t>
  </si>
  <si>
    <t>AN327</t>
  </si>
  <si>
    <t>SS MIDI DRESS SUSUN 3 GEBER PITA PINGGANG AN327:PASTEL PINK:4:FLORAL:SS MIDI DRESS</t>
  </si>
  <si>
    <t>SS MIDI DRESS SUSUN 3 GEBER PITA PINGGANG AN327:PASTEL PINK:5:FLORAL:SS MIDI DRESS</t>
  </si>
  <si>
    <t>SS MIDI DRESS SUSUN 3 GEBER PITA PINGGANG AN327:PASTEL PINK:6:FLORAL:SS MIDI DRESS</t>
  </si>
  <si>
    <t>SS MIDI DRESS SUSUN 3 GEBER PITA PINGGANG AN327:PASTEL PINK:8:FLORAL:SS MIDI DRESS</t>
  </si>
  <si>
    <t>SS MIDI DRESS SUSUN 3 GEBER PITA PINGGANG AN327:PASTEL PINK:10:FLORAL:SS MIDI DRESS</t>
  </si>
  <si>
    <t>SS MIDI DRESS SUSUN 3 GEBER PITA PINGGANG AN327:PASTEL PINK:12:FLORAL:SS MIDI DRESS</t>
  </si>
  <si>
    <t>AN334</t>
  </si>
  <si>
    <t>SS MIDI DRESS FULLPRINT BUNGA TANGAN GEBER RENDA AN334:CORAL:4:FLORAL:SS MIDI DRESS</t>
  </si>
  <si>
    <t>SS MIDI DRESS FULLPRINT BUNGA TANGAN GEBER RENDA AN334:CORAL:5:FLORAL:SS MIDI DRESS</t>
  </si>
  <si>
    <t>SS MIDI DRESS FULLPRINT BUNGA TANGAN GEBER RENDA AN334:CORAL:6:FLORAL:SS MIDI DRESS</t>
  </si>
  <si>
    <t>SS MIDI DRESS FULLPRINT BUNGA TANGAN GEBER RENDA AN334:CORAL:8:FLORAL:SS MIDI DRESS</t>
  </si>
  <si>
    <t>SS MIDI DRESS FULLPRINT BUNGA TANGAN GEBER RENDA AN334:CORAL:10:FLORAL:SS MIDI DRESS</t>
  </si>
  <si>
    <t>SS MIDI DRESS FULLPRINT BUNGA TANGAN GEBER RENDA AN334:CORAL:12:FLORAL:SS MIDI DRESS</t>
  </si>
  <si>
    <t>JM2303</t>
  </si>
  <si>
    <t>SS MIDI DRESS FULLPRINT SALUR BAHU GEBER JM2303:CLASSIC GREEN:4:SOLID:SS MIDI DRESS</t>
  </si>
  <si>
    <t>SS MIDI DRESS FULLPRINT SALUR BAHU GEBER JM2303:CLASSIC GREEN:5:SOLID:SS MIDI DRESS</t>
  </si>
  <si>
    <t>SS MIDI DRESS FULLPRINT SALUR BAHU GEBER JM2303:CLASSIC GREEN:6:SOLID:SS MIDI DRESS</t>
  </si>
  <si>
    <t>SS MIDI DRESS FULLPRINT SALUR BAHU GEBER JM2303:CLASSIC GREEN:8:SOLID:SS MIDI DRESS</t>
  </si>
  <si>
    <t>SS MIDI DRESS FULLPRINT SALUR BAHU GEBER JM2303:CLASSIC GREEN:10:SOLID:SS MIDI DRESS</t>
  </si>
  <si>
    <t>SS MIDI DRESS FULLPRINT SALUR BAHU GEBER JM2303:CLASSIC GREEN:12:SOLID:SS MIDI DRESS</t>
  </si>
  <si>
    <t>EV2304W53</t>
  </si>
  <si>
    <t>SS MIDI DRESS BORDIR MATAHARI KOMB KOTAK EV2304W53:OFF WHITE:4:GRAPHIC:SS MIDI DRESS</t>
  </si>
  <si>
    <t>SS MIDI DRESS BORDIR MATAHARI KOMB KOTAK EV2304W53:OFF WHITE:5:GRAPHIC:SS MIDI DRESS</t>
  </si>
  <si>
    <t>SS MIDI DRESS BORDIR MATAHARI KOMB KOTAK EV2304W53:OFF WHITE:6:GRAPHIC:SS MIDI DRESS</t>
  </si>
  <si>
    <t>SS MIDI DRESS BORDIR MATAHARI KOMB KOTAK EV2304W53:OFF WHITE:8:GRAPHIC:SS MIDI DRESS</t>
  </si>
  <si>
    <t>SS MIDI DRESS BORDIR MATAHARI KOMB KOTAK EV2304W53:OFF WHITE:10:GRAPHIC:SS MIDI DRESS</t>
  </si>
  <si>
    <t>SS MIDI DRESS BORDIR MATAHARI KOMB KOTAK EV2304W53:OFF WHITE:12:GRAPHIC:SS MIDI DRESS</t>
  </si>
  <si>
    <t>EV2304W57</t>
  </si>
  <si>
    <t>SS MIDI DRESS OVL KUCING KANTONG DEPAN DUA EV2304W57:CORAL:4:GRAPHIC:SS MIDI DRESS</t>
  </si>
  <si>
    <t>SS MIDI DRESS OVL KUCING KANTONG DEPAN DUA EV2304W57:CORAL:5:GRAPHIC:SS MIDI DRESS</t>
  </si>
  <si>
    <t>SS MIDI DRESS OVL KUCING KANTONG DEPAN DUA EV2304W57:CORAL:6:GRAPHIC:SS MIDI DRESS</t>
  </si>
  <si>
    <t>SS MIDI DRESS OVL KUCING KANTONG DEPAN DUA EV2304W57:CORAL:8:GRAPHIC:SS MIDI DRESS</t>
  </si>
  <si>
    <t>SS MIDI DRESS OVL KUCING KANTONG DEPAN DUA EV2304W57:CORAL:10:GRAPHIC:SS MIDI DRESS</t>
  </si>
  <si>
    <t>SS MIDI DRESS OVL KUCING KANTONG DEPAN DUA EV2304W57:CORAL:12:GRAPHIC:SS MIDI DRESS</t>
  </si>
  <si>
    <t>AN347</t>
  </si>
  <si>
    <t>SS MIDI DRESS OVL KOTAK LEHER RENDA TANGAN KARET AN347:CLASSIC RED:4:CHECKS:SS MIDI DRESS</t>
  </si>
  <si>
    <t>SS MIDI DRESS OVL KOTAK LEHER RENDA TANGAN KARET AN347:CLASSIC RED:5:CHECKS:SS MIDI DRESS</t>
  </si>
  <si>
    <t>SS MIDI DRESS OVL KOTAK LEHER RENDA TANGAN KARET AN347:CLASSIC RED:6:CHECKS:SS MIDI DRESS</t>
  </si>
  <si>
    <t>SS MIDI DRESS OVL KOTAK LEHER RENDA TANGAN KARET AN347:CLASSIC RED:8:CHECKS:SS MIDI DRESS</t>
  </si>
  <si>
    <t>SS MIDI DRESS OVL KOTAK LEHER RENDA TANGAN KARET AN347:CLASSIC RED:10:CHECKS:SS MIDI DRESS</t>
  </si>
  <si>
    <t>SS MIDI DRESS OVL KOTAK LEHER RENDA TANGAN KARET AN347:CLASSIC RED:12:CHECKS:SS MIDI DRESS</t>
  </si>
  <si>
    <t>AG3646</t>
  </si>
  <si>
    <t>LS MIDI DRESS KERAH RENDA BAWAH TILE SUSUN AG3646:OFF WHITE:4:SOLID:LS MIDI DRESS</t>
  </si>
  <si>
    <t>LS MIDI DRESS KERAH RENDA BAWAH TILE SUSUN AG3646:OFF WHITE:5:SOLID:LS MIDI DRESS</t>
  </si>
  <si>
    <t>LS MIDI DRESS KERAH RENDA BAWAH TILE SUSUN AG3646:OFF WHITE:6:SOLID:LS MIDI DRESS</t>
  </si>
  <si>
    <t>LS MIDI DRESS KERAH RENDA BAWAH TILE SUSUN AG3646:OFF WHITE:8:SOLID:LS MIDI DRESS</t>
  </si>
  <si>
    <t>LS MIDI DRESS KERAH RENDA BAWAH TILE SUSUN AG3646:OFF WHITE:10:SOLID:LS MIDI DRESS</t>
  </si>
  <si>
    <t>LS MIDI DRESS KERAH RENDA BAWAH TILE SUSUN AG3646:OFF WHITE:12:SOLID:LS MIDI DRESS</t>
  </si>
  <si>
    <t>AG3721</t>
  </si>
  <si>
    <t>SS MIDI DRESS TANGAN RUFFLE BAWAH TILE BUNGA PINGGANG AG3721:DUSTY PINK:4:SOLID:SS MIDI DRESS</t>
  </si>
  <si>
    <t>SS MIDI DRESS TANGAN RUFFLE BAWAH TILE BUNGA PINGGANG AG3721:DUSTY PINK:5:SOLID:SS MIDI DRESS</t>
  </si>
  <si>
    <t>SS MIDI DRESS TANGAN RUFFLE BAWAH TILE BUNGA PINGGANG AG3721:DUSTY PINK:6:SOLID:SS MIDI DRESS</t>
  </si>
  <si>
    <t>SS MIDI DRESS TANGAN RUFFLE BAWAH TILE BUNGA PINGGANG AG3721:DUSTY PINK:8:SOLID:SS MIDI DRESS</t>
  </si>
  <si>
    <t>SS MIDI DRESS TANGAN RUFFLE BAWAH TILE BUNGA PINGGANG AG3721:DUSTY PINK:10:SOLID:SS MIDI DRESS</t>
  </si>
  <si>
    <t>SS MIDI DRESS TANGAN RUFFLE BAWAH TILE BUNGA PINGGANG AG3721:DUSTY PINK:12:SOLID:SS MIDI DRESS</t>
  </si>
  <si>
    <t>AG3547</t>
  </si>
  <si>
    <t>SS MIDI DRESS DADA BROKAT TILE SUSUN 3 AG3547:OFF WHITE:4:SOLID:SS MIDI DRESS</t>
  </si>
  <si>
    <t>SS MIDI DRESS DADA BROKAT TILE SUSUN 3 AG3547:OFF WHITE:5:SOLID:SS MIDI DRESS</t>
  </si>
  <si>
    <t>SS MIDI DRESS DADA BROKAT TILE SUSUN 3 AG3547:OFF WHITE:6:SOLID:SS MIDI DRESS</t>
  </si>
  <si>
    <t>SS MIDI DRESS DADA BROKAT TILE SUSUN 3 AG3547:OFF WHITE:8:SOLID:SS MIDI DRESS</t>
  </si>
  <si>
    <t>SS MIDI DRESS DADA BROKAT TILE SUSUN 3 AG3547:OFF WHITE:10:SOLID:SS MIDI DRESS</t>
  </si>
  <si>
    <t>SS MIDI DRESS DADA BROKAT TILE SUSUN 3 AG3547:OFF WHITE:12:SOLID:SS MIDI DRESS</t>
  </si>
  <si>
    <t>AG3533</t>
  </si>
  <si>
    <t>LS MIDI DRESS DADA BROKAT BAWAH KERUT AG3533:PASTEL PINK:4:SOLID:LS MIDI DRESS</t>
  </si>
  <si>
    <t>LS MIDI DRESS DADA BROKAT BAWAH KERUT AG3533:PASTEL PINK:5:SOLID:LS MIDI DRESS</t>
  </si>
  <si>
    <t>LS MIDI DRESS DADA BROKAT BAWAH KERUT AG3533:PASTEL PINK:6:SOLID:LS MIDI DRESS</t>
  </si>
  <si>
    <t>LS MIDI DRESS DADA BROKAT BAWAH KERUT AG3533:PASTEL PINK:8:SOLID:LS MIDI DRESS</t>
  </si>
  <si>
    <t>LS MIDI DRESS DADA BROKAT BAWAH KERUT AG3533:PASTEL PINK:10:SOLID:LS MIDI DRESS</t>
  </si>
  <si>
    <t>LS MIDI DRESS DADA BROKAT BAWAH KERUT AG3533:PASTEL PINK:12:SOLID:LS MIDI DRESS</t>
  </si>
  <si>
    <t>AN342</t>
  </si>
  <si>
    <t>SS MIDI DRESS BALON SLEEVES GEBER SIMETRIS AN342:CORAL:4:SOLID:SS MIDI DRESS</t>
  </si>
  <si>
    <t>SS MIDI DRESS BALON SLEEVES GEBER SIMETRIS AN342:CORAL:5:SOLID:SS MIDI DRESS</t>
  </si>
  <si>
    <t>SS MIDI DRESS BALON SLEEVES GEBER SIMETRIS AN342:CORAL:6:SOLID:SS MIDI DRESS</t>
  </si>
  <si>
    <t>SS MIDI DRESS BALON SLEEVES GEBER SIMETRIS AN342:CORAL:8:SOLID:SS MIDI DRESS</t>
  </si>
  <si>
    <t>SS MIDI DRESS BALON SLEEVES GEBER SIMETRIS AN342:CORAL:10:SOLID:SS MIDI DRESS</t>
  </si>
  <si>
    <t>SS MIDI DRESS BALON SLEEVES GEBER SIMETRIS AN342:CORAL:12:SOLID:SS MIDI DRESS</t>
  </si>
  <si>
    <t>AG3708</t>
  </si>
  <si>
    <t>SS MIDI DRESS PITA PINGGANG GINGHAM CHECKS XMAS AG3708:CLASSIC GREEN:4:CHECKS:SS MIDI DRESS</t>
  </si>
  <si>
    <t>SS MIDI DRESS PITA PINGGANG GINGHAM CHECKS XMAS AG3708:CLASSIC GREEN:5:CHECKS:SS MIDI DRESS</t>
  </si>
  <si>
    <t>SS MIDI DRESS PITA PINGGANG GINGHAM CHECKS XMAS AG3708:CLASSIC GREEN:6:CHECKS:SS MIDI DRESS</t>
  </si>
  <si>
    <t>SS MIDI DRESS PITA PINGGANG GINGHAM CHECKS XMAS AG3708:CLASSIC GREEN:8:CHECKS:SS MIDI DRESS</t>
  </si>
  <si>
    <t>SS MIDI DRESS PITA PINGGANG GINGHAM CHECKS XMAS AG3708:CLASSIC GREEN:10:CHECKS:SS MIDI DRESS</t>
  </si>
  <si>
    <t>SS MIDI DRESS PITA PINGGANG GINGHAM CHECKS XMAS AG3708:CLASSIC GREEN:12:CHECKS:SS MIDI DRESS</t>
  </si>
  <si>
    <t>TSBCAS02</t>
  </si>
  <si>
    <t>LS MIDI DRESS FULL PRINT CHECKS BESAR KRAH GEBER WITH RUFFLE TSBCAS02:CLASSIC RED:4:CHECKS:LS MIDI D</t>
  </si>
  <si>
    <t>LS MIDI DRESS FULL PRINT CHECKS BESAR KRAH GEBER WITH RUFFLE TSBCAS02:CLASSIC RED:5:CHECKS:LS MIDI D</t>
  </si>
  <si>
    <t>LS MIDI DRESS FULL PRINT CHECKS BESAR KRAH GEBER WITH RUFFLE TSBCAS02:CLASSIC RED:6:CHECKS:LS MIDI D</t>
  </si>
  <si>
    <t>LS MIDI DRESS FULL PRINT CHECKS BESAR KRAH GEBER WITH RUFFLE TSBCAS02:CLASSIC RED:8:CHECKS:LS MIDI D</t>
  </si>
  <si>
    <t>LS MIDI DRESS FULL PRINT CHECKS BESAR KRAH GEBER WITH RUFFLE TSBCAS02:CLASSIC RED:10:CHECKS:LS MIDI</t>
  </si>
  <si>
    <t>LS MIDI DRESS FULL PRINT CHECKS BESAR KRAH GEBER WITH RUFFLE TSBCAS02:CLASSIC RED:12:CHECKS:LS MIDI</t>
  </si>
  <si>
    <t>AG3725</t>
  </si>
  <si>
    <t>SS MIDI DRESS CNY BORDIR BURUNG BUNGA KRAH SHANGHAI AG3725:CLASSIC RED:4:GRAPHIC:SS MIDI DRESS</t>
  </si>
  <si>
    <t>SS MIDI DRESS CNY BORDIR BURUNG BUNGA KRAH SHANGHAI AG3725:CLASSIC RED:5:GRAPHIC:SS MIDI DRESS</t>
  </si>
  <si>
    <t>SS MIDI DRESS CNY BORDIR BURUNG BUNGA KRAH SHANGHAI AG3725:CLASSIC RED:6:GRAPHIC:SS MIDI DRESS</t>
  </si>
  <si>
    <t>SS MIDI DRESS CNY BORDIR BURUNG BUNGA KRAH SHANGHAI AG3725:CLASSIC RED:8:GRAPHIC:SS MIDI DRESS</t>
  </si>
  <si>
    <t>SS MIDI DRESS CNY BORDIR BURUNG BUNGA KRAH SHANGHAI AG3725:CLASSIC RED:10:GRAPHIC:SS MIDI DRESS</t>
  </si>
  <si>
    <t>SS MIDI DRESS CNY BORDIR BURUNG BUNGA KRAH SHANGHAI AG3725:CLASSIC RED:12:GRAPHIC:SS MIDI DRESS</t>
  </si>
  <si>
    <t>AG3703B</t>
  </si>
  <si>
    <t>SS MIDI DRESS CNY GEBER SUSUN BAWAH KOMB BAHAN JACQUARD BUNGA AG3703B:CLASSIC RED:4:GRAPHIC:SS MIDI</t>
  </si>
  <si>
    <t>SS MIDI DRESS CNY GEBER SUSUN BAWAH KOMB BAHAN JACQUARD BUNGA AG3703B:CLASSIC RED:5:GRAPHIC:SS MIDI</t>
  </si>
  <si>
    <t>SS MIDI DRESS CNY GEBER SUSUN BAWAH KOMB BAHAN JACQUARD BUNGA AG3703B:CLASSIC RED:6:GRAPHIC:SS MIDI</t>
  </si>
  <si>
    <t>SS MIDI DRESS CNY GEBER SUSUN BAWAH KOMB BAHAN JACQUARD BUNGA AG3703B:CLASSIC RED:8:GRAPHIC:SS MIDI</t>
  </si>
  <si>
    <t>SS MIDI DRESS CNY GEBER SUSUN BAWAH KOMB BAHAN JACQUARD BUNGA AG3703B:CLASSIC RED:10:GRAPHIC:SS MIDI</t>
  </si>
  <si>
    <t>SS MIDI DRESS CNY GEBER SUSUN BAWAH KOMB BAHAN JACQUARD BUNGA AG3703B:CLASSIC RED:12:GRAPHIC:SS MIDI</t>
  </si>
  <si>
    <t>AG3852B</t>
  </si>
  <si>
    <t>SS MIDI DRESS BROKAT TGN PITA BAWAH TILE AG3852B:PASTEL BLUE:4:SOLID:SS MIDI DRESS</t>
  </si>
  <si>
    <t>SS MIDI DRESS BROKAT TGN PITA BAWAH TILE AG3852B:PASTEL BLUE:5:SOLID:SS MIDI DRESS</t>
  </si>
  <si>
    <t>SS MIDI DRESS BROKAT TGN PITA BAWAH TILE AG3852B:PASTEL BLUE:6:SOLID:SS MIDI DRESS</t>
  </si>
  <si>
    <t>SS MIDI DRESS BROKAT TGN PITA BAWAH TILE AG3852B:PASTEL BLUE:8:SOLID:SS MIDI DRESS</t>
  </si>
  <si>
    <t>SS MIDI DRESS BROKAT TGN PITA BAWAH TILE AG3852B:PASTEL BLUE:10:SOLID:SS MIDI DRESS</t>
  </si>
  <si>
    <t>SS MIDI DRESS BROKAT TGN PITA BAWAH TILE AG3852B:PASTEL BLUE:12:SOLID:SS MIDI DRESS</t>
  </si>
  <si>
    <t>AG3889</t>
  </si>
  <si>
    <t>SS MIDI DRESS DADA  MOTE TANGAN KERUT AG3889:CORAL:4:TEXTURE:SS MIDI DRESS</t>
  </si>
  <si>
    <t>SS MIDI DRESS DADA  MOTE TANGAN KERUT AG3889:CORAL:5:TEXTURE:SS MIDI DRESS</t>
  </si>
  <si>
    <t>SS MIDI DRESS DADA  MOTE TANGAN KERUT AG3889:CORAL:6:TEXTURE:SS MIDI DRESS</t>
  </si>
  <si>
    <t>SS MIDI DRESS DADA  MOTE TANGAN KERUT AG3889:CORAL:8:TEXTURE:SS MIDI DRESS</t>
  </si>
  <si>
    <t>SS MIDI DRESS DADA  MOTE TANGAN KERUT AG3889:CORAL:10:TEXTURE:SS MIDI DRESS</t>
  </si>
  <si>
    <t>SS MIDI DRESS DADA  MOTE TANGAN KERUT AG3889:CORAL:12:TEXTURE:SS MIDI DRESS</t>
  </si>
  <si>
    <t>AG3557</t>
  </si>
  <si>
    <t>SS MIDI DRESS DADA APLIKASI BUNGA BAWAH TILE AG3557:OFF WHITE:4:SOLID:SS MIDI DRESS</t>
  </si>
  <si>
    <t>SS MIDI DRESS DADA APLIKASI BUNGA BAWAH TILE AG3557:OFF WHITE:5:SOLID:SS MIDI DRESS</t>
  </si>
  <si>
    <t>SS MIDI DRESS DADA APLIKASI BUNGA BAWAH TILE AG3557:OFF WHITE:6:SOLID:SS MIDI DRESS</t>
  </si>
  <si>
    <t>SS MIDI DRESS DADA APLIKASI BUNGA BAWAH TILE AG3557:OFF WHITE:8:SOLID:SS MIDI DRESS</t>
  </si>
  <si>
    <t>SS MIDI DRESS DADA APLIKASI BUNGA BAWAH TILE AG3557:OFF WHITE:10:SOLID:SS MIDI DRESS</t>
  </si>
  <si>
    <t>SS MIDI DRESS DADA APLIKASI BUNGA BAWAH TILE AG3557:OFF WHITE:12:SOLID:SS MIDI DRESS</t>
  </si>
  <si>
    <t>EV2304WV2</t>
  </si>
  <si>
    <t>SS MIDI DRESS BOX PLEATS CNY FULL PRINT BUNGA KERAH QIPAO EV2304WV2:SALMON:4:FLORAL:SS MIDI DRESS</t>
  </si>
  <si>
    <t>SS MIDI DRESS BOX PLEATS CNY FULL PRINT BUNGA KERAH QIPAO EV2304WV2:SALMON:5:FLORAL:SS MIDI DRESS</t>
  </si>
  <si>
    <t>SS MIDI DRESS BOX PLEATS CNY FULL PRINT BUNGA KERAH QIPAO EV2304WV2:SALMON:6:FLORAL:SS MIDI DRESS</t>
  </si>
  <si>
    <t>SS MIDI DRESS BOX PLEATS CNY FULL PRINT BUNGA KERAH QIPAO EV2304WV2:SALMON:8:FLORAL:SS MIDI DRESS</t>
  </si>
  <si>
    <t>SS MIDI DRESS BOX PLEATS CNY FULL PRINT BUNGA KERAH QIPAO EV2304WV2:SALMON:10:FLORAL:SS MIDI DRESS</t>
  </si>
  <si>
    <t>SS MIDI DRESS BOX PLEATS CNY FULL PRINT BUNGA KERAH QIPAO EV2304WV2:SALMON:12:FLORAL:SS MIDI DRESS</t>
  </si>
  <si>
    <t>AN339</t>
  </si>
  <si>
    <t>SS MIDI DRESS OVL FP TELUR BINTIK DADA KERUT AN339:DUSTY PINK:4:PRINT:SS MIDI DRESS</t>
  </si>
  <si>
    <t>SS MIDI DRESS OVL FP TELUR BINTIK DADA KERUT AN339:DUSTY PINK:5:PRINT:SS MIDI DRESS</t>
  </si>
  <si>
    <t>SS MIDI DRESS OVL FP TELUR BINTIK DADA KERUT AN339:DUSTY PINK:6:PRINT:SS MIDI DRESS</t>
  </si>
  <si>
    <t>SS MIDI DRESS OVL FP TELUR BINTIK DADA KERUT AN339:DUSTY PINK:8:PRINT:SS MIDI DRESS</t>
  </si>
  <si>
    <t>SS MIDI DRESS OVL FP TELUR BINTIK DADA KERUT AN339:DUSTY PINK:10:PRINT:SS MIDI DRESS</t>
  </si>
  <si>
    <t>SS MIDI DRESS OVL FP TELUR BINTIK DADA KERUT AN339:DUSTY PINK:12:PRINT:SS MIDI DRESS</t>
  </si>
  <si>
    <t>EV2301W42</t>
  </si>
  <si>
    <t>SS MIDI DRESS FULLPRINT KOTAK PINGGANG PITA EV2301W42:PASTEL BLUE:4:STRIPES:SS MIDI DRESS</t>
  </si>
  <si>
    <t>SS MIDI DRESS FULLPRINT KOTAK PINGGANG PITA EV2301W42:PASTEL BLUE:5:STRIPES:SS MIDI DRESS</t>
  </si>
  <si>
    <t>SS MIDI DRESS FULLPRINT KOTAK PINGGANG PITA EV2301W42:PASTEL BLUE:6:STRIPES:SS MIDI DRESS</t>
  </si>
  <si>
    <t>SS MIDI DRESS FULLPRINT KOTAK PINGGANG PITA EV2301W42:PASTEL BLUE:8:STRIPES:SS MIDI DRESS</t>
  </si>
  <si>
    <t>SS MIDI DRESS FULLPRINT KOTAK PINGGANG PITA EV2301W42:PASTEL BLUE:10:STRIPES:SS MIDI DRESS</t>
  </si>
  <si>
    <t>SS MIDI DRESS FULLPRINT KOTAK PINGGANG PITA EV2301W42:PASTEL BLUE:12:STRIPES:SS MIDI DRESS</t>
  </si>
  <si>
    <t>EV2304W59</t>
  </si>
  <si>
    <t>SS MIDI DRESS KERAH KERUT TANGAN BALON WITH TAS BUNNY EV2304W59:CORAL:4:GRAPHIC:SS MIDI DRESS</t>
  </si>
  <si>
    <t>SS MIDI DRESS KERAH KERUT TANGAN BALON WITH TAS BUNNY EV2304W59:CORAL:5:GRAPHIC:SS MIDI DRESS</t>
  </si>
  <si>
    <t>SS MIDI DRESS KERAH KERUT TANGAN BALON WITH TAS BUNNY EV2304W59:CORAL:6:GRAPHIC:SS MIDI DRESS</t>
  </si>
  <si>
    <t>SS MIDI DRESS KERAH KERUT TANGAN BALON WITH TAS BUNNY EV2304W59:CORAL:8:GRAPHIC:SS MIDI DRESS</t>
  </si>
  <si>
    <t>SS MIDI DRESS KERAH KERUT TANGAN BALON WITH TAS BUNNY EV2304W59:CORAL:10:GRAPHIC:SS MIDI DRESS</t>
  </si>
  <si>
    <t>SS MIDI DRESS KERAH KERUT TANGAN BALON WITH TAS BUNNY EV2304W59:CORAL:12:GRAPHIC:SS MIDI DRESS</t>
  </si>
  <si>
    <t>EV2304W49</t>
  </si>
  <si>
    <t>SS MIDI DRESS FULL PRINT BATIK KRAH SCALLOP CONTRAST EV2304W49:CLASSIC RED:4:PRINT:SS MIDI DRESS</t>
  </si>
  <si>
    <t>SS MIDI DRESS FULL PRINT BATIK KRAH SCALLOP CONTRAST EV2304W49:CLASSIC RED:5:PRINT:SS MIDI DRESS</t>
  </si>
  <si>
    <t>SS MIDI DRESS FULL PRINT BATIK KRAH SCALLOP CONTRAST EV2304W49:CLASSIC RED:6:PRINT:SS MIDI DRESS</t>
  </si>
  <si>
    <t>SS MIDI DRESS FULL PRINT BATIK KRAH SCALLOP CONTRAST EV2304W49:CLASSIC RED:8:PRINT:SS MIDI DRESS</t>
  </si>
  <si>
    <t>SS MIDI DRESS FULL PRINT BATIK KRAH SCALLOP CONTRAST EV2304W49:CLASSIC RED:10:PRINT:SS MIDI DRESS</t>
  </si>
  <si>
    <t>SS MIDI DRESS FULL PRINT BATIK KRAH SCALLOP CONTRAST EV2304W49:CLASSIC RED:12:PRINT:SS MIDI DRESS</t>
  </si>
  <si>
    <t>JMCNY24</t>
  </si>
  <si>
    <t>SS MIDI DRESS CNY FP BUNGA KERAH QIPAO KERUT TANGAN JMCNY24:CLASSIC RED:4:PRINT:SS MIDI DRESS</t>
  </si>
  <si>
    <t>SS MIDI DRESS CNY FP BUNGA KERAH QIPAO KERUT TANGAN JMCNY24:CLASSIC RED:5:PRINT:SS MIDI DRESS</t>
  </si>
  <si>
    <t>SS MIDI DRESS CNY FP BUNGA KERAH QIPAO KERUT TANGAN JMCNY24:CLASSIC RED:6:PRINT:SS MIDI DRESS</t>
  </si>
  <si>
    <t>SS MIDI DRESS CNY FP BUNGA KERAH QIPAO KERUT TANGAN JMCNY24:CLASSIC RED:8:PRINT:SS MIDI DRESS</t>
  </si>
  <si>
    <t>SS MIDI DRESS CNY FP BUNGA KERAH QIPAO KERUT TANGAN JMCNY24:CLASSIC RED:10:PRINT:SS MIDI DRESS</t>
  </si>
  <si>
    <t>SS MIDI DRESS CNY FP BUNGA KERAH QIPAO KERUT TANGAN JMCNY24:CLASSIC RED:12:PRINT:SS MIDI DRESS</t>
  </si>
  <si>
    <t>JMLS230V1</t>
  </si>
  <si>
    <t>LS MIDI DRESS FULL PRINT DAUN KRAH LACE LANCIP LENGAN KURUNG JMLS230V1:PASTEL GREEN:4:PRINT:LS MIDI</t>
  </si>
  <si>
    <t>LS MIDI DRESS FULL PRINT DAUN KRAH LACE LANCIP LENGAN KURUNG JMLS230V1:PASTEL GREEN:5:PRINT:LS MIDI</t>
  </si>
  <si>
    <t>LS MIDI DRESS FULL PRINT DAUN KRAH LACE LANCIP LENGAN KURUNG JMLS230V1:PASTEL GREEN:6:PRINT:LS MIDI</t>
  </si>
  <si>
    <t>LS MIDI DRESS FULL PRINT DAUN KRAH LACE LANCIP LENGAN KURUNG JMLS230V1:PASTEL GREEN:8:PRINT:LS MIDI</t>
  </si>
  <si>
    <t>LS MIDI DRESS FULL PRINT DAUN KRAH LACE LANCIP LENGAN KURUNG JMLS230V1:PASTEL GREEN:10:PRINT:LS MIDI</t>
  </si>
  <si>
    <t>LS MIDI DRESS FULL PRINT DAUN KRAH LACE LANCIP LENGAN KURUNG JMLS230V1:PASTEL GREEN:12:PRINT:LS MIDI</t>
  </si>
  <si>
    <t>JMLS230V3</t>
  </si>
  <si>
    <t>LS MIDI DRESS FULL PRINT BUNGA COLLAR BUTTERFLY LACE TGN GEBER CONTRAST RUFFLE JMLS230V3:KHAKI:4:FLO</t>
  </si>
  <si>
    <t>LS MIDI DRESS FULL PRINT BUNGA COLLAR BUTTERFLY LACE TGN GEBER CONTRAST RUFFLE JMLS230V3:KHAKI:5:FLO</t>
  </si>
  <si>
    <t>LS MIDI DRESS FULL PRINT BUNGA COLLAR BUTTERFLY LACE TGN GEBER CONTRAST RUFFLE JMLS230V3:KHAKI:6:FLO</t>
  </si>
  <si>
    <t>LS MIDI DRESS FULL PRINT BUNGA COLLAR BUTTERFLY LACE TGN GEBER CONTRAST RUFFLE JMLS230V3:KHAKI:8:FLO</t>
  </si>
  <si>
    <t>LS MIDI DRESS FULL PRINT BUNGA COLLAR BUTTERFLY LACE TGN GEBER CONTRAST RUFFLE JMLS230V3:KHAKI:10:FL</t>
  </si>
  <si>
    <t>LS MIDI DRESS FULL PRINT BUNGA COLLAR BUTTERFLY LACE TGN GEBER CONTRAST RUFFLE JMLS230V3:KHAKI:12:FL</t>
  </si>
  <si>
    <t>TSBCAS05</t>
  </si>
  <si>
    <t>LS MIDI DRESS FULL PRINT KIPAS KRAH SHANGHAI TSBCAS05:CLASSIC RED:4:PRINT:LS MIDI DRESS</t>
  </si>
  <si>
    <t>LS MIDI DRESS FULL PRINT KIPAS KRAH SHANGHAI TSBCAS05:CLASSIC RED:5:PRINT:LS MIDI DRESS</t>
  </si>
  <si>
    <t>LS MIDI DRESS FULL PRINT KIPAS KRAH SHANGHAI TSBCAS05:CLASSIC RED:6:PRINT:LS MIDI DRESS</t>
  </si>
  <si>
    <t>LS MIDI DRESS FULL PRINT KIPAS KRAH SHANGHAI TSBCAS05:CLASSIC RED:8:PRINT:LS MIDI DRESS</t>
  </si>
  <si>
    <t>LS MIDI DRESS FULL PRINT KIPAS KRAH SHANGHAI TSBCAS05:CLASSIC RED:10:PRINT:LS MIDI DRESS</t>
  </si>
  <si>
    <t>LS MIDI DRESS FULL PRINT KIPAS KRAH SHANGHAI TSBCAS05:CLASSIC RED:12:PRINT:LS MIDI DRESS</t>
  </si>
  <si>
    <t xml:space="preserve">CLASS </t>
  </si>
  <si>
    <t>AN204XMAS</t>
  </si>
  <si>
    <t>SS MIDI DRESS TOP KNIT SKIRT PRINT SATIN CHECKS AN204XMAS:CLASSIC R:4:CHECKS:SS MIDI D</t>
  </si>
  <si>
    <t>SS MIDI DRESS TOP KNIT SKIRT PRINT SATIN CHECKS AN204XMAS:CLASSIC R:5:CHECKS:SS MIDI D</t>
  </si>
  <si>
    <t>SS MIDI DRESS TOP KNIT SKIRT PRINT SATIN CHECKS AN204XMAS:CLASSIC R:6:CHECKS:SS MIDI D</t>
  </si>
  <si>
    <t>SS MIDI DRESS TOP KNIT SKIRT PRINT SATIN CHECKS AN204XMAS:CLASSIC R:8:CHECKS:SS MIDI D</t>
  </si>
  <si>
    <t>SS MIDI DRESS TOP KNIT SKIRT PRINT SATIN CHECKS AN204XMAS:CLASSIC R:10:CHECKS:SS MIDI D</t>
  </si>
  <si>
    <t>SS MIDI DRESS TOP KNIT SKIRT PRINT SATIN CHECKS AN204XMAS:CLASSIC R:12:CHECKS:SS MIDI D</t>
  </si>
  <si>
    <t>LEBTSB221</t>
  </si>
  <si>
    <t>LS MAXI DRESS MODEST BODY TGN KERUT BWH SUSUN LEBTSB221:PASTEL PIN:4:SOLID:LS MAXI DR</t>
  </si>
  <si>
    <t>LS MAXI DRESS MODEST BODY TGN KERUT BWH SUSUN LEBTSB221:PASTEL PIN:5:SOLID:LS MAXI DR</t>
  </si>
  <si>
    <t>LS MAXI DRESS MODEST BODY TGN KERUT BWH SUSUN LEBTSB221:PASTEL PIN:6:SOLID:LS MAXI DR</t>
  </si>
  <si>
    <t>LS MAXI DRESS MODEST BODY TGN KERUT BWH SUSUN LEBTSB221:PASTEL PIN:8:SOLID:LS MAXI DR</t>
  </si>
  <si>
    <t>LS MAXI DRESS MODEST BODY TGN KERUT BWH SUSUN LEBTSB221:PASTEL PIN:10:SOLID:LS MAXI DR</t>
  </si>
  <si>
    <t>LS MAXI DRESS MODEST BODY TGN KERUT BWH SUSUN LEBTSB221:PASTEL PIN:12:SOLID:LS MAXI DR</t>
  </si>
  <si>
    <t>AG3243ACNY</t>
  </si>
  <si>
    <t>SS MIDI DRESS CNY CHEONGSAM BROKAT BODY ROK TILE AG3243ACNY:CLASSIC R:4:PRINT:SS MIDI D</t>
  </si>
  <si>
    <t>SS MIDI DRESS CNY CHEONGSAM BROKAT BODY ROK TILE AG3243ACNY:CLASSIC R:5:PRINT:SS MIDI D</t>
  </si>
  <si>
    <t>SS MIDI DRESS CNY CHEONGSAM BROKAT BODY ROK TILE AG3243ACNY:CLASSIC R:6:PRINT:SS MIDI D</t>
  </si>
  <si>
    <t>SS MIDI DRESS CNY CHEONGSAM BROKAT BODY ROK TILE AG3243ACNY:CLASSIC R:8:PRINT:SS MIDI D</t>
  </si>
  <si>
    <t>SS MIDI DRESS CNY CHEONGSAM BROKAT BODY ROK TILE AG3243ACNY:CLASSIC R:10:PRINT:SS MIDI D</t>
  </si>
  <si>
    <t>SS MIDI DRESS CNY CHEONGSAM BROKAT BODY ROK TILE AG3243ACNY:CLASSIC R:12:PRINT:SS MIDI D</t>
  </si>
  <si>
    <t>AG3243BCNY</t>
  </si>
  <si>
    <t>SS MIDI DRESS CNY CHEONGSAM ROK BALOON AG3243BCNY:PASTEL PINK:4:GRAPHIC:SS MIDI DRE</t>
  </si>
  <si>
    <t>SS MIDI DRESS CNY CHEONGSAM ROK BALOON AG3243BCNY:PASTEL PINK:5:GRAPHIC:SS MIDI DRE</t>
  </si>
  <si>
    <t>SS MIDI DRESS CNY CHEONGSAM ROK BALOON AG3243BCNY:PASTEL PINK:6:GRAPHIC:SS MIDI DRE</t>
  </si>
  <si>
    <t>SS MIDI DRESS CNY CHEONGSAM ROK BALOON AG3243BCNY:PASTEL PINK:8:GRAPHIC:SS MIDI DRE</t>
  </si>
  <si>
    <t>SS MIDI DRESS CNY CHEONGSAM ROK BALOON AG3243BCNY:PASTEL PINK:10:GRAPHIC:SS MIDI DRE</t>
  </si>
  <si>
    <t>MAS19LEB</t>
  </si>
  <si>
    <t>MAS20LEB</t>
  </si>
  <si>
    <t>MAS2301LEB</t>
  </si>
  <si>
    <t>MAS2302LEB</t>
  </si>
  <si>
    <t>MAS2304LEB</t>
  </si>
  <si>
    <t>MAS2305LEB</t>
  </si>
  <si>
    <t>MAS2307ALEB</t>
  </si>
  <si>
    <t>MAS2307BLEB</t>
  </si>
  <si>
    <t>TSB2301LEB</t>
  </si>
  <si>
    <t>TSB2302LEB</t>
  </si>
  <si>
    <t>TSB2303LEB</t>
  </si>
  <si>
    <t>TSB2304LEB</t>
  </si>
  <si>
    <t>TSB2305LEB</t>
  </si>
  <si>
    <t>TSB2306LEB</t>
  </si>
  <si>
    <t>TSB2307LEB</t>
  </si>
  <si>
    <t>TSB2308LEB</t>
  </si>
  <si>
    <t>TSB2310LEB</t>
  </si>
  <si>
    <t>TSB2312LEB</t>
  </si>
  <si>
    <t>TSB2313LEB</t>
  </si>
  <si>
    <t>TSB2314LEB</t>
  </si>
  <si>
    <t>TSB2315LEB</t>
  </si>
  <si>
    <t>LS MAXI DRESS LEBARAN FULL PRINT BUNGA TWINNING MAS19LEB:PEPPERMINT:4:FLORAL:LS MAXI DRESS</t>
  </si>
  <si>
    <t>LS MAXI DRESS LEBARAN FULL PRINT BUNGA TWINNING MAS19LEB:PEPPERMINT:5:FLORAL:LS MAXI DRESS</t>
  </si>
  <si>
    <t>LS MAXI DRESS LEBARAN FULL PRINT BUNGA TWINNING MAS19LEB:PEPPERMINT:6:FLORAL:LS MAXI DRESS</t>
  </si>
  <si>
    <t>LS MAXI DRESS LEBARAN FULL PRINT BUNGA TWINNING MAS19LEB:PEPPERMINT:8:FLORAL:LS MAXI DRESS</t>
  </si>
  <si>
    <t>LS MAXI DRESS LEBARAN FULL PRINT BUNGA TWINNING MAS19LEB:PEPPERMINT:10:FLORAL:LS MAXI DRESS</t>
  </si>
  <si>
    <t>LS MAXI DRESS LEBARAN FULL PRINT BUNGA TWINNING MAS19LEB:PEPPERMINT:12:FLORAL:LS MAXI DRESS</t>
  </si>
  <si>
    <t>LS MAXI DRESS LEBARAN LACE FULL PRINT BUNGA TWINNING MAS20LEB:PASTEL GREY:4:FLORAL:LS MAXI DRESS</t>
  </si>
  <si>
    <t>LS MAXI DRESS LEBARAN LACE FULL PRINT BUNGA TWINNING MAS20LEB:PASTEL GREY:5:FLORAL:LS MAXI DRESS</t>
  </si>
  <si>
    <t>LS MAXI DRESS LEBARAN LACE FULL PRINT BUNGA TWINNING MAS20LEB:PASTEL GREY:6:FLORAL:LS MAXI DRESS</t>
  </si>
  <si>
    <t>LS MAXI DRESS LEBARAN LACE FULL PRINT BUNGA TWINNING MAS20LEB:PASTEL GREY:8:FLORAL:LS MAXI DRESS</t>
  </si>
  <si>
    <t>LS MAXI DRESS LEBARAN LACE FULL PRINT BUNGA TWINNING MAS20LEB:PASTEL GREY:10:FLORAL:LS MAXI DRESS</t>
  </si>
  <si>
    <t>LS MAXI DRESS LEBARAN LACE FULL PRINT BUNGA TWINNING MAS20LEB:PASTEL GREY:12:FLORAL:LS MAXI DRESS</t>
  </si>
  <si>
    <t>LS MAXI DRESS LEBARAN BORDIR TONE TO TONE MAS2301LEB:TURQOUISE:4:SOLID:LS MAXI DRESS</t>
  </si>
  <si>
    <t>LS MAXI DRESS LEBARAN BORDIR TONE TO TONE MAS2301LEB:TURQOUISE:5:SOLID:LS MAXI DRESS</t>
  </si>
  <si>
    <t>LS MAXI DRESS LEBARAN BORDIR TONE TO TONE MAS2301LEB:TURQOUISE:6:SOLID:LS MAXI DRESS</t>
  </si>
  <si>
    <t>LS MAXI DRESS LEBARAN BORDIR TONE TO TONE MAS2301LEB:TURQOUISE:8:SOLID:LS MAXI DRESS</t>
  </si>
  <si>
    <t>LS MAXI DRESS LEBARAN BORDIR TONE TO TONE MAS2301LEB:TURQOUISE:10:SOLID:LS MAXI DRESS</t>
  </si>
  <si>
    <t>LS MAXI DRESS LEBARAN BORDIR TONE TO TONE MAS2301LEB:TURQOUISE:12:SOLID:LS MAXI DRESS</t>
  </si>
  <si>
    <t>LS MAXI DRESS LEBARAN BORDIR DADA LENGAN ROK MAS2302LEB:OFF WHITE:4:TEXTURE:LS MAXI DRESS</t>
  </si>
  <si>
    <t>LS MAXI DRESS LEBARAN BORDIR DADA LENGAN ROK MAS2302LEB:OFF WHITE:5:TEXTURE:LS MAXI DRESS</t>
  </si>
  <si>
    <t>LS MAXI DRESS LEBARAN BORDIR DADA LENGAN ROK MAS2302LEB:OFF WHITE:6:TEXTURE:LS MAXI DRESS</t>
  </si>
  <si>
    <t>LS MAXI DRESS LEBARAN BORDIR DADA LENGAN ROK MAS2302LEB:OFF WHITE:8:TEXTURE:LS MAXI DRESS</t>
  </si>
  <si>
    <t>LS MAXI DRESS LEBARAN BORDIR DADA LENGAN ROK MAS2302LEB:OFF WHITE:10:TEXTURE:LS MAXI DRESS</t>
  </si>
  <si>
    <t>LS MAXI DRESS LEBARAN BORDIR DADA LENGAN ROK MAS2302LEB:OFF WHITE:12:TEXTURE:LS MAXI DRESS</t>
  </si>
  <si>
    <t>LS MAXI DRESS LEBARAN BORDIR DADA LENGAN MAS2304LEB:PASTEL PINK:4:TEXTURE:LS MAXI DRESS</t>
  </si>
  <si>
    <t>LS MAXI DRESS LEBARAN BORDIR DADA LENGAN MAS2304LEB:PASTEL PINK:5:TEXTURE:LS MAXI DRESS</t>
  </si>
  <si>
    <t>LS MAXI DRESS LEBARAN BORDIR DADA LENGAN MAS2304LEB:PASTEL PINK:6:TEXTURE:LS MAXI DRESS</t>
  </si>
  <si>
    <t>LS MAXI DRESS LEBARAN BORDIR DADA LENGAN MAS2304LEB:PASTEL PINK:8:TEXTURE:LS MAXI DRESS</t>
  </si>
  <si>
    <t>LS MAXI DRESS LEBARAN BORDIR DADA LENGAN MAS2304LEB:PASTEL PINK:10:TEXTURE:LS MAXI DRESS</t>
  </si>
  <si>
    <t>LS MAXI DRESS LEBARAN BORDIR DADA LENGAN MAS2304LEB:PASTEL PINK:12:TEXTURE:LS MAXI DRESS</t>
  </si>
  <si>
    <t>LS MAXI DRESS LEBARAN BORDIR DADA LENGAN MAS2304LEB:PASTEL PINK:14:TEXTURE:LS MAXI DRE</t>
  </si>
  <si>
    <t>LS MAXI DRESS LEBARAN BORDIR DADA BUNGA MAS2305LEB:DUSTY PINK:4:TEXTURE:LS MAXI DRESS</t>
  </si>
  <si>
    <t>LS MAXI DRESS LEBARAN BORDIR DADA BUNGA MAS2305LEB:DUSTY PINK:5:TEXTURE:LS MAXI DRESS</t>
  </si>
  <si>
    <t>LS MAXI DRESS LEBARAN BORDIR DADA BUNGA MAS2305LEB:DUSTY PINK:6:TEXTURE:LS MAXI DRESS</t>
  </si>
  <si>
    <t>LS MAXI DRESS LEBARAN BORDIR DADA BUNGA MAS2305LEB:DUSTY PINK:8:TEXTURE:LS MAXI DRESS</t>
  </si>
  <si>
    <t>LS MAXI DRESS LEBARAN BORDIR DADA BUNGA MAS2305LEB:DUSTY PINK:10:TEXTURE:LS MAXI DRESS</t>
  </si>
  <si>
    <t>LS MAXI DRESS LEBARAN BORDIR DADA BUNGA MAS2305LEB:DUSTY PINK:12:TEXTURE:LS MAXI DRESS</t>
  </si>
  <si>
    <t>LS MAXI DRESS LEBARAN MODEL OVERALL TUMPUK MAS2307ALEB:PEPPERMINT:4:SOLID:LS MAXI DRESS</t>
  </si>
  <si>
    <t>LS MAXI DRESS LEBARAN MODEL OVERALL TUMPUK MAS2307ALEB:PEPPERMINT:5:SOLID:LS MAXI DRESS</t>
  </si>
  <si>
    <t>LS MAXI DRESS LEBARAN MODEL OVERALL TUMPUK MAS2307ALEB:PEPPERMINT:6:SOLID:LS MAXI DRESS</t>
  </si>
  <si>
    <t>LS MAXI DRESS LEBARAN MODEL OVERALL TUMPUK MAS2307ALEB:PEPPERMINT:8:SOLID:LS MAXI DRESS</t>
  </si>
  <si>
    <t>LS MAXI DRESS LEBARAN MODEL OVERALL TUMPUK MAS2307ALEB:PEPPERMINT:10:SOLID:LS MAXI DRESS</t>
  </si>
  <si>
    <t>LS MAXI DRESS LEBARAN MODEL OVERALL TUMPUK MAS2307ALEB:PEPPERMINT:12:SOLID:LS MAXI DRESS</t>
  </si>
  <si>
    <t>LS MAXI DRESS LEBARAN MODEL OVERALL TUMPUK MAS2307ALEB:PEPPERMINT:14:SOLID:LS MAXI DR</t>
  </si>
  <si>
    <t>LS MAXI DRESS LEBARAN MODEL OVERALL TUMPUK MAS2307BLEB:PASTEL PINK:4:SOLID:LS MAXI DRESS</t>
  </si>
  <si>
    <t>LS MAXI DRESS LEBARAN MODEL OVERALL TUMPUK MAS2307BLEB:PASTEL PINK:5:SOLID:LS MAXI DRESS</t>
  </si>
  <si>
    <t>LS MAXI DRESS LEBARAN MODEL OVERALL TUMPUK MAS2307BLEB:PASTEL PINK:6:SOLID:LS MAXI DRESS</t>
  </si>
  <si>
    <t>LS MAXI DRESS LEBARAN MODEL OVERALL TUMPUK MAS2307BLEB:PASTEL PINK:8:SOLID:LS MAXI DRESS</t>
  </si>
  <si>
    <t>LS MAXI DRESS LEBARAN MODEL OVERALL TUMPUK MAS2307BLEB:PASTEL PINK:10:SOLID:LS MAXI DRESS</t>
  </si>
  <si>
    <t>LS MAXI DRESS LEBARAN MODEL OVERALL TUMPUK MAS2307BLEB:PASTEL PINK:12:SOLID:LS MAXI DRESS</t>
  </si>
  <si>
    <t>LS MAXI DRESS LEBARAN MODEL OVERALL TUMPUK MAS2307BLEB:PASTEL PIN:14:SOLID:LS MAXI DR</t>
  </si>
  <si>
    <t>LS MAXI DRESS LEBARAN BODY POLOS LENGAN GEBER TSB2301LEB:PASTEL PINK:4:SOLID:LS MAXI DRESS</t>
  </si>
  <si>
    <t>LS MAXI DRESS LEBARAN BODY POLOS LENGAN GEBER TSB2301LEB:PASTEL PINK:5:SOLID:LS MAXI DRESS</t>
  </si>
  <si>
    <t>LS MAXI DRESS LEBARAN BODY POLOS LENGAN GEBER TSB2301LEB:PASTEL PINK:6:SOLID:LS MAXI DRESS</t>
  </si>
  <si>
    <t>LS MAXI DRESS LEBARAN BODY POLOS LENGAN GEBER TSB2301LEB:PASTEL PINK:8:SOLID:LS MAXI DRESS</t>
  </si>
  <si>
    <t>LS MAXI DRESS LEBARAN BODY POLOS LENGAN GEBER TSB2301LEB:PASTEL PINK:10:SOLID:LS MAXI DRESS</t>
  </si>
  <si>
    <t>LS MAXI DRESS LEBARAN BODY POLOS LENGAN GEBER TSB2301LEB:PASTEL PINK:12:SOLID:LS MAXI DRESS</t>
  </si>
  <si>
    <t>LS MAXI DRESS LEBARAN BODY POLOS LENGAN GEBER TSB2301LEB:PASTEL PIN:14:SOLID:LS MAXI DR</t>
  </si>
  <si>
    <t>LS MAXI DRESS LEBARAN KERAH KOKO OPNASEL DADA TSB2302LEB:PASTEL GREEN:4:SOLID:LS MAXI DRESS</t>
  </si>
  <si>
    <t>LS MAXI DRESS LEBARAN KERAH KOKO OPNASEL DADA TSB2302LEB:PASTEL GREEN:5:SOLID:LS MAXI DRESS</t>
  </si>
  <si>
    <t>LS MAXI DRESS LEBARAN KERAH KOKO OPNASEL DADA TSB2302LEB:PASTEL GREEN:6:SOLID:LS MAXI DRESS</t>
  </si>
  <si>
    <t>LS MAXI DRESS LEBARAN KERAH KOKO OPNASEL DADA TSB2302LEB:PASTEL GREEN:8:SOLID:LS MAXI DRESS</t>
  </si>
  <si>
    <t>LS MAXI DRESS LEBARAN KERAH KOKO OPNASEL DADA TSB2302LEB:PASTEL GREEN:10:SOLID:LS MAXI DRESS</t>
  </si>
  <si>
    <t>LS MAXI DRESS LEBARAN KERAH KOKO OPNASEL DADA TSB2302LEB:PASTEL GREEN:12:SOLID:LS MAXI DRESS</t>
  </si>
  <si>
    <t>LS MAXI DRESS LEBARAN KERAH KOKO BODY GARIS TSB2303LEB:PASTEL PINK:4:STRIPES:LS MAXI DRESS</t>
  </si>
  <si>
    <t>LS MAXI DRESS LEBARAN KERAH KOKO BODY GARIS TSB2303LEB:PASTEL PINK:5:STRIPES:LS MAXI DRESS</t>
  </si>
  <si>
    <t>LS MAXI DRESS LEBARAN KERAH KOKO BODY GARIS TSB2303LEB:PASTEL PINK:6:STRIPES:LS MAXI DRESS</t>
  </si>
  <si>
    <t>LS MAXI DRESS LEBARAN KERAH KOKO BODY GARIS TSB2303LEB:PASTEL PINK:8:STRIPES:LS MAXI DRESS</t>
  </si>
  <si>
    <t>LS MAXI DRESS LEBARAN KERAH KOKO BODY GARIS TSB2303LEB:PASTEL PINK:10:STRIPES:LS MAXI DRESS</t>
  </si>
  <si>
    <t>LS MAXI DRESS LEBARAN KERAH KOKO BODY GARIS TSB2303LEB:PASTEL PINK:12:STRIPES:LS MAXI DRESS</t>
  </si>
  <si>
    <t>LS MAXI DRESS LEBARAN KERAH BULAT SERUT PINGGANG TSB2304LEB:PASTEL PURPLE:4:CHECKS:LS MAXI DRESS</t>
  </si>
  <si>
    <t>LS MAXI DRESS LEBARAN KERAH BULAT SERUT PINGGANG TSB2304LEB:PASTEL PURPLE:5:CHECKS:LS MAXI DRESS</t>
  </si>
  <si>
    <t>LS MAXI DRESS LEBARAN KERAH BULAT SERUT PINGGANG TSB2304LEB:PASTEL PURPLE:6:CHECKS:LS MAXI DRESS</t>
  </si>
  <si>
    <t>LS MAXI DRESS LEBARAN KERAH BULAT SERUT PINGGANG TSB2304LEB:PASTEL PURPLE:8:CHECKS:LS MAXI DRESS</t>
  </si>
  <si>
    <t>LS MAXI DRESS LEBARAN KERAH BULAT SERUT PINGGANG TSB2304LEB:PASTEL PURPLE:10:CHECKS:LS MAXI DRESS</t>
  </si>
  <si>
    <t>LS MAXI DRESS LEBARAN KERAH BULAT SERUT PINGGANG TSB2304LEB:PASTEL PURPLE:12:CHECKS:LS MAXI DRESS</t>
  </si>
  <si>
    <t>LS MAXI DRESS LEBARAN KERAH KOKO KANCING PERMEN TSB2305LEB:PASTEL YELLOW:4:STRIPES:LS MAXI DRESS</t>
  </si>
  <si>
    <t>LS MAXI DRESS LEBARAN KERAH KOKO KANCING PERMEN TSB2305LEB:PASTEL YELLOW:5:STRIPES:LS MAXI DRESS</t>
  </si>
  <si>
    <t>LS MAXI DRESS LEBARAN KERAH KOKO KANCING PERMEN TSB2305LEB:PASTEL YELLOW:6:STRIPES:LS MAXI DRESS</t>
  </si>
  <si>
    <t>LS MAXI DRESS LEBARAN KERAH KOKO KANCING PERMEN TSB2305LEB:PASTEL YELLOW:8:STRIPES:LS MAXI DRESS</t>
  </si>
  <si>
    <t>LS MAXI DRESS LEBARAN KERAH KOKO KANCING PERMEN TSB2305LEB:PASTEL YELLOW:10:STRIPES:LS MAXI DRESS</t>
  </si>
  <si>
    <t>LS MAXI DRESS LEBARAN KERAH KOKO KANCING PERMEN TSB2305LEB:PASTEL YELLOW:12:STRIPES:LS MAXI DRESS</t>
  </si>
  <si>
    <t>LS MAXI DRESS LEBARAN PITA BAHU BLUE ANGEL TSB2306LEB:TURQOUISE:4:SOLID:LS MAXI DRESS</t>
  </si>
  <si>
    <t>LS MAXI DRESS LEBARAN PITA BAHU BLUE ANGEL TSB2306LEB:TURQOUISE:5:SOLID:LS MAXI DRESS</t>
  </si>
  <si>
    <t>LS MAXI DRESS LEBARAN PITA BAHU BLUE ANGEL TSB2306LEB:TURQOUISE:6:SOLID:LS MAXI DRESS</t>
  </si>
  <si>
    <t>LS MAXI DRESS LEBARAN PITA BAHU BLUE ANGEL TSB2306LEB:TURQOUISE:8:SOLID:LS MAXI DRESS</t>
  </si>
  <si>
    <t>LS MAXI DRESS LEBARAN PITA BAHU BLUE ANGEL TSB2306LEB:TURQOUISE:10:SOLID:LS MAXI DRESS</t>
  </si>
  <si>
    <t>LS MAXI DRESS LEBARAN PITA BAHU BLUE ANGEL TSB2306LEB:TURQOUISE:12:SOLID:LS MAXI DRESS</t>
  </si>
  <si>
    <t>LS MAXI DRESS LEBARAN PITA BAHU BLUE ANGEL TSB2306LEB:TURQOUISE:14:SOLID:LS MAXI DR</t>
  </si>
  <si>
    <t>LS MAXI DRESS LEBARAN KERAH KOKO BODY GARIS SETENGAH TSB2307LEB:PASTEL PINK:4:STRIPES:LS MAXI DRESS</t>
  </si>
  <si>
    <t>LS MAXI DRESS LEBARAN KERAH KOKO BODY GARIS SETENGAH TSB2307LEB:PASTEL PINK:5:STRIPES:LS MAXI DRESS</t>
  </si>
  <si>
    <t>LS MAXI DRESS LEBARAN KERAH KOKO BODY GARIS SETENGAH TSB2307LEB:PASTEL PINK:6:STRIPES:LS MAXI DRESS</t>
  </si>
  <si>
    <t>LS MAXI DRESS LEBARAN KERAH KOKO BODY GARIS SETENGAH TSB2307LEB:PASTEL PINK:8:STRIPES:LS MAXI DRESS</t>
  </si>
  <si>
    <t>LS MAXI DRESS LEBARAN KERAH KOKO BODY GARIS SETENGAH TSB2307LEB:PASTEL PINK:10:STRIPES:LS MAXI DRESS</t>
  </si>
  <si>
    <t>LS MAXI DRESS LEBARAN KERAH KOKO BODY GARIS SETENGAH TSB2307LEB:PASTEL PINK:12:STRIPES:LS MAXI DRESS</t>
  </si>
  <si>
    <t>LS MAXI DRESS LEBARAN KERAH KOKO BODY GARIS SETENGAH:PASTEL PINK:14:STRIPES:LS MAXI DRE</t>
  </si>
  <si>
    <t>LS MAXI DRESS LEBARAN HOODIE BAHAN KOTAK TSB2308LEB:NAVY BLUE:4:CHECKS:LS MAXI DRESS</t>
  </si>
  <si>
    <t>LS MAXI DRESS LEBARAN HOODIE BAHAN KOTAK TSB2308LEB:NAVY BLUE:5:CHECKS:LS MAXI DRESS</t>
  </si>
  <si>
    <t>LS MAXI DRESS LEBARAN HOODIE BAHAN KOTAK TSB2308LEB:NAVY BLUE:6:CHECKS:LS MAXI DRESS</t>
  </si>
  <si>
    <t>LS MAXI DRESS LEBARAN HOODIE BAHAN KOTAK TSB2308LEB:NAVY BLUE:8:CHECKS:LS MAXI DRESS</t>
  </si>
  <si>
    <t>LS MAXI DRESS LEBARAN HOODIE BAHAN KOTAK TSB2308LEB:NAVY BLUE:10:CHECKS:LS MAXI DRESS</t>
  </si>
  <si>
    <t>LS MAXI DRESS LEBARAN HOODIE BAHAN KOTAK TSB2308LEB:NAVY BLUE:12:CHECKS:LS MAXI DRESS</t>
  </si>
  <si>
    <t>LS MAXI DRESS LEBARAN HOODIE BAHAN KOTAK TSB2308LEB:NAVY BLUE:14:CHECKS:LS MAXI DRE</t>
  </si>
  <si>
    <t>LS MAXI DRESS LEBARAN HOODIE BAHAN GARIS BODY TSB2310LEB:TURQOUISE:4:STRIPES:LS MAXI DRESS</t>
  </si>
  <si>
    <t>LS MAXI DRESS LEBARAN HOODIE BAHAN GARIS BODY TSB2310LEB:TURQOUISE:5:STRIPES:LS MAXI DRESS</t>
  </si>
  <si>
    <t>LS MAXI DRESS LEBARAN HOODIE BAHAN GARIS BODY TSB2310LEB:TURQOUISE:6:STRIPES:LS MAXI DRESS</t>
  </si>
  <si>
    <t>LS MAXI DRESS LEBARAN HOODIE BAHAN GARIS BODY TSB2310LEB:TURQOUISE:8:STRIPES:LS MAXI DRESS</t>
  </si>
  <si>
    <t>LS MAXI DRESS LEBARAN HOODIE BAHAN GARIS BODY TSB2310LEB:TURQOUISE:10:STRIPES:LS MAXI DRESS</t>
  </si>
  <si>
    <t>LS MAXI DRESS LEBARAN HOODIE BAHAN GARIS BODY TSB2310LEB:TURQOUISE:12:STRIPES:LS MAXI DRESS</t>
  </si>
  <si>
    <t>LS MAXI DRESS LEBARAN HOODIE BAHAN GARIS BODY TSB2310LEB:TURQOUISE:14:STRIPES:LS MAXI DR</t>
  </si>
  <si>
    <t>LS MAXI DRESS LEBARAN HOODIE BAHAN KOTAK V TSB2312LEB:PASTEL GREEN:4:CHECKS:LS MAXI DRESS</t>
  </si>
  <si>
    <t>LS MAXI DRESS LEBARAN HOODIE BAHAN KOTAK V TSB2312LEB:PASTEL GREEN:5:CHECKS:LS MAXI DRESS</t>
  </si>
  <si>
    <t>LS MAXI DRESS LEBARAN HOODIE BAHAN KOTAK V TSB2312LEB:PASTEL GREEN:6:CHECKS:LS MAXI DRESS</t>
  </si>
  <si>
    <t>LS MAXI DRESS LEBARAN HOODIE BAHAN KOTAK V TSB2312LEB:PASTEL GREEN:8:CHECKS:LS MAXI DRESS</t>
  </si>
  <si>
    <t>LS MAXI DRESS LEBARAN HOODIE BAHAN KOTAK V TSB2312LEB:PASTEL GREEN:10:CHECKS:LS MAXI DRESS</t>
  </si>
  <si>
    <t>LS MAXI DRESS LEBARAN HOODIE BAHAN KOTAK V TSB2312LEB:PASTEL GREEN:12:CHECKS:LS MAXI DRESS</t>
  </si>
  <si>
    <t>LS MAXI DRESS LEBARAN HOODIE BULU KUDA TSB2313LEB:CLASSIC GREEN:4:SOLID:LS MAXI DRESS</t>
  </si>
  <si>
    <t>LS MAXI DRESS LEBARAN HOODIE BULU KUDA TSB2313LEB:CLASSIC GREEN:5:SOLID:LS MAXI DRESS</t>
  </si>
  <si>
    <t>LS MAXI DRESS LEBARAN HOODIE BULU KUDA TSB2313LEB:CLASSIC GREEN:6:SOLID:LS MAXI DRESS</t>
  </si>
  <si>
    <t>LS MAXI DRESS LEBARAN HOODIE BULU KUDA TSB2313LEB:CLASSIC GREEN:8:SOLID:LS MAXI DRESS</t>
  </si>
  <si>
    <t>LS MAXI DRESS LEBARAN HOODIE BULU KUDA TSB2313LEB:CLASSIC GREEN:10:SOLID:LS MAXI DRESS</t>
  </si>
  <si>
    <t>LS MAXI DRESS LEBARAN HOODIE BULU KUDA TSB2313LEB:CLASSIC GREEN:12:SOLID:LS MAXI DRESS</t>
  </si>
  <si>
    <t>LS MAXI DRESS LEBARAN HOODIE BULU KUDA TSB2313LEB:CLASSIC GRE:14:SOLID:LS MAXI DRE</t>
  </si>
  <si>
    <t>LS MAXI DRESS LEBARAN GEBER DI BAHU DAN ROK TSB2314LEB:PASTEL PINK:4:STRIPES:LS MAXI DRESS</t>
  </si>
  <si>
    <t>LS MAXI DRESS LEBARAN GEBER DI BAHU DAN ROK TSB2314LEB:PASTEL PINK:5:STRIPES:LS MAXI DRESS</t>
  </si>
  <si>
    <t>LS MAXI DRESS LEBARAN GEBER DI BAHU DAN ROK TSB2314LEB:PASTEL PINK:6:STRIPES:LS MAXI DRESS</t>
  </si>
  <si>
    <t>LS MAXI DRESS LEBARAN GEBER DI BAHU DAN ROK TSB2314LEB:PASTEL PINK:8:STRIPES:LS MAXI DRESS</t>
  </si>
  <si>
    <t>LS MAXI DRESS LEBARAN GEBER DI BAHU DAN ROK TSB2314LEB:PASTEL PINK:10:STRIPES:LS MAXI DRESS</t>
  </si>
  <si>
    <t>LS MAXI DRESS LEBARAN GEBER DI BAHU DAN ROK TSB2314LEB:PASTEL PINK:12:STRIPES:LS MAXI DRESS</t>
  </si>
  <si>
    <t>LS MAXI DRESS LEBARAN BAHAN KOTAK BODY TSB2315LEB:PASTEL PINK:4:CHECKS:LS MAXI DRESS</t>
  </si>
  <si>
    <t>LS MAXI DRESS LEBARAN BAHAN KOTAK BODY TSB2315LEB:PASTEL PINK:5:CHECKS:LS MAXI DRESS</t>
  </si>
  <si>
    <t>LS MAXI DRESS LEBARAN BAHAN KOTAK BODY TSB2315LEB:PASTEL PINK:6:CHECKS:LS MAXI DRESS</t>
  </si>
  <si>
    <t>LS MAXI DRESS LEBARAN BAHAN KOTAK BODY TSB2315LEB:PASTEL PINK:8:CHECKS:LS MAXI DRESS</t>
  </si>
  <si>
    <t>LS MAXI DRESS LEBARAN BAHAN KOTAK BODY TSB2315LEB:PASTEL PINK:10:CHECKS:LS MAXI DRESS</t>
  </si>
  <si>
    <t>LS MAXI DRESS LEBARAN BAHAN KOTAK BODY TSB2315LEB:PASTEL PINK:12:CHECKS:LS MAXI DRESS</t>
  </si>
  <si>
    <t>LEBMAS2401</t>
  </si>
  <si>
    <t>LS MAXI DRESS LEB MODEST BORDIR ROMPI TASSEL LEBMAS2401:OFF WHITE:4:SOLID:LS MAXI DRESS</t>
  </si>
  <si>
    <t>LS MAXI DRESS LEB MODEST BORDIR ROMPI TASSEL LEBMAS2401:OFF WHITE:6:SOLID:LS MAXI DRESS</t>
  </si>
  <si>
    <t>LS MAXI DRESS LEB MODEST BORDIR ROMPI TASSEL LEBMAS2401:OFF WHITE:8:SOLID:LS MAXI DRESS</t>
  </si>
  <si>
    <t>LS MAXI DRESS LEB MODEST BORDIR ROMPI TASSEL LEBMAS2401:OFF WHITE:10:SOLID:LS MAXI DRESS</t>
  </si>
  <si>
    <t>LS MAXI DRESS LEB MODEST BORDIR ROMPI TASSEL LEBMAS2401:OFF WHITE:12:SOLID:LS MAXI DRESS</t>
  </si>
  <si>
    <t>LS MAXI DRESS LEB MODEST BORDIR ROMPI TASSEL LEBMAS2401:OFF WHITE:14:SOLID:LS MAXI DRESS</t>
  </si>
  <si>
    <t>LEBMAS2407</t>
  </si>
  <si>
    <t>LS MAXI DRESS LEB MODEST POLOS GEBER SAMPING LEBMAS2407:DUSTY PINK:4:SOLID:LS MAXI DRESS</t>
  </si>
  <si>
    <t>LS MAXI DRESS LEB MODEST POLOS GEBER SAMPING LEBMAS2407:DUSTY PINK:6:SOLID:LS MAXI DRESS</t>
  </si>
  <si>
    <t>LS MAXI DRESS LEB MODEST POLOS GEBER SAMPING LEBMAS2407:DUSTY PINK:8:SOLID:LS MAXI DRESS</t>
  </si>
  <si>
    <t>LS MAXI DRESS LEB MODEST POLOS GEBER SAMPING LEBMAS2407:DUSTY PINK:10:SOLID:LS MAXI DRESS</t>
  </si>
  <si>
    <t>LS MAXI DRESS LEB MODEST POLOS GEBER SAMPING LEBMAS2407:DUSTY PINK:12:SOLID:LS MAXI DRESS</t>
  </si>
  <si>
    <t>LS MAXI DRESS LEB MODEST POLOS GEBER SAMPING LEBMAS2407:DUSTY PINK:14:SOLID:LS MAXI DRESS</t>
  </si>
  <si>
    <t>LEBMAS2404</t>
  </si>
  <si>
    <t>LS MAXI DRESS LEB MODEST BORDIR DADA TANGAN KRAH TINGGI TASSEL LEBMAS2404:PASTEL YELLOW:4:SOLID:LS M</t>
  </si>
  <si>
    <t>LS MAXI DRESS LEB MODEST BORDIR DADA TANGAN KRAH TINGGI TASSEL LEBMAS2404:PASTEL YELLOW:6:SOLID:LS M</t>
  </si>
  <si>
    <t>LS MAXI DRESS LEB MODEST BORDIR DADA TANGAN KRAH TINGGI TASSEL LEBMAS2404:PASTEL YELLOW:8:SOLID:LS M</t>
  </si>
  <si>
    <t>LS MAXI DRESS LEB MODEST BORDIR DADA TANGAN KRAH TINGGI TASSEL LEBMAS2404:PASTEL YELLOW:10:SOLID:LS</t>
  </si>
  <si>
    <t>LS MAXI DRESS LEB MODEST BORDIR DADA TANGAN KRAH TINGGI TASSEL LEBMAS2404:PASTEL YELLOW:12:SOLID:LS</t>
  </si>
  <si>
    <t>LS MAXI DRESS LEB MODEST BORDIR DADA TANGAN KRAH TINGGI TASSEL LEBMAS2404:PASTEL YELLOW:14:SOLID:LS</t>
  </si>
  <si>
    <t>LEBTSB2422</t>
  </si>
  <si>
    <t>LS MAXI DRESS LEB MODEST OVL HOODY KOTAK KOMB POLOSAN LEBTSB2422:PASTEL GREEN:4:CHECKS:LS MAXI DRESS</t>
  </si>
  <si>
    <t>LS MAXI DRESS LEB MODEST OVL HOODY KOTAK KOMB POLOSAN LEBTSB2422:PASTEL GREEN:6:CHECKS:LS MAXI DRESS</t>
  </si>
  <si>
    <t>LS MAXI DRESS LEB MODEST OVL HOODY KOTAK KOMB POLOSAN LEBTSB2422:PASTEL GREEN:8:CHECKS:LS MAXI DRESS</t>
  </si>
  <si>
    <t>LS MAXI DRESS LEB MODEST OVL HOODY KOTAK KOMB POLOSAN LEBTSB2422:PASTEL GREEN:10:CHECKS:LS MAXI DRES</t>
  </si>
  <si>
    <t>LS MAXI DRESS LEB MODEST OVL HOODY KOTAK KOMB POLOSAN LEBTSB2422:PASTEL GREEN:12:CHECKS:LS MAXI DRES</t>
  </si>
  <si>
    <t>LS MAXI DRESS LEB MODEST OVL HOODY KOTAK KOMB POLOSAN LEBTSB2422:PASTEL GREEN:14:CHECKS:LS MAXI DRES</t>
  </si>
  <si>
    <t>LEBMAS2402</t>
  </si>
  <si>
    <t>LS MAXI DRESS LEB MODEST SUSUN 3 FULL BORDIR BUNGA LEBMAS2402:OFF WHITE:4:SOLID:LS MAXI DRESS</t>
  </si>
  <si>
    <t>LS MAXI DRESS LEB MODEST SUSUN 3 FULL BORDIR BUNGA LEBMAS2402:OFF WHITE:6:SOLID:LS MAXI DRESS</t>
  </si>
  <si>
    <t>LS MAXI DRESS LEB MODEST SUSUN 3 FULL BORDIR BUNGA LEBMAS2402:OFF WHITE:8:SOLID:LS MAXI DRESS</t>
  </si>
  <si>
    <t>LS MAXI DRESS LEB MODEST SUSUN 3 FULL BORDIR BUNGA LEBMAS2402:OFF WHITE:10:SOLID:LS MAXI DRESS</t>
  </si>
  <si>
    <t>LS MAXI DRESS LEB MODEST SUSUN 3 FULL BORDIR BUNGA LEBMAS2402:OFF WHITE:12:SOLID:LS MAXI DRESS</t>
  </si>
  <si>
    <t>LS MAXI DRESS LEB MODEST SUSUN 3 FULL BORDIR BUNGA LEBMAS2402:OFF WHITE:14:SOLID:LS MAXI DRESS</t>
  </si>
  <si>
    <t>LEBMAS2403</t>
  </si>
  <si>
    <t>LS MAXI DRESS LEB MODEST BORDIR DADA TANGAN KRAH TINGGI TASSEL LEBMAS2403:PASTEL ORANGE:4:SOLID:LS M</t>
  </si>
  <si>
    <t>LS MAXI DRESS LEB MODEST BORDIR DADA TANGAN KRAH TINGGI TASSEL LEBMAS2403:PASTEL ORANGE:8:SOLID:LS M</t>
  </si>
  <si>
    <t>LS MAXI DRESS LEB MODEST BORDIR DADA TANGAN KRAH TINGGI TASSEL LEBMAS2403:PASTEL ORANGE:10:SOLID:LS</t>
  </si>
  <si>
    <t>LS MAXI DRESS LEB MODEST BORDIR DADA TANGAN KRAH TINGGI TASSEL LEBMAS2403:PASTEL ORANGE:12:SOLID:LS</t>
  </si>
  <si>
    <t>LEBTSB2403</t>
  </si>
  <si>
    <t>LS MAXI DRESS LEB MODEST OVL HOODY POLOSAN ONTONE LEBTSB2403:RUSTIC ORANGE:4:SOLID:LS MAXI DRESS</t>
  </si>
  <si>
    <t>LS MAXI DRESS LEB MODEST OVL HOODY POLOSAN ONTONE LEBTSB2403:RUSTIC ORANGE:6:SOLID:LS MAXI DRESS</t>
  </si>
  <si>
    <t>LS MAXI DRESS LEB MODEST OVL HOODY POLOSAN ONTONE LEBTSB2403:RUSTIC ORANGE:8:SOLID:LS MAXI DRESS</t>
  </si>
  <si>
    <t>LS MAXI DRESS LEB MODEST OVL HOODY POLOSAN ONTONE LEBTSB2403:RUSTIC ORANGE:10:SOLID:LS MAXI DRESS</t>
  </si>
  <si>
    <t>LS MAXI DRESS LEB MODEST OVL HOODY POLOSAN ONTONE LEBTSB2403:RUSTIC ORANGE:12:SOLID:LS MAXI DRESS</t>
  </si>
  <si>
    <t>LS MAXI DRESS LEB MODEST OVL HOODY POLOSAN ONTONE LEBTSB2403:RUSTIC ORANGE:14:SOLID:LS MAXI DRESS</t>
  </si>
  <si>
    <t>LEBTSB2425</t>
  </si>
  <si>
    <t>LS MAXI DRESS LEB MODEST OVL  FP SALUR KOMBINASI POLOSAN KTG DEPAN LEBTSB2425:WOOD BROWN:4:PRINT:LS</t>
  </si>
  <si>
    <t>LS MAXI DRESS LEB MODEST OVL  FP SALUR KOMBINASI POLOSAN KTG DEPAN LEBTSB2425:WOOD BROWN:6:PRINT:LS</t>
  </si>
  <si>
    <t>LS MAXI DRESS LEB MODEST OVL  FP SALUR KOMBINASI POLOSAN KTG DEPAN LEBTSB2425:WOOD BROWN:8:PRINT:LS</t>
  </si>
  <si>
    <t>LS MAXI DRESS LEB MODEST OVL  FP SALUR KOMBINASI POLOSAN KTG DEPAN LEBTSB2425:WOOD BROWN:10:PRINT:LS</t>
  </si>
  <si>
    <t>LS MAXI DRESS LEB MODEST OVL  FP SALUR KOMBINASI POLOSAN KTG DEPAN LEBTSB2425:WOOD BROWN:12:PRINT:LS</t>
  </si>
  <si>
    <t>LS MAXI DRESS LEB MODEST OVL  FP SALUR KOMBINASI POLOSAN KTG DEPAN LEBTSB2425:WOOD BROWN:14:PRINT:LS</t>
  </si>
  <si>
    <t>LEBMAS2409</t>
  </si>
  <si>
    <t>LS MAXI DRESS LEB MODEST KRINKL EMBRO TALI PGG HIJAB LEBMAS2409:OFF WHITE:4:SOLID:LS MAXI DRESS</t>
  </si>
  <si>
    <t>LS MAXI DRESS LEB MODEST KRINKL EMBRO TALI PGG HIJAB LEBMAS2409:OFF WHITE:6:SOLID:LS MAXI DRESS</t>
  </si>
  <si>
    <t>LS MAXI DRESS LEB MODEST KRINKL EMBRO TALI PGG HIJAB LEBMAS2409:OFF WHITE:8:SOLID:LS MAXI DRESS</t>
  </si>
  <si>
    <t>LS MAXI DRESS LEB MODEST KRINKL EMBRO TALI PGG HIJAB LEBMAS2409:OFF WHITE:10:SOLID:LS MAXI DRESS</t>
  </si>
  <si>
    <t>LS MAXI DRESS LEB MODEST KRINKL EMBRO TALI PGG HIJAB LEBMAS2409:OFF WHITE:12:SOLID:LS MAXI DRESS</t>
  </si>
  <si>
    <t>LS MAXI DRESS LEB MODEST KRINKL EMBRO TALI PGG HIJAB LEBMAS2409:OFF WHITE:14:SOLID:LS MAXI DRESS</t>
  </si>
  <si>
    <t>LEBTSB2405</t>
  </si>
  <si>
    <t>LS MAXI DRESS LEB MODEST OVL HOODY POLOSAN KOMB SALUR LEBTSB2405:PASTEL GREEN:4:SOLID:LS MAXI DRESS</t>
  </si>
  <si>
    <t>LS MAXI DRESS LEB MODEST OVL HOODY POLOSAN KOMB SALUR LEBTSB2405:PASTEL GREEN:6:SOLID:LS MAXI DRESS</t>
  </si>
  <si>
    <t>LS MAXI DRESS LEB MODEST OVL HOODY POLOSAN KOMB SALUR LEBTSB2405:PASTEL GREEN:8:SOLID:LS MAXI DRESS</t>
  </si>
  <si>
    <t>LS MAXI DRESS LEB MODEST OVL HOODY POLOSAN KOMB SALUR LEBTSB2405:PASTEL GREEN:10:SOLID:LS MAXI DRESS</t>
  </si>
  <si>
    <t>LS MAXI DRESS LEB MODEST OVL HOODY POLOSAN KOMB SALUR LEBTSB2405:PASTEL GREEN:12:SOLID:LS MAXI DRESS</t>
  </si>
  <si>
    <t>LS MAXI DRESS LEB MODEST OVL HOODY POLOSAN KOMB SALUR LEBTSB2405:PASTEL GREEN:14:SOLID:LS MAXI DRESS</t>
  </si>
  <si>
    <t>LEBTSB2412</t>
  </si>
  <si>
    <t>LS MAXI DRESS LEB MODEST OVL POLOSAN KOMB BUNGA LEBTSB2412:PASTEL PINK:4:SOLID:LS MAXI DRESS</t>
  </si>
  <si>
    <t>LS MAXI DRESS LEB MODEST OVL POLOSAN KOMB BUNGA LEBTSB2412:PASTEL PINK:6:SOLID:LS MAXI DRESS</t>
  </si>
  <si>
    <t>LS MAXI DRESS LEB MODEST OVL POLOSAN KOMB BUNGA LEBTSB2412:PASTEL PINK:8:SOLID:LS MAXI DRESS</t>
  </si>
  <si>
    <t>LS MAXI DRESS LEB MODEST OVL POLOSAN KOMB BUNGA LEBTSB2412:PASTEL PINK:10:SOLID:LS MAXI DRESS</t>
  </si>
  <si>
    <t>LS MAXI DRESS LEB MODEST OVL POLOSAN KOMB BUNGA LEBTSB2412:PASTEL PINK:12:SOLID:LS MAXI DRESS</t>
  </si>
  <si>
    <t>LS MAXI DRESS LEB MODEST OVL POLOSAN KOMB BUNGA LEBTSB2412:PASTEL PINK:14:SOLID:LS MAXI DRESS</t>
  </si>
  <si>
    <t>LEBTSB2413</t>
  </si>
  <si>
    <t>LS MAXI DRESS LEB MODEST OVL SALUR KOMB POLOSAN LEBTSB2413:PASTEL PINK:4:STRIPES:LS MAXI DRESS</t>
  </si>
  <si>
    <t>LS MAXI DRESS LEB MODEST OVL SALUR KOMB POLOSAN LEBTSB2413:PASTEL PINK:6:STRIPES:LS MAXI DRESS</t>
  </si>
  <si>
    <t>LS MAXI DRESS LEB MODEST OVL SALUR KOMB POLOSAN LEBTSB2413:PASTEL PINK:8:STRIPES:LS MAXI DRESS</t>
  </si>
  <si>
    <t>LS MAXI DRESS LEB MODEST OVL SALUR KOMB POLOSAN LEBTSB2413:PASTEL PINK:10:STRIPES:LS MAXI DRESS</t>
  </si>
  <si>
    <t>LS MAXI DRESS LEB MODEST OVL SALUR KOMB POLOSAN LEBTSB2413:PASTEL PINK:12:STRIPES:LS MAXI DRESS</t>
  </si>
  <si>
    <t>LS MAXI DRESS LEB MODEST OVL SALUR KOMB POLOSAN LEBTSB2413:PASTEL PINK:14:STRIPES:LS MAXI DRESS</t>
  </si>
  <si>
    <t>LEBTSB2417</t>
  </si>
  <si>
    <t>LS MAXI DRESS LEB MODEST OVL DOBBY KOMB BUNGA LEBTSB2417:PASTEL YELLOW:4:SOLID:LS MAXI DRESS</t>
  </si>
  <si>
    <t>LS MAXI DRESS LEB MODEST OVL DOBBY KOMB BUNGA LEBTSB2417:PASTEL YELLOW:6:SOLID:LS MAXI DRESS</t>
  </si>
  <si>
    <t>LS MAXI DRESS LEB MODEST OVL DOBBY KOMB BUNGA LEBTSB2417:PASTEL YELLOW:8:SOLID:LS MAXI DRESS</t>
  </si>
  <si>
    <t>LS MAXI DRESS LEB MODEST OVL DOBBY KOMB BUNGA LEBTSB2417:PASTEL YELLOW:10:SOLID:LS MAXI DRESS</t>
  </si>
  <si>
    <t>LS MAXI DRESS LEB MODEST OVL DOBBY KOMB BUNGA LEBTSB2417:PASTEL YELLOW:12:SOLID:LS MAXI DRESS</t>
  </si>
  <si>
    <t>LS MAXI DRESS LEB MODEST OVL DOBBY KOMB BUNGA LEBTSB2417:PASTEL YELLOW:14:SOLID:LS MAXI DRESS</t>
  </si>
  <si>
    <t>LS MAXI DRESS LEB MODEST BORDIR DADA TANGAN KRAH TINGGI TASSEL LEBMAS2403:PASTEL ORANGE:6:SOLID:LS M</t>
  </si>
  <si>
    <t>LEBMAS2412</t>
  </si>
  <si>
    <t>LS MAXI DRESS LEB MODEST SATIN PRINT WITH BELT POM HIJAB LEBMAS2412:VANILLA:4:GRAPHIC:LS MAXI DRESS</t>
  </si>
  <si>
    <t>LS MAXI DRESS LEB MODEST SATIN PRINT WITH BELT POM HIJAB LEBMAS2412:VANILLA:6:GRAPHIC:LS MAXI DRESS</t>
  </si>
  <si>
    <t>LS MAXI DRESS LEB MODEST SATIN PRINT WITH BELT POM HIJAB LEBMAS2412:VANILLA:8:GRAPHIC:LS MAXI DRESS</t>
  </si>
  <si>
    <t>LS MAXI DRESS LEB MODEST SATIN PRINT WITH BELT POM HIJAB LEBMAS2412:VANILLA:10:GRAPHIC:LS MAXI DRESS</t>
  </si>
  <si>
    <t>LS MAXI DRESS LEB MODEST SATIN PRINT WITH BELT POM HIJAB LEBMAS2412:VANILLA:12:GRAPHIC:LS MAXI DRESS</t>
  </si>
  <si>
    <t>LS MAXI DRESS LEB MODEST SATIN PRINT WITH BELT POM HIJAB LEBMAS2412:VANILLA:14:GRAPHIC:LS MAXI DRESS</t>
  </si>
  <si>
    <t>LS MAXI DRESS LEB MODEST BORDIR DADA TANGAN KRAH TINGGI TASSEL LEBMAS2403:PASTEL ORANGE:14:SOLID:LS</t>
  </si>
  <si>
    <t>LEBTSB2410</t>
  </si>
  <si>
    <t>LS MAXI DRESS LEB MODEST OVL  KOTAK SALUR KOMB POLOSAN LEBTSB2410:CORAL:4:CHECKS:LS MAXI DRESS</t>
  </si>
  <si>
    <t>LS MAXI DRESS LEB MODEST OVL  KOTAK SALUR KOMB POLOSAN LEBTSB2410:CORAL:6:CHECKS:LS MAXI DRESS</t>
  </si>
  <si>
    <t>LS MAXI DRESS LEB MODEST OVL  KOTAK SALUR KOMB POLOSAN LEBTSB2410:CORAL:8:CHECKS:LS MAXI DRESS</t>
  </si>
  <si>
    <t>LS MAXI DRESS LEB MODEST OVL  KOTAK SALUR KOMB POLOSAN LEBTSB2410:CORAL:10:CHECKS:LS MAXI DRESS</t>
  </si>
  <si>
    <t>LS MAXI DRESS LEB MODEST OVL  KOTAK SALUR KOMB POLOSAN LEBTSB2410:CORAL:12:CHECKS:LS MAXI DRESS</t>
  </si>
  <si>
    <t>LS MAXI DRESS LEB MODEST OVL  KOTAK SALUR KOMB POLOSAN LEBTSB2410:CORAL:14:CHECKS:LS MAXI DRESS</t>
  </si>
  <si>
    <t>LEBTSB2408</t>
  </si>
  <si>
    <t>LS MAXI DRESS LEB MODEST OVL KOTAK KRAH KOMB POLOSAN LEBTSB2408:PASTEL BLUE:4:CHECKS:LS MAXI DRESS</t>
  </si>
  <si>
    <t>LS MAXI DRESS LEB MODEST OVL KOTAK KRAH KOMB POLOSAN LEBTSB2408:PASTEL BLUE:6:CHECKS:LS MAXI DRESS</t>
  </si>
  <si>
    <t>LS MAXI DRESS LEB MODEST OVL KOTAK KRAH KOMB POLOSAN LEBTSB2408:PASTEL BLUE:8:CHECKS:LS MAXI DRESS</t>
  </si>
  <si>
    <t>LEBTSB2418</t>
  </si>
  <si>
    <t>LS MAXI DRESS LEB MODEST OVL DOBBY KOMB BUNGA LEBTSB2418:PASTEL YELLOW:4:SOLID:LS MAXI DRESS</t>
  </si>
  <si>
    <t>LS MAXI DRESS LEB MODEST OVL DOBBY KOMB BUNGA LEBTSB2418:PASTEL YELLOW:6:SOLID:LS MAXI DRESS</t>
  </si>
  <si>
    <t>LS MAXI DRESS LEB MODEST OVL KOTAK KRAH KOMB POLOSAN LEBTSB2408:PASTEL BLUE:10:CHECKS:LS MAXI DRESS</t>
  </si>
  <si>
    <t>LS MAXI DRESS LEB MODEST OVL DOBBY KOMB BUNGA LEBTSB2418:PASTEL YELLOW:8:SOLID:LS MAXI DRESS</t>
  </si>
  <si>
    <t>LS MAXI DRESS LEB MODEST OVL KOTAK KRAH KOMB POLOSAN LEBTSB2408:PASTEL BLUE:12:CHECKS:LS MAXI DRESS</t>
  </si>
  <si>
    <t>LS MAXI DRESS LEB MODEST OVL KOTAK KRAH KOMB POLOSAN LEBTSB2408:PASTEL BLUE:14:CHECKS:LS MAXI DRESS</t>
  </si>
  <si>
    <t>LS MAXI DRESS LEB MODEST OVL DOBBY KOMB BUNGA LEBTSB2418:PASTEL YELLOW:10:SOLID:LS MAXI DRESS</t>
  </si>
  <si>
    <t>LS MAXI DRESS LEB MODEST OVL DOBBY KOMB BUNGA LEBTSB2418:PASTEL YELLOW:12:SOLID:LS MAXI DRESS</t>
  </si>
  <si>
    <t>LS MAXI DRESS LEB MODEST OVL DOBBY KOMB BUNGA LEBTSB2418:PASTEL YELLOW:14:SOLID:LS MAXI DRESS</t>
  </si>
  <si>
    <t>LEBMAS2406</t>
  </si>
  <si>
    <t>LS MAXI DRESS LEB MODEST BORDIR SUSUN KANCING DEPAN LEBMAS2406:PASTEL PINK:4:SOLID:LS MAXI DRESS</t>
  </si>
  <si>
    <t>LS MAXI DRESS LEB MODEST BORDIR SUSUN KANCING DEPAN LEBMAS2406:PASTEL PINK:6:SOLID:LS MAXI DRESS</t>
  </si>
  <si>
    <t>LS MAXI DRESS LEB MODEST BORDIR SUSUN KANCING DEPAN LEBMAS2406:PASTEL PINK:8:SOLID:LS MAXI DRESS</t>
  </si>
  <si>
    <t>LS MAXI DRESS LEB MODEST BORDIR SUSUN KANCING DEPAN LEBMAS2406:PASTEL PINK:10:SOLID:LS MAXI DRESS</t>
  </si>
  <si>
    <t>LS MAXI DRESS LEB MODEST BORDIR SUSUN KANCING DEPAN LEBMAS2406:PASTEL PINK:12:SOLID:LS MAXI DRESS</t>
  </si>
  <si>
    <t>LS MAXI DRESS LEB MODEST BORDIR SUSUN KANCING DEPAN LEBMAS2406:PASTEL PINK:14:SOLID:LS MAXI DRESS</t>
  </si>
  <si>
    <t>LEBTSB2419</t>
  </si>
  <si>
    <t>LS MAXI DRESS LEB MODEST OVL KOTAK KOMB POLOSAN LEBTSB2419:PASTEL PINK:4:CHECKS:LS MAXI DRESS</t>
  </si>
  <si>
    <t>LS MAXI DRESS LEB MODEST OVL KOTAK KOMB POLOSAN LEBTSB2419:PASTEL PINK:6:CHECKS:LS MAXI DRESS</t>
  </si>
  <si>
    <t>LS MAXI DRESS LEB MODEST OVL KOTAK KOMB POLOSAN LEBTSB2419:PASTEL PINK:8:CHECKS:LS MAXI DRESS</t>
  </si>
  <si>
    <t>LS MAXI DRESS LEB MODEST OVL KOTAK KOMB POLOSAN LEBTSB2419:PASTEL PINK:10:CHECKS:LS MAXI DRESS</t>
  </si>
  <si>
    <t>LS MAXI DRESS LEB MODEST OVL KOTAK KOMB POLOSAN LEBTSB2419:PASTEL PINK:12:CHECKS:LS MAXI DRESS</t>
  </si>
  <si>
    <t>LS MAXI DRESS LEB MODEST OVL KOTAK KOMB POLOSAN LEBTSB2419:PASTEL PINK:14:CHECKS:LS MAXI DRESS</t>
  </si>
  <si>
    <t>LEBTSB2402</t>
  </si>
  <si>
    <t>LS MAXI DRESS LEB MODEST OVL PITA PUNDAK KOMB BGA LEBTSB2402:DUSTY PINK:6:SOLID:LS MAXI DRESS</t>
  </si>
  <si>
    <t>LS MAXI DRESS LEB MODEST OVL PITA PUNDAK KOMB BGA LEBTSB2402:DUSTY PINK:8:SOLID:LS MAXI DRESS</t>
  </si>
  <si>
    <t>LS MAXI DRESS LEB MODEST OVL PITA PUNDAK KOMB BGA LEBTSB2402:DUSTY PINK:10:SOLID:LS MAXI DRESS</t>
  </si>
  <si>
    <t>LS MAXI DRESS LEB MODEST OVL PITA PUNDAK KOMB BGA LEBTSB2402:DUSTY PINK:12:SOLID:LS MAXI DRESS</t>
  </si>
  <si>
    <t>LS MAXI DRESS LEB MODEST OVL PITA PUNDAK KOMB BGA LEBTSB2402:DUSTY PINK:14:SOLID:LS MAXI DRESS</t>
  </si>
  <si>
    <t>LEBTSB2407</t>
  </si>
  <si>
    <t>LS MAXI DRESS LEB MODEST FAKE 2 PCS POLOSAN KOMB SALUR LEBTSB2407:PASTEL GREEN:4:STRIPES:LS MAXI DRE</t>
  </si>
  <si>
    <t>LS MAXI DRESS LEB MODEST FAKE 2 PCS POLOSAN KOMB SALUR LEBTSB2407:PASTEL GREEN:6:STRIPES:LS MAXI DRE</t>
  </si>
  <si>
    <t>LS MAXI DRESS LEB MODEST FAKE 2 PCS POLOSAN KOMB SALUR LEBTSB2407:PASTEL GREEN:8:STRIPES:LS MAXI DRE</t>
  </si>
  <si>
    <t>LS MAXI DRESS LEB MODEST FAKE 2 PCS POLOSAN KOMB SALUR LEBTSB2407:PASTEL GREEN:10:STRIPES:LS MAXI DR</t>
  </si>
  <si>
    <t>LS MAXI DRESS LEB MODEST FAKE 2 PCS POLOSAN KOMB SALUR LEBTSB2407:PASTEL GREEN:12:STRIPES:LS MAXI DR</t>
  </si>
  <si>
    <t>LS MAXI DRESS LEB MODEST FAKE 2 PCS POLOSAN KOMB SALUR LEBTSB2407:PASTEL GREEN:14:STRIPES:LS MAXI DR</t>
  </si>
  <si>
    <t>LEBMAS2408</t>
  </si>
  <si>
    <t>LS MAXI DRESS LEB MODEST POLOS GEBER KARET SAMPING LEBMAS2408:PASTEL GREEN:8:SOLID:LS MAXI DRESS</t>
  </si>
  <si>
    <t>LS MAXI DRESS LEB MODEST POLOS GEBER KARET SAMPING LEBMAS2408:PASTEL GREEN:12:SOLID:LS MAXI DRESS</t>
  </si>
  <si>
    <t>LEBTSB2401</t>
  </si>
  <si>
    <t>LS MAXI DRESS LEB MODEST BORDIR ROMPI TASSEL LEBTSB2401:PASTEL BLUE:4:SOLID:LS MAXI DRESS</t>
  </si>
  <si>
    <t>LS MAXI DRESS LEB MODEST BORDIR ROMPI TASSEL LEBTSB2401:PASTEL BLUE:6:SOLID:LS MAXI DRESS</t>
  </si>
  <si>
    <t>LS MAXI DRESS LEB MODEST BORDIR ROMPI TASSEL LEBTSB2401:PASTEL BLUE:8:SOLID:LS MAXI DRESS</t>
  </si>
  <si>
    <t>LS MAXI DRESS LEB MODEST BORDIR ROMPI TASSEL LEBTSB2401:PASTEL BLUE:10:SOLID:LS MAXI DRESS</t>
  </si>
  <si>
    <t>LS MAXI DRESS LEB MODEST BORDIR ROMPI TASSEL LEBTSB2401:PASTEL BLUE:12:SOLID:LS MAXI DRESS</t>
  </si>
  <si>
    <t>LS MAXI DRESS LEB MODEST BORDIR ROMPI TASSEL LEBTSB2401:PASTEL BLUE:14:SOLID:LS MAXI DRESS</t>
  </si>
  <si>
    <t>LEBTSB2406</t>
  </si>
  <si>
    <t>LS MAXI DRESS LEB MODEST OVL HOODY POLOSAN KOMB BULKUD LEBTSB2406:PASTEL PURPLE:4:SOLID:LS MAXI DRES</t>
  </si>
  <si>
    <t>LS MAXI DRESS LEB MODEST OVL HOODY POLOSAN KOMB BULKUD LEBTSB2406:PASTEL PURPLE:6:SOLID:LS MAXI DRES</t>
  </si>
  <si>
    <t>LS MAXI DRESS LEB MODEST OVL HOODY POLOSAN KOMB BULKUD LEBTSB2406:PASTEL PURPLE:8:SOLID:LS MAXI DRES</t>
  </si>
  <si>
    <t>LS MAXI DRESS LEB MODEST OVL HOODY POLOSAN KOMB BULKUD LEBTSB2406:PASTEL PURPLE:10:SOLID:LS MAXI DRE</t>
  </si>
  <si>
    <t>LS MAXI DRESS LEB MODEST OVL HOODY POLOSAN KOMB BULKUD LEBTSB2406:PASTEL PURPLE:12:SOLID:LS MAXI DRE</t>
  </si>
  <si>
    <t>LS MAXI DRESS LEB MODEST OVL HOODY POLOSAN KOMB BULKUD LEBTSB2406:PASTEL PURPLE:14:SOLID:LS MAXI DRE</t>
  </si>
  <si>
    <t>LS MAXI DRESS LEB MODEST POLOS GEBER KARET SAMPING LEBMAS2408:PASTEL GREEN:4:SOLID:LS MAXI DRESS</t>
  </si>
  <si>
    <t>LS MAXI DRESS LEB MODEST POLOS GEBER KARET SAMPING LEBMAS2408:PASTEL GREEN:6:SOLID:LS MAXI DRESS</t>
  </si>
  <si>
    <t>LS MAXI DRESS LEB MODEST POLOS GEBER KARET SAMPING LEBMAS2408:PASTEL GREEN:10:SOLID:LS MAXI DRESS</t>
  </si>
  <si>
    <t>LS MAXI DRESS LEB MODEST POLOS GEBER KARET SAMPING LEBMAS2408:PASTEL GREEN:14:SOLID:LS MAXI DRESS</t>
  </si>
  <si>
    <t>LEBMAS2411</t>
  </si>
  <si>
    <t>LS MAXI DRESS LEB MODEST TUNIK LACE HIJAB LEBMAS2411:PASTEL GREEN:4:SOLID:LS MAXI DRESS</t>
  </si>
  <si>
    <t>LS MAXI DRESS LEB MODEST TUNIK LACE HIJAB LEBMAS2411:PASTEL GREEN:6:SOLID:LS MAXI DRESS</t>
  </si>
  <si>
    <t>LS MAXI DRESS LEB MODEST TUNIK LACE HIJAB LEBMAS2411:PASTEL GREEN:8:SOLID:LS MAXI DRESS</t>
  </si>
  <si>
    <t>LS MAXI DRESS LEB MODEST TUNIK LACE HIJAB LEBMAS2411:PASTEL GREEN:10:SOLID:LS MAXI DRESS</t>
  </si>
  <si>
    <t>LS MAXI DRESS LEB MODEST TUNIK LACE HIJAB LEBMAS2411:PASTEL GREEN:12:SOLID:LS MAXI DRESS</t>
  </si>
  <si>
    <t>LS MAXI DRESS LEB MODEST TUNIK LACE HIJAB LEBMAS2411:PASTEL GREEN:14:SOLID:LS MAXI DRESS</t>
  </si>
  <si>
    <t>LEBMAS2405</t>
  </si>
  <si>
    <t>LS MAXI DRESS LEB MODEST FAKE 2PCS KRAH BORDIR BUNGA LEBMAS2405:PASTEL GREEN:6:SOLID:LS MAXI DRESS</t>
  </si>
  <si>
    <t>LS MAXI DRESS LEB MODEST FAKE 2PCS KRAH BORDIR BUNGA LEBMAS2405:PASTEL GREEN:8:SOLID:LS MAXI DRESS</t>
  </si>
  <si>
    <t>LS MAXI DRESS LEB MODEST FAKE 2PCS KRAH BORDIR BUNGA LEBMAS2405:PASTEL GREEN:10:SOLID:LS MAXI DRESS</t>
  </si>
  <si>
    <t>LS MAXI DRESS LEB MODEST FAKE 2PCS KRAH BORDIR BUNGA LEBMAS2405:PASTEL GREEN:12:SOLID:LS MAXI DRESS</t>
  </si>
  <si>
    <t>LS MAXI DRESS LEB MODEST FAKE 2PCS KRAH BORDIR BUNGA LEBMAS2405:PASTEL GREEN:14:SOLID:LS MAXI DRESS</t>
  </si>
  <si>
    <t>LEBTSB2409</t>
  </si>
  <si>
    <t>LS MAXI DRESS LEB MODEST OVL HOODY KOTAK KOMB POLOSAN LEBTSB2409:NAVY BLUE:4:CHECKS:LS MAXI DRESS</t>
  </si>
  <si>
    <t>LS MAXI DRESS LEB MODEST OVL HOODY KOTAK KOMB POLOSAN LEBTSB2409:NAVY BLUE:6:CHECKS:LS MAXI DRESS</t>
  </si>
  <si>
    <t>LS MAXI DRESS LEB MODEST OVL HOODY KOTAK KOMB POLOSAN LEBTSB2409:NAVY BLUE:8:CHECKS:LS MAXI DRESS</t>
  </si>
  <si>
    <t>LS MAXI DRESS LEB MODEST OVL HOODY KOTAK KOMB POLOSAN LEBTSB2409:NAVY BLUE:10:CHECKS:LS MAXI DRESS</t>
  </si>
  <si>
    <t>LS MAXI DRESS LEB MODEST OVL HOODY KOTAK KOMB POLOSAN LEBTSB2409:NAVY BLUE:12:CHECKS:LS MAXI DRESS</t>
  </si>
  <si>
    <t>LS MAXI DRESS LEB MODEST OVL HOODY KOTAK KOMB POLOSAN LEBTSB2409:NAVY BLUE:14:CHECKS:LS MAXI DRESS</t>
  </si>
  <si>
    <t>LS MAXI DRESS LEB MODEST OVL PITA PUNDAK KOMB BGA LEBTSB2402:DUSTY PINK:4:SOLID:LS MAXI DRESS</t>
  </si>
  <si>
    <t>LS MAXI DRESS LEB MODEST FAKE 2PCS KRAH BORDIR BUNGA LEBMAS2405:PASTEL GREEN:4:SOLID:LS MAXI DRESS</t>
  </si>
  <si>
    <t>LEBTSB2423</t>
  </si>
  <si>
    <t>LS MAXI DRESS LEB MODEST FP BUNGA KOMBINASI SALUR SUSUN TINGKAT LEBTSB2423:PASTEL GREEN:4:PRINT:LS M</t>
  </si>
  <si>
    <t>LS MAXI DRESS LEB MODEST FP BUNGA KOMBINASI SALUR SUSUN TINGKAT LEBTSB2423:PASTEL GREEN:6:PRINT:LS M</t>
  </si>
  <si>
    <t>LS MAXI DRESS LEB MODEST FP BUNGA KOMBINASI SALUR SUSUN TINGKAT LEBTSB2423:PASTEL GREEN:8:PRINT:LS M</t>
  </si>
  <si>
    <t>LEBTSB2416</t>
  </si>
  <si>
    <t>LS MAXI DRESS LEB MODEST FP KOTAK HOODY LEBTSB2416:DUSTY PINK:4:CHECKS:LS MAXI DRESS</t>
  </si>
  <si>
    <t>LS MAXI DRESS LEB MODEST FP KOTAK HOODY LEBTSB2416:DUSTY PINK:6:CHECKS:LS MAXI DRESS</t>
  </si>
  <si>
    <t>LS MAXI DRESS LEB MODEST FP KOTAK HOODY LEBTSB2416:DUSTY PINK:8:CHECKS:LS MAXI DRESS</t>
  </si>
  <si>
    <t>LS MAXI DRESS LEB MODEST FP KOTAK HOODY LEBTSB2416:DUSTY PINK:10:CHECKS:LS MAXI DRESS</t>
  </si>
  <si>
    <t>LS MAXI DRESS LEB MODEST FP KOTAK HOODY LEBTSB2416:DUSTY PINK:14:CHECKS:LS MAXI DRESS</t>
  </si>
  <si>
    <t>LS MAXI DRESS LEB MODEST FP KOTAK HOODY LEBTSB2416:DUSTY PINK:12:CHECKS:LS MAXI DRESS</t>
  </si>
  <si>
    <t>LEBMAS2410</t>
  </si>
  <si>
    <t>LS MAXI DRESS LEB MODEST KAFTAN BORDIR LEBMAS2410:PASTEL BLUE:6:SOLID:LS MAXI DRESS</t>
  </si>
  <si>
    <t>LS MAXI DRESS LEB MODEST KAFTAN BORDIR LEBMAS2410:PASTEL BLUE:8:SOLID:LS MAXI DRESS</t>
  </si>
  <si>
    <t>LS MAXI DRESS LEB MODEST KAFTAN BORDIR LEBMAS2410:PASTEL BLUE:10:SOLID:LS MAXI DRESS</t>
  </si>
  <si>
    <t>LS MAXI DRESS LEB MODEST KAFTAN BORDIR LEBMAS2410:PASTEL BLUE:12:SOLID:LS MAXI DRESS</t>
  </si>
  <si>
    <t>LS MAXI DRESS LEB MODEST KAFTAN BORDIR LEBMAS2410:PASTEL BLUE:14:SOLID:LS MAXI DRESS</t>
  </si>
  <si>
    <t>LS MAXI DRESS LEB MODEST KAFTAN BORDIR LEBMAS2410:PASTEL BLUE:4:SOLID:LS MAXI DRESS</t>
  </si>
  <si>
    <t>LEBTSB2421A</t>
  </si>
  <si>
    <t>LS MAXI DRESS LEB MODEST KCG DPN OVL PITA BAHU KLEWER KOTAK LEBTSB2421A:PASTEL GREEN:4:CHECKS:LS MAX</t>
  </si>
  <si>
    <t>LEBTSB2420A</t>
  </si>
  <si>
    <t>LS MAXI DRESS LEB MODEST OVL KOTAK GEBER KOMB POLOSAN KERAH BUNDER LEBTSB2420A:PASTEL PINK:4:CHECKS:</t>
  </si>
  <si>
    <t>LS MAXI DRESS LEB MODEST OVL KOTAK GEBER KOMB POLOSAN KERAH BUNDER LEBTSB2420A:PASTEL PINK:6:CHECKS:</t>
  </si>
  <si>
    <t>LS MAXI DRESS LEB MODEST OVL KOTAK GEBER KOMB POLOSAN KERAH BUNDER LEBTSB2420A:PASTEL PINK:8:CHECKS:</t>
  </si>
  <si>
    <t>LS MAXI DRESS LEB MODEST OVL KOTAK GEBER KOMB POLOSAN KERAH BUNDER LEBTSB2420A:PASTEL PINK:10:CHECKS</t>
  </si>
  <si>
    <t>LS MAXI DRESS LEB MODEST OVL KOTAK GEBER KOMB POLOSAN KERAH BUNDER LEBTSB2420A:PASTEL PINK:12:CHECKS</t>
  </si>
  <si>
    <t>LS MAXI DRESS LEB MODEST OVL KOTAK GEBER KOMB POLOSAN KERAH BUNDER LEBTSB2420A:PASTEL PINK:14:CHECKS</t>
  </si>
  <si>
    <t>LS MAXI DRESS LEB MODEST KCG DPN OVL PITA BAHU KLEWER KOTAK LEBTSB2421A:PASTEL GREEN:14:CHECKS:LS MA</t>
  </si>
  <si>
    <t>LS MAXI DRESS LEB MODEST KCG DPN OVL PITA BAHU KLEWER KOTAK LEBTSB2421A:PASTEL GREEN:6:CHECKS:LS MAX</t>
  </si>
  <si>
    <t>LS MAXI DRESS LEB MODEST KCG DPN OVL PITA BAHU KLEWER KOTAK LEBTSB2421A:PASTEL GREEN:8:CHECKS:LS MAX</t>
  </si>
  <si>
    <t>LS MAXI DRESS LEB MODEST KCG DPN OVL PITA BAHU KLEWER KOTAK LEBTSB2421A:PASTEL GREEN:10:CHECKS:LS MA</t>
  </si>
  <si>
    <t>LS MAXI DRESS LEB MODEST KCG DPN OVL PITA BAHU KLEWER KOTAK LEBTSB2421A:PASTEL GREEN:12:CHECKS:LS MA</t>
  </si>
  <si>
    <t>LEBTSB2415</t>
  </si>
  <si>
    <t>LS MAXI DRESS LEB MODEST CUT N SEW POLOSAN KOMB SALUR LEBTSB2415:DUSTY PINK:4:STRIPES:LS MAXI DRESS</t>
  </si>
  <si>
    <t>LS MAXI DRESS LEB MODEST CUT N SEW POLOSAN KOMB SALUR LEBTSB2415:DUSTY PINK:8:STRIPES:LS MAXI DRESS</t>
  </si>
  <si>
    <t>LS MAXI DRESS LEB MODEST CUT N SEW POLOSAN KOMB SALUR LEBTSB2415:DUSTY PINK:12:STRIPES:LS MAXI DRESS</t>
  </si>
  <si>
    <t>LS MAXI DRESS LEB MODEST CUT N SEW POLOSAN KOMB SALUR LEBTSB2415:DUSTY PINK:6:STRIPES:LS MAXI DRESS</t>
  </si>
  <si>
    <t>LS MAXI DRESS LEB MODEST CUT N SEW POLOSAN KOMB SALUR LEBTSB2415:DUSTY PINK:10:STRIPES:LS MAXI DRESS</t>
  </si>
  <si>
    <t>LS MAXI DRESS LEB MODEST CUT N SEW POLOSAN KOMB SALUR LEBTSB2415:DUSTY PINK:14:STRIPES:LS MAXI DRESS</t>
  </si>
  <si>
    <t>LEBTSB2424</t>
  </si>
  <si>
    <t>LS MAXI DRESS LEB MODEST OVL  FP SALUR KOMBINASI POLOSAN KTG DEPAN LEBTSB2424:PASTEL YELLOW:4:STRIPE</t>
  </si>
  <si>
    <t>LS MAXI DRESS LEB MODEST OVL  FP SALUR KOMBINASI POLOSAN KTG DEPAN LEBTSB2424:PASTEL YELLOW:6:STRIPE</t>
  </si>
  <si>
    <t>LS MAXI DRESS LEB MODEST OVL  FP SALUR KOMBINASI POLOSAN KTG DEPAN LEBTSB2424:PASTEL YELLOW:8:STRIPE</t>
  </si>
  <si>
    <t>LS MAXI DRESS LEB MODEST OVL  FP SALUR KOMBINASI POLOSAN KTG DEPAN LEBTSB2424:PASTEL YELLOW:10:STRIP</t>
  </si>
  <si>
    <t>LS MAXI DRESS LEB MODEST OVL  FP SALUR KOMBINASI POLOSAN KTG DEPAN LEBTSB2424:PASTEL YELLOW:12:STRIP</t>
  </si>
  <si>
    <t>LS MAXI DRESS LEB MODEST OVL  FP SALUR KOMBINASI POLOSAN KTG DEPAN LEBTSB2424:PASTEL YELLOW:14:STRIP</t>
  </si>
  <si>
    <t>AGK3042B</t>
  </si>
  <si>
    <t>LS MIDI DRESS BROKAT SUSUN LEHER KERUT AGK3042B:PASTEL GREEN:4:SOLID:LS MIDI DRESS</t>
  </si>
  <si>
    <t>LS MIDI DRESS BROKAT SUSUN LEHER KERUT AGK3042B:PASTEL GREEN:5:SOLID:LS MIDI DRESS</t>
  </si>
  <si>
    <t>LS MIDI DRESS BROKAT SUSUN LEHER KERUT AGK3042B:PASTEL GREEN:6:SOLID:LS MIDI DRESS</t>
  </si>
  <si>
    <t>LS MIDI DRESS BROKAT SUSUN LEHER KERUT AGK3042B:PASTEL GREEN:8:SOLID:LS MIDI DRESS</t>
  </si>
  <si>
    <t>LS MIDI DRESS BROKAT SUSUN LEHER KERUT AGK3042B:PASTEL GREEN:10:SOLID:LS MIDI DRESS</t>
  </si>
  <si>
    <t>LS MIDI DRESS BROKAT SUSUN LEHER KERUT AGK3042B:PASTEL GREEN:12:SOLID:LS MIDI DRESS</t>
  </si>
  <si>
    <t>AGK3919</t>
  </si>
  <si>
    <t>SS MIDI DRESS FP KORAL KRAH GEBER LEHER PITA WITH MATCHING BAG AGK3919:OFF WHITE:4:SOLID:SS MIDI DRE</t>
  </si>
  <si>
    <t>SS MIDI DRESS FP KORAL KRAH GEBER LEHER PITA WITH MATCHING BAG AGK3919:OFF WHITE:5:SOLID:SS MIDI DRE</t>
  </si>
  <si>
    <t>SS MIDI DRESS FP KORAL KRAH GEBER LEHER PITA WITH MATCHING BAG AGK3919:OFF WHITE:6:SOLID:SS MIDI DRE</t>
  </si>
  <si>
    <t>SS MIDI DRESS FP KORAL KRAH GEBER LEHER PITA WITH MATCHING BAG AGK3919:OFF WHITE:8:SOLID:SS MIDI DRE</t>
  </si>
  <si>
    <t>SS MIDI DRESS FP KORAL KRAH GEBER LEHER PITA WITH MATCHING BAG AGK3919:OFF WHITE:10:SOLID:SS MIDI DR</t>
  </si>
  <si>
    <t>SS MIDI DRESS FP KORAL KRAH GEBER LEHER PITA WITH MATCHING BAG AGK3919:OFF WHITE:12:SOLID:SS MIDI DR</t>
  </si>
  <si>
    <t>ANWN335</t>
  </si>
  <si>
    <t>SS MIDI DRESS FP BUNGA LEHER KERUT TANGAN TEROMPET ANWN335:PASTEL PURPLE:4:FLORAL:SS MIDI DRESS</t>
  </si>
  <si>
    <t>SS MIDI DRESS FP BUNGA LEHER KERUT TANGAN TEROMPET ANWN335:PASTEL PURPLE:5:FLORAL:SS MIDI DRESS</t>
  </si>
  <si>
    <t>SS MIDI DRESS FP BUNGA LEHER KERUT TANGAN TEROMPET ANWN335:PASTEL PURPLE:6:FLORAL:SS MIDI DRESS</t>
  </si>
  <si>
    <t>SS MIDI DRESS FP BUNGA LEHER KERUT TANGAN TEROMPET ANWN335:PASTEL PURPLE:8:FLORAL:SS MIDI DRESS</t>
  </si>
  <si>
    <t>SS MIDI DRESS FP BUNGA LEHER KERUT TANGAN TEROMPET ANWN335:PASTEL PURPLE:10:FLORAL:SS MIDI DRESS</t>
  </si>
  <si>
    <t>SS MIDI DRESS FP BUNGA LEHER KERUT TANGAN TEROMPET ANWN335:PASTEL PURPLE:12:FLORAL:SS MIDI DRESS</t>
  </si>
  <si>
    <t>ANWN345</t>
  </si>
  <si>
    <t>SS MIDI DRESS FP BUNGA FAKE 2 PCS BOLERO KOMB POLOS ANWN345:VANILLA:4:FLORAL:SS MIDI DRESS</t>
  </si>
  <si>
    <t>SS MIDI DRESS FP BUNGA FAKE 2 PCS BOLERO KOMB POLOS ANWN345:VANILLA:5:FLORAL:SS MIDI DRESS</t>
  </si>
  <si>
    <t>SS MIDI DRESS FP BUNGA FAKE 2 PCS BOLERO KOMB POLOS ANWN345:VANILLA:6:FLORAL:SS MIDI DRESS</t>
  </si>
  <si>
    <t>SS MIDI DRESS FP BUNGA FAKE 2 PCS BOLERO KOMB POLOS ANWN345:VANILLA:8:FLORAL:SS MIDI DRESS</t>
  </si>
  <si>
    <t>SS MIDI DRESS FP BUNGA FAKE 2 PCS BOLERO KOMB POLOS ANWN345:VANILLA:10:FLORAL:SS MIDI DRESS</t>
  </si>
  <si>
    <t>SS MIDI DRESS FP BUNGA FAKE 2 PCS BOLERO KOMB POLOS ANWN345:VANILLA:12:FLORAL:SS MIDI DRESS</t>
  </si>
  <si>
    <t>EV2304RV61</t>
  </si>
  <si>
    <t>SS MIDI DRESS FP SALUR BORDIR CAT WITH TAS CAT EV2304RV61:PASTEL BLUE:4:PRINT:SS MIDI DRESS</t>
  </si>
  <si>
    <t>SS MIDI DRESS FP SALUR BORDIR CAT WITH TAS CAT EV2304RV61:PASTEL BLUE:5:PRINT:SS MIDI DRESS</t>
  </si>
  <si>
    <t>SS MIDI DRESS FP SALUR BORDIR CAT WITH TAS CAT EV2304RV61:PASTEL BLUE:6:PRINT:SS MIDI DRESS</t>
  </si>
  <si>
    <t>SS MIDI DRESS FP SALUR BORDIR CAT WITH TAS CAT EV2304RV61:PASTEL BLUE:8:PRINT:SS MIDI DRESS</t>
  </si>
  <si>
    <t>SS MIDI DRESS FP SALUR BORDIR CAT WITH TAS CAT EV2304RV61:PASTEL BLUE:10:PRINT:SS MIDI DRESS</t>
  </si>
  <si>
    <t>SS MIDI DRESS FP SALUR BORDIR CAT WITH TAS CAT EV2304RV61:PASTEL BLUE:12:PRINT:SS MIDI DRESS</t>
  </si>
  <si>
    <t>EV2301RV41</t>
  </si>
  <si>
    <t>SS MIDI DRESS ATAS POLOS KERUT BAWAH ONDE EV2301RV41:MISTY LIGHT GREY:4:PRINT:SS MIDI DRESS</t>
  </si>
  <si>
    <t>SS MIDI DRESS ATAS POLOS KERUT BAWAH ONDE EV2301RV41:MISTY LIGHT GREY:5:PRINT:SS MIDI DRESS</t>
  </si>
  <si>
    <t>SS MIDI DRESS ATAS POLOS KERUT BAWAH ONDE EV2301RV41:MISTY LIGHT GREY:6:PRINT:SS MIDI DRESS</t>
  </si>
  <si>
    <t>SS MIDI DRESS ATAS POLOS KERUT BAWAH ONDE EV2301RV41:MISTY LIGHT GREY:8:PRINT:SS MIDI DRESS</t>
  </si>
  <si>
    <t>SS MIDI DRESS ATAS POLOS KERUT BAWAH ONDE EV2301RV41:MISTY LIGHT GREY:10:PRINT:SS MIDI DRESS</t>
  </si>
  <si>
    <t>SS MIDI DRESS ATAS POLOS KERUT BAWAH ONDE EV2301RV41:MISTY LIGHT GREY:12:PRINT:SS MIDI DRESS</t>
  </si>
  <si>
    <t>EV2304RV62</t>
  </si>
  <si>
    <t>SS MIDI DRESS FP SALUR TANGAN GEBER BORDIR TAS BUNNY EV2304RV62:PASTEL PINK:4:GRAPHIC:SS MIDI DRESS</t>
  </si>
  <si>
    <t>SS MIDI DRESS FP SALUR TANGAN GEBER BORDIR TAS BUNNY EV2304RV62:PASTEL PINK:5:GRAPHIC:SS MIDI DRESS</t>
  </si>
  <si>
    <t>SS MIDI DRESS FP SALUR TANGAN GEBER BORDIR TAS BUNNY EV2304RV62:PASTEL PINK:6:GRAPHIC:SS MIDI DRESS</t>
  </si>
  <si>
    <t>SS MIDI DRESS FP SALUR TANGAN GEBER BORDIR TAS BUNNY EV2304RV62:PASTEL PINK:8:GRAPHIC:SS MIDI DRESS</t>
  </si>
  <si>
    <t>SS MIDI DRESS FP SALUR TANGAN GEBER BORDIR TAS BUNNY EV2304RV62:PASTEL PINK:10:GRAPHIC:SS MIDI DRESS</t>
  </si>
  <si>
    <t>SS MIDI DRESS FP SALUR TANGAN GEBER BORDIR TAS BUNNY EV2304RV62:PASTEL PINK:12:GRAPHIC:SS MIDI DRESS</t>
  </si>
  <si>
    <t>TSBCAS4</t>
  </si>
  <si>
    <t>LS MIDI DRESS OVERALL FP BUNGA KOMB POLOS KANTONG BENTUK LOVE TSBCAS4:PASTEL PINK:4:FLORAL:LS MIDI D</t>
  </si>
  <si>
    <t>LS MIDI DRESS OVERALL FP BUNGA KOMB POLOS KANTONG BENTUK LOVE TSBCAS4:PASTEL PINK:5:FLORAL:LS MIDI D</t>
  </si>
  <si>
    <t>LS MIDI DRESS OVERALL FP BUNGA KOMB POLOS KANTONG BENTUK LOVE TSBCAS4:PASTEL PINK:6:FLORAL:LS MIDI D</t>
  </si>
  <si>
    <t>LS MIDI DRESS OVERALL FP BUNGA KOMB POLOS KANTONG BENTUK LOVE TSBCAS4:PASTEL PINK:8:FLORAL:LS MIDI D</t>
  </si>
  <si>
    <t>LS MIDI DRESS OVERALL FP BUNGA KOMB POLOS KANTONG BENTUK LOVE TSBCAS4:PASTEL PINK:10:FLORAL:LS MIDI</t>
  </si>
  <si>
    <t>LS MIDI DRESS OVERALL FP BUNGA KOMB POLOS KANTONG BENTUK LOVE TSBCAS4:PASTEL PINK:12:FLORAL:LS MIDI</t>
  </si>
  <si>
    <t>TSBCAS3</t>
  </si>
  <si>
    <t>LS MIDI DRESS OVERALL FP BUNGA KOMB POLOS TSBCAS3:PASTEL GREEN:4:FLORAL:LS MIDI DRESS</t>
  </si>
  <si>
    <t>LS MIDI DRESS OVERALL FP BUNGA KOMB POLOS TSBCAS3:PASTEL GREEN:5:FLORAL:LS MIDI DRESS</t>
  </si>
  <si>
    <t>LS MIDI DRESS OVERALL FP BUNGA KOMB POLOS TSBCAS3:PASTEL GREEN:6:FLORAL:LS MIDI DRESS</t>
  </si>
  <si>
    <t>LS MIDI DRESS OVERALL FP BUNGA KOMB POLOS TSBCAS3:PASTEL GREEN:8:FLORAL:LS MIDI DRESS</t>
  </si>
  <si>
    <t>LS MIDI DRESS OVERALL FP BUNGA KOMB POLOS TSBCAS3:PASTEL GREEN:10:FLORAL:LS MIDI DRESS</t>
  </si>
  <si>
    <t>LS MIDI DRESS OVERALL FP BUNGA KOMB POLOS TSBCAS3:PASTEL GREEN:12:FLORAL:LS MIDI DRESS</t>
  </si>
  <si>
    <t>ANWN338</t>
  </si>
  <si>
    <t>SS MIDI DRESS OVL GEBER DADA DAN BAWAH LEHER RENDA ANWN338:OFF WHITE:4:SOLID:SS MIDI DRESS</t>
  </si>
  <si>
    <t>SS MIDI DRESS OVL GEBER DADA DAN BAWAH LEHER RENDA ANWN338:OFF WHITE:5:SOLID:SS MIDI DRESS</t>
  </si>
  <si>
    <t>SS MIDI DRESS OVL GEBER DADA DAN BAWAH LEHER RENDA ANWN338:OFF WHITE:6:SOLID:SS MIDI DRESS</t>
  </si>
  <si>
    <t>SS MIDI DRESS OVL GEBER DADA DAN BAWAH LEHER RENDA ANWN338:OFF WHITE:8:SOLID:SS MIDI DRESS</t>
  </si>
  <si>
    <t>SS MIDI DRESS OVL GEBER DADA DAN BAWAH LEHER RENDA ANWN338:OFF WHITE:10:SOLID:SS MIDI DRESS</t>
  </si>
  <si>
    <t>SS MIDI DRESS OVL GEBER DADA DAN BAWAH LEHER RENDA ANWN338:OFF WHITE:12:SOLID:SS MIDI DRESS</t>
  </si>
  <si>
    <t>ANWN361</t>
  </si>
  <si>
    <t>SS MIDI DRESS OVL SALUR BAWAH RENDA GEBER ANWN361:PASTEL BLUE:4:SOLID:SS MIDI DRESS</t>
  </si>
  <si>
    <t>SS MIDI DRESS OVL SALUR BAWAH RENDA GEBER ANWN361:PASTEL BLUE:5:SOLID:SS MIDI DRESS</t>
  </si>
  <si>
    <t>SS MIDI DRESS OVL SALUR BAWAH RENDA GEBER ANWN361:PASTEL BLUE:6:SOLID:SS MIDI DRESS</t>
  </si>
  <si>
    <t>SS MIDI DRESS OVL SALUR BAWAH RENDA GEBER ANWN361:PASTEL BLUE:8:SOLID:SS MIDI DRESS</t>
  </si>
  <si>
    <t>SS MIDI DRESS OVL SALUR BAWAH RENDA GEBER ANWN361:PASTEL BLUE:10:SOLID:SS MIDI DRESS</t>
  </si>
  <si>
    <t>SS MIDI DRESS OVL SALUR BAWAH RENDA GEBER ANWN361:PASTEL BLUE:12:SOLID:SS MIDI DRESS</t>
  </si>
  <si>
    <t>EV2304RV64</t>
  </si>
  <si>
    <t>SS MIDI DRESS DADA BORDIR BUNGA WITH KANTONG RENDA EV2304RV64:KHAKI:4:FLORAL:SS MIDI DRESS</t>
  </si>
  <si>
    <t>SS MIDI DRESS DADA BORDIR BUNGA WITH KANTONG RENDA EV2304RV64:KHAKI:5:FLORAL:SS MIDI DRESS</t>
  </si>
  <si>
    <t>SS MIDI DRESS DADA BORDIR BUNGA WITH KANTONG RENDA EV2304RV64:KHAKI:6:FLORAL:SS MIDI DRESS</t>
  </si>
  <si>
    <t>SS MIDI DRESS DADA BORDIR BUNGA WITH KANTONG RENDA EV2304RV64:KHAKI:8:FLORAL:SS MIDI DRESS</t>
  </si>
  <si>
    <t>SS MIDI DRESS DADA BORDIR BUNGA WITH KANTONG RENDA EV2304RV64:KHAKI:10:FLORAL:SS MIDI DRESS</t>
  </si>
  <si>
    <t>SS MIDI DRESS DADA BORDIR BUNGA WITH KANTONG RENDA EV2304RV64:KHAKI:12:FLORAL:SS MIDI DRESS</t>
  </si>
  <si>
    <t>AGK3917</t>
  </si>
  <si>
    <t>SS MIDI DRESS DOBBY KERAH SCALLOP AGK3917:CORAL:4:SOLID:SS MIDI DRESS</t>
  </si>
  <si>
    <t>SS MIDI DRESS DOBBY KERAH SCALLOP AGK3917:CORAL:5:SOLID:SS MIDI DRESS</t>
  </si>
  <si>
    <t>SS MIDI DRESS DOBBY KERAH SCALLOP AGK3917:CORAL:6:SOLID:SS MIDI DRESS</t>
  </si>
  <si>
    <t>SS MIDI DRESS DOBBY KERAH SCALLOP AGK3917:CORAL:8:SOLID:SS MIDI DRESS</t>
  </si>
  <si>
    <t>SS MIDI DRESS DOBBY KERAH SCALLOP AGK3917:CORAL:10:SOLID:SS MIDI DRESS</t>
  </si>
  <si>
    <t>SS MIDI DRESS DOBBY KERAH SCALLOP AGK3917:CORAL:12:SOLID:SS MIDI DRESS</t>
  </si>
  <si>
    <t>EV2307WN120</t>
  </si>
  <si>
    <t>SS MIDI DRESS COLLAR FLOWER EMBRO WITH BAG LOVE EV2307WN120:PASTEL PINK:4:GRAPHIC:SS MIDI DRESS</t>
  </si>
  <si>
    <t>SS MIDI DRESS COLLAR FLOWER EMBRO WITH BAG LOVE EV2307WN120:PASTEL PINK:5:GRAPHIC:SS MIDI DRESS</t>
  </si>
  <si>
    <t>SS MIDI DRESS COLLAR FLOWER EMBRO WITH BAG LOVE EV2307WN120:PASTEL PINK:6:GRAPHIC:SS MIDI DRESS</t>
  </si>
  <si>
    <t>SS MIDI DRESS COLLAR FLOWER EMBRO WITH BAG LOVE EV2307WN120:PASTEL PINK:8:GRAPHIC:SS MIDI DRESS</t>
  </si>
  <si>
    <t>SS MIDI DRESS COLLAR FLOWER EMBRO WITH BAG LOVE EV2307WN120:PASTEL PINK:10:GRAPHIC:SS MIDI DRESS</t>
  </si>
  <si>
    <t>SS MIDI DRESS COLLAR FLOWER EMBRO WITH BAG LOVE EV2307WN120:PASTEL PINK:12:GRAPHIC:SS MIDI DRESS</t>
  </si>
  <si>
    <t>TSBCAS1</t>
  </si>
  <si>
    <t>LS MIDI DRESS FP CHECKS KECIL KRAH REBAH WITH LACE TSBCAS1:PASTEL PINK:4:STRIPES:LS MIDI DRESS</t>
  </si>
  <si>
    <t>LS MIDI DRESS FP CHECKS KECIL KRAH REBAH WITH LACE TSBCAS1:PASTEL PINK:5:STRIPES:LS MIDI DRESS</t>
  </si>
  <si>
    <t>LS MIDI DRESS FP CHECKS KECIL KRAH REBAH WITH LACE TSBCAS1:PASTEL PINK:6:STRIPES:LS MIDI DRESS</t>
  </si>
  <si>
    <t>LS MIDI DRESS FP CHECKS KECIL KRAH REBAH WITH LACE TSBCAS1:PASTEL PINK:8:STRIPES:LS MIDI DRESS</t>
  </si>
  <si>
    <t>LS MIDI DRESS FP CHECKS KECIL KRAH REBAH WITH LACE TSBCAS1:PASTEL PINK:10:STRIPES:LS MIDI DRESS</t>
  </si>
  <si>
    <t>LS MIDI DRESS FP CHECKS KECIL KRAH REBAH WITH LACE TSBCAS1:PASTEL PINK:12:STRIPES:LS MIDI DRESS</t>
  </si>
  <si>
    <t>TSBCAS7</t>
  </si>
  <si>
    <t>LS MIDI DRESS PLAIN DOBBY DADA GEBER TSBCAS7:DUSTY PINK:4:SOLID:LS MIDI DRESS</t>
  </si>
  <si>
    <t>LS MIDI DRESS PLAIN DOBBY DADA GEBER TSBCAS7:DUSTY PINK:5:SOLID:LS MIDI DRESS</t>
  </si>
  <si>
    <t>LS MIDI DRESS PLAIN DOBBY DADA GEBER TSBCAS7:DUSTY PINK:6:SOLID:LS MIDI DRESS</t>
  </si>
  <si>
    <t>LS MIDI DRESS PLAIN DOBBY DADA GEBER TSBCAS7:DUSTY PINK:8:SOLID:LS MIDI DRESS</t>
  </si>
  <si>
    <t>LS MIDI DRESS PLAIN DOBBY DADA GEBER TSBCAS7:DUSTY PINK:10:SOLID:LS MIDI DRESS</t>
  </si>
  <si>
    <t>LS MIDI DRESS PLAIN DOBBY DADA GEBER TSBCAS7:DUSTY PINK:12:SOLID:LS MIDI DRESS</t>
  </si>
  <si>
    <t>EV2307RV117</t>
  </si>
  <si>
    <t>LS MIDI DRESS VERTICAL EMBRO BODY TANGAN GEBER EV2307RV117:DUSTY PINK:4:GRAPHIC:LS MIDI DRESS</t>
  </si>
  <si>
    <t>LS MIDI DRESS VERTICAL EMBRO BODY TANGAN GEBER EV2307RV117:DUSTY PINK:5:GRAPHIC:LS MIDI DRESS</t>
  </si>
  <si>
    <t>LS MIDI DRESS VERTICAL EMBRO BODY TANGAN GEBER EV2307RV117:DUSTY PINK:6:GRAPHIC:LS MIDI DRESS</t>
  </si>
  <si>
    <t>LS MIDI DRESS VERTICAL EMBRO BODY TANGAN GEBER EV2307RV117:DUSTY PINK:8:GRAPHIC:LS MIDI DRESS</t>
  </si>
  <si>
    <t>LS MIDI DRESS VERTICAL EMBRO BODY TANGAN GEBER EV2307RV117:DUSTY PINK:10:GRAPHIC:LS MIDI DRESS</t>
  </si>
  <si>
    <t>LS MIDI DRESS VERTICAL EMBRO BODY TANGAN GEBER EV2307RV117:DUSTY PINK:12:GRAPHIC:LS MIDI DRESS</t>
  </si>
  <si>
    <t>EV2304RV63</t>
  </si>
  <si>
    <t>EV2307RV114</t>
  </si>
  <si>
    <t>SS MIDI DRESS TANGAN GEBER BAHAN KERUT WITH TAS SERUT EV2304RV63:PASTEL GREEN:4:SOLID:SS MIDI DRESS</t>
  </si>
  <si>
    <t>SS MIDI DRESS TANGAN GEBER BAHAN KERUT WITH TAS SERUT EV2304RV63:PASTEL GREEN:5:SOLID:SS MIDI DRESS</t>
  </si>
  <si>
    <t>SS MIDI DRESS TANGAN GEBER BAHAN KERUT WITH TAS SERUT EV2304RV63:PASTEL GREEN:6:SOLID:SS MIDI DRESS</t>
  </si>
  <si>
    <t>SS MIDI DRESS TANGAN GEBER BAHAN KERUT WITH TAS SERUT EV2304RV63:PASTEL GREEN:8:SOLID:SS MIDI DRESS</t>
  </si>
  <si>
    <t>SS MIDI DRESS TANGAN GEBER BAHAN KERUT WITH TAS SERUT EV2304RV63:PASTEL GREEN:10:SOLID:SS MIDI DRESS</t>
  </si>
  <si>
    <t>SS MIDI DRESS TANGAN GEBER BAHAN KERUT WITH TAS SERUT EV2304RV63:PASTEL GREEN:12:SOLID:SS MIDI DRESS</t>
  </si>
  <si>
    <t>SS MIDI DRESS KRAH BULAT FP KOTAK BORDIR PGG EV2307RV114:PASTEL GREEN:4:CHECKS:SS MIDI DRESS</t>
  </si>
  <si>
    <t>SS MIDI DRESS KRAH BULAT FP KOTAK BORDIR PGG EV2307RV114:PASTEL GREEN:5:CHECKS:SS MIDI DRESS</t>
  </si>
  <si>
    <t>SS MIDI DRESS KRAH BULAT FP KOTAK BORDIR PGG EV2307RV114:PASTEL GREEN:6:CHECKS:SS MIDI DRESS</t>
  </si>
  <si>
    <t>SS MIDI DRESS KRAH BULAT FP KOTAK BORDIR PGG EV2307RV114:PASTEL GREEN:8:CHECKS:SS MIDI DRESS</t>
  </si>
  <si>
    <t>SS MIDI DRESS KRAH BULAT FP KOTAK BORDIR PGG EV2307RV114:PASTEL GREEN:10:CHECKS:SS MIDI DRESS</t>
  </si>
  <si>
    <t>SS MIDI DRESS KRAH BULAT FP KOTAK BORDIR PGG EV2307RV114:PASTEL GREEN:12:CHECKS:SS MIDI DRESS</t>
  </si>
  <si>
    <t>2019 ALL D95</t>
  </si>
  <si>
    <t>AN400</t>
  </si>
  <si>
    <t>AN398</t>
  </si>
  <si>
    <t>AN403</t>
  </si>
  <si>
    <t>AN397</t>
  </si>
  <si>
    <t>AN399</t>
  </si>
  <si>
    <t>AN401</t>
  </si>
  <si>
    <t>SS MIDI DRESS BATIK BUNGA KRAH BORDIR GEBER AN400:PASTEL GREEN:4:PRINT:SS MIDI DRESS</t>
  </si>
  <si>
    <t>SS MIDI DRESS BATIK BUNGA KRAH BORDIR GEBER AN400:PASTEL GREEN:5:PRINT:SS MIDI DRESS</t>
  </si>
  <si>
    <t>SS MIDI DRESS BATIK BUNGA KRAH BORDIR GEBER AN400:PASTEL GREEN:6:PRINT:SS MIDI DRESS</t>
  </si>
  <si>
    <t>SS MIDI DRESS BATIK BUNGA KRAH BORDIR GEBER AN400:PASTEL GREEN:8:PRINT:SS MIDI DRESS</t>
  </si>
  <si>
    <t>SS MIDI DRESS BATIK BUNGA KRAH BORDIR GEBER AN400:PASTEL GREEN:10:PRINT:SS MIDI DRESS</t>
  </si>
  <si>
    <t>SS MIDI DRESS BATIK BUNGA KRAH BORDIR GEBER AN400:PASTEL GREEN:12:PRINT:SS MIDI DRESS</t>
  </si>
  <si>
    <t>SS MIDI DRESS BATIK KAWUNG KRAH BORDIR BGA AN398:PASTEL GREEN:4:PRINT:SS MIDI DRESS</t>
  </si>
  <si>
    <t>SS MIDI DRESS BATIK KAWUNG KRAH BORDIR BGA AN398:PASTEL GREEN:5:PRINT:SS MIDI DRESS</t>
  </si>
  <si>
    <t>SS MIDI DRESS BATIK KAWUNG KRAH BORDIR BGA AN398:PASTEL GREEN:6:PRINT:SS MIDI DRESS</t>
  </si>
  <si>
    <t>SS MIDI DRESS BATIK KAWUNG KRAH BORDIR BGA AN398:PASTEL GREEN:8:PRINT:SS MIDI DRESS</t>
  </si>
  <si>
    <t>SS MIDI DRESS BATIK KAWUNG KRAH BORDIR BGA AN398:PASTEL GREEN:10:PRINT:SS MIDI DRESS</t>
  </si>
  <si>
    <t>SS MIDI DRESS BATIK KAWUNG KRAH BORDIR BGA AN398:PASTEL GREEN:12:PRINT:SS MIDI DRESS</t>
  </si>
  <si>
    <t>SS MIDI DRESS BATIK BOLERO BORDIR BGA AN403:OFF WHITE:4:PRINT:SS MIDI DRESS</t>
  </si>
  <si>
    <t>SS MIDI DRESS BATIK BOLERO BORDIR BGA AN403:OFF WHITE:5:PRINT:SS MIDI DRESS</t>
  </si>
  <si>
    <t>SS MIDI DRESS BATIK BOLERO BORDIR BGA AN403:OFF WHITE:6:PRINT:SS MIDI DRESS</t>
  </si>
  <si>
    <t>SS MIDI DRESS BATIK BOLERO BORDIR BGA AN403:OFF WHITE:8:PRINT:SS MIDI DRESS</t>
  </si>
  <si>
    <t>SS MIDI DRESS BATIK BOLERO BORDIR BGA AN403:OFF WHITE:10:PRINT:SS MIDI DRESS</t>
  </si>
  <si>
    <t>SS MIDI DRESS BATIK BOLERO BORDIR BGA AN403:OFF WHITE:12:PRINT:SS MIDI DRESS</t>
  </si>
  <si>
    <t>SS MIDI DRESS BATIK KERAMIK KERAH KEMEJA POLOS AN397:PASTEL BLUE:4:PRINT:SS MIDI DRESS</t>
  </si>
  <si>
    <t>SS MIDI DRESS BATIK KERAMIK KERAH KEMEJA POLOS AN397:PASTEL BLUE:5:PRINT:SS MIDI DRESS</t>
  </si>
  <si>
    <t>SS MIDI DRESS BATIK KERAMIK KERAH KEMEJA POLOS AN397:PASTEL BLUE:6:PRINT:SS MIDI DRESS</t>
  </si>
  <si>
    <t>SS MIDI DRESS BATIK KERAMIK KERAH KEMEJA POLOS AN397:PASTEL BLUE:8:PRINT:SS MIDI DRESS</t>
  </si>
  <si>
    <t>SS MIDI DRESS BATIK KERAMIK KERAH KEMEJA POLOS AN397:PASTEL BLUE:10:PRINT:SS MIDI DRESS</t>
  </si>
  <si>
    <t>SS MIDI DRESS BATIK KERAMIK KERAH KEMEJA POLOS AN397:PASTEL BLUE:12:PRINT:SS MIDI DRESS</t>
  </si>
  <si>
    <t>SS MIDI DRESS BATIK BUNGA KRAH BORDIR BGA AN399:CLASSIC RED:4:PRINT:SS MIDI DRESS</t>
  </si>
  <si>
    <t>SS MIDI DRESS BATIK BUNGA KRAH BORDIR BGA AN399:CLASSIC RED:5:PRINT:SS MIDI DRESS</t>
  </si>
  <si>
    <t>SS MIDI DRESS BATIK BUNGA KRAH BORDIR BGA AN399:CLASSIC RED:6:PRINT:SS MIDI DRESS</t>
  </si>
  <si>
    <t>SS MIDI DRESS BATIK BUNGA KRAH BORDIR BGA AN399:CLASSIC RED:8:PRINT:SS MIDI DRESS</t>
  </si>
  <si>
    <t>SS MIDI DRESS BATIK BUNGA KRAH BORDIR BGA AN399:CLASSIC RED:10:PRINT:SS MIDI DRESS</t>
  </si>
  <si>
    <t>SS MIDI DRESS BATIK BUNGA KRAH BORDIR BGA AN399:CLASSIC RED:12:PRINT:SS MIDI DRESS</t>
  </si>
  <si>
    <t>SS MIDI DRESS BATIK KERAMIK TGN GEMBUNG BWH GEBER AN401:PASTEL BLUE:4:PRINT:SS MIDI DRESS</t>
  </si>
  <si>
    <t>SS MIDI DRESS BATIK KERAMIK TGN GEMBUNG BWH GEBER AN401:PASTEL BLUE:5:PRINT:SS MIDI DRESS</t>
  </si>
  <si>
    <t>SS MIDI DRESS BATIK KERAMIK TGN GEMBUNG BWH GEBER AN401:PASTEL BLUE:6:PRINT:SS MIDI DRESS</t>
  </si>
  <si>
    <t>SS MIDI DRESS BATIK KERAMIK TGN GEMBUNG BWH GEBER AN401:PASTEL BLUE:8:PRINT:SS MIDI DRESS</t>
  </si>
  <si>
    <t>SS MIDI DRESS BATIK KERAMIK TGN GEMBUNG BWH GEBER AN401:PASTEL BLUE:10:PRINT:SS MIDI DRESS</t>
  </si>
  <si>
    <t>SS MIDI DRESS BATIK KERAMIK TGN GEMBUNG BWH GEBER AN401:PASTEL BLUE:12:PRINT:SS MIDI DRESS</t>
  </si>
  <si>
    <t>ANWN341</t>
  </si>
  <si>
    <t>AN363</t>
  </si>
  <si>
    <t>EV2307RV121</t>
  </si>
  <si>
    <t>SMHJ01</t>
  </si>
  <si>
    <t>JMD01</t>
  </si>
  <si>
    <t>SMHJ02</t>
  </si>
  <si>
    <t>AN356</t>
  </si>
  <si>
    <t>SS MIDI DRESS OVL KERAH LACE BORDIR KANCING DEPAN ANWN341:MUSTARD:4:SOLID:SS MIDI DRESS</t>
  </si>
  <si>
    <t>SS MIDI DRESS OVL KERAH LACE BORDIR KANCING DEPAN ANWN341:MUSTARD:5:SOLID:SS MIDI DRESS</t>
  </si>
  <si>
    <t>SS MIDI DRESS OVL KERAH LACE BORDIR KANCING DEPAN ANWN341:MUSTARD:6:SOLID:SS MIDI DRESS</t>
  </si>
  <si>
    <t>SS MIDI DRESS OVL KERAH LACE BORDIR KANCING DEPAN ANWN341:MUSTARD:8:SOLID:SS MIDI DRESS</t>
  </si>
  <si>
    <t>SS MIDI DRESS OVL KERAH LACE BORDIR KANCING DEPAN ANWN341:MUSTARD:10:SOLID:SS MIDI DRESS</t>
  </si>
  <si>
    <t>SS MIDI DRESS OVL KERAH LACE BORDIR KANCING DEPAN ANWN341:MUSTARD:12:SOLID:SS MIDI DRESS</t>
  </si>
  <si>
    <t>SS MIDI DRESS OVL PITA TANGAN BALON AN363:KHAKI:4:PRINT:SS MIDI DRESS</t>
  </si>
  <si>
    <t>SS MIDI DRESS OVL PITA TANGAN BALON AN363:KHAKI:5:PRINT:SS MIDI DRESS</t>
  </si>
  <si>
    <t>SS MIDI DRESS OVL PITA TANGAN BALON AN363:KHAKI:6:PRINT:SS MIDI DRESS</t>
  </si>
  <si>
    <t>SS MIDI DRESS OVL PITA TANGAN BALON AN363:KHAKI:8:PRINT:SS MIDI DRESS</t>
  </si>
  <si>
    <t>SS MIDI DRESS OVL PITA TANGAN BALON AN363:KHAKI:10:PRINT:SS MIDI DRESS</t>
  </si>
  <si>
    <t>SS MIDI DRESS OVL PITA TANGAN BALON AN363:KHAKI:12:PRINT:SS MIDI DRESS</t>
  </si>
  <si>
    <t>SS MIDI DRESS KRAH BORDIR KERUT PINGGANG EV2307RV121:PASTEL YELLOW:4:CHECKS:SS MIDI DRESS</t>
  </si>
  <si>
    <t>SS MIDI DRESS KRAH BORDIR KERUT PINGGANG EV2307RV121:PASTEL YELLOW:5:CHECKS:SS MIDI DRESS</t>
  </si>
  <si>
    <t>SS MIDI DRESS KRAH BORDIR KERUT PINGGANG EV2307RV121:PASTEL YELLOW:6:CHECKS:SS MIDI DRESS</t>
  </si>
  <si>
    <t>SS MIDI DRESS KRAH BORDIR KERUT PINGGANG EV2307RV121:PASTEL YELLOW:8:CHECKS:SS MIDI DRESS</t>
  </si>
  <si>
    <t>SS MIDI DRESS KRAH BORDIR KERUT PINGGANG EV2307RV121:PASTEL YELLOW:10:CHECKS:SS MIDI DRESS</t>
  </si>
  <si>
    <t>SS MIDI DRESS KRAH BORDIR KERUT PINGGANG EV2307RV121:PASTEL YELLOW:12:CHECKS:SS MIDI DRESS</t>
  </si>
  <si>
    <t>SS MIDI DRESS CASUAL ROMPI SMHJ01:PASTEL BLUE:4:PRINT:SS MIDI DRESS</t>
  </si>
  <si>
    <t>SS MIDI DRESS CASUAL ROMPI SMHJ01:PASTEL BLUE:5:PRINT:SS MIDI DRESS</t>
  </si>
  <si>
    <t>SS MIDI DRESS CASUAL ROMPI SMHJ01:PASTEL BLUE:6:PRINT:SS MIDI DRESS</t>
  </si>
  <si>
    <t>SS MIDI DRESS CASUAL ROMPI SMHJ01:PASTEL BLUE:8:PRINT:SS MIDI DRESS</t>
  </si>
  <si>
    <t>SS MIDI DRESS CASUAL ROMPI SMHJ01:PASTEL BLUE:10:PRINT:SS MIDI DRESS</t>
  </si>
  <si>
    <t>SS MIDI DRESS CASUAL ROMPI SMHJ01:PASTEL BLUE:12:PRINT:SS MIDI DRESS</t>
  </si>
  <si>
    <t>SS MIDI DRESS CASUAL SMOCK BORDIR JMD01:PASTEL BLUE:4:PRINT:SS MIDI DRESS</t>
  </si>
  <si>
    <t>SS MIDI DRESS CASUAL SMOCK BORDIR JMD01:PASTEL BLUE:5:PRINT:SS MIDI DRESS</t>
  </si>
  <si>
    <t>SS MIDI DRESS CASUAL SMOCK BORDIR JMD01:PASTEL BLUE:6:PRINT:SS MIDI DRESS</t>
  </si>
  <si>
    <t>SS MIDI DRESS CASUAL SMOCK BORDIR JMD01:PASTEL BLUE:8:PRINT:SS MIDI DRESS</t>
  </si>
  <si>
    <t>SS MIDI DRESS CASUAL SMOCK BORDIR JMD01:PASTEL BLUE:10:PRINT:SS MIDI DRESS</t>
  </si>
  <si>
    <t>SS MIDI DRESS CASUAL SMOCK BORDIR JMD01:PASTEL BLUE:12:PRINT:SS MIDI DRESS</t>
  </si>
  <si>
    <t>SS MIDI DRESS CASUAL TAS STRIPE CAT SMHJ02:PASTEL BLUE:4:STRIPES:SS MIDI DRESS</t>
  </si>
  <si>
    <t>SS MIDI DRESS CASUAL TAS STRIPE CAT SMHJ02:PASTEL BLUE:5:STRIPES:SS MIDI DRESS</t>
  </si>
  <si>
    <t>SS MIDI DRESS CASUAL TAS STRIPE CAT SMHJ02:PASTEL BLUE:6:STRIPES:SS MIDI DRESS</t>
  </si>
  <si>
    <t>SS MIDI DRESS CASUAL TAS STRIPE CAT SMHJ02:PASTEL BLUE:8:STRIPES:SS MIDI DRESS</t>
  </si>
  <si>
    <t>SS MIDI DRESS CASUAL TAS STRIPE CAT SMHJ02:PASTEL BLUE:10:STRIPES:SS MIDI DRESS</t>
  </si>
  <si>
    <t>SS MIDI DRESS CASUAL TAS STRIPE CAT SMHJ02:PASTEL BLUE:12:STRIPES:SS MIDI DRESS</t>
  </si>
  <si>
    <t>LS MIDI DRESS FP BGA LEHER KERUT ROK LAPIS TILE AN356:PASTEL PINK:4:FLORAL:LS MIDI DRESS</t>
  </si>
  <si>
    <t>LS MIDI DRESS FP BGA LEHER KERUT ROK LAPIS TILE AN356:PASTEL PINK:5:FLORAL:LS MIDI DRESS</t>
  </si>
  <si>
    <t>LS MIDI DRESS FP BGA LEHER KERUT ROK LAPIS TILE AN356:PASTEL PINK:6:FLORAL:LS MIDI DRESS</t>
  </si>
  <si>
    <t>LS MIDI DRESS FP BGA LEHER KERUT ROK LAPIS TILE AN356:PASTEL PINK:8:FLORAL:LS MIDI DRESS</t>
  </si>
  <si>
    <t>LS MIDI DRESS FP BGA LEHER KERUT ROK LAPIS TILE AN356:PASTEL PINK:10:FLORAL:LS MIDI DRESS</t>
  </si>
  <si>
    <t>LS MIDI DRESS FP BGA LEHER KERUT ROK LAPIS TILE AN356:PASTEL PINK:12:FLORAL:LS MIDI DRESS</t>
  </si>
  <si>
    <t>SS MIDI DRESS BALON FP BUNGA SMAS01:PASTEL PINK:4:FLORAL:SS MIDI DRESS</t>
  </si>
  <si>
    <t>SS MIDI DRESS BALON FP BUNGA SMAS01:PASTEL PINK:5:FLORAL:SS MIDI DRESS</t>
  </si>
  <si>
    <t>SS MIDI DRESS BALON FP BUNGA SMAS01:PASTEL PINK:6:FLORAL:SS MIDI DRESS</t>
  </si>
  <si>
    <t>SS MIDI DRESS BALON FP BUNGA SMAS01:PASTEL PINK:8:FLORAL:SS MIDI DRESS</t>
  </si>
  <si>
    <t>SS MIDI DRESS BALON FP BUNGA SMAS01:PASTEL PINK:10:FLORAL:SS MIDI DRESS</t>
  </si>
  <si>
    <t>SS MIDI DRESS BALON FP BUNGA SMAS01:PASTEL PINK:12:FLORAL:SS MIDI DRESS</t>
  </si>
  <si>
    <t>SS MIDI DRESS BALON SLEEVES OVL BORDIR KUCING PITA EV2307RV113:KHAKI:4:GRAPHIC:SS MIDI DRESS</t>
  </si>
  <si>
    <t>SS MIDI DRESS BALON SLEEVES OVL BORDIR KUCING PITA EV2307RV113:KHAKI:5:GRAPHIC:SS MIDI DRESS</t>
  </si>
  <si>
    <t>SS MIDI DRESS BALON SLEEVES OVL BORDIR KUCING PITA EV2307RV113:KHAKI:6:GRAPHIC:SS MIDI DRESS</t>
  </si>
  <si>
    <t>SS MIDI DRESS BALON SLEEVES OVL BORDIR KUCING PITA EV2307RV113:KHAKI:8:GRAPHIC:SS MIDI DRESS</t>
  </si>
  <si>
    <t>SS MIDI DRESS BALON SLEEVES OVL BORDIR KUCING PITA EV2307RV113:KHAKI:10:GRAPHIC:SS MIDI DRESS</t>
  </si>
  <si>
    <t>SS MIDI DRESS BALON SLEEVES OVL BORDIR KUCING PITA EV2307RV113:KHAKI:12:GRAPHIC:SS MIDI DRESS</t>
  </si>
  <si>
    <t>SS MIDI DRESS ROMPI KOTAK KECIL SMHJ05:WOOD BROWN:4:CHECKS:SS MIDI DRESS</t>
  </si>
  <si>
    <t>SS MIDI DRESS ROMPI KOTAK KECIL SMHJ05:WOOD BROWN:5:CHECKS:SS MIDI DRESS</t>
  </si>
  <si>
    <t>SS MIDI DRESS ROMPI KOTAK KECIL SMHJ05:WOOD BROWN:6:CHECKS:SS MIDI DRESS</t>
  </si>
  <si>
    <t>SS MIDI DRESS ROMPI KOTAK KECIL SMHJ05:WOOD BROWN:8:CHECKS:SS MIDI DRESS</t>
  </si>
  <si>
    <t>SS MIDI DRESS ROMPI KOTAK KECIL SMHJ05:WOOD BROWN:10:CHECKS:SS MIDI DRESS</t>
  </si>
  <si>
    <t>SS MIDI DRESS ROMPI KOTAK KECIL SMHJ05:WOOD BROWN:12:CHECKS:SS MIDI DRESS</t>
  </si>
  <si>
    <t>SMAS01</t>
  </si>
  <si>
    <t>EV2307RV113</t>
  </si>
  <si>
    <t>SMHJ05</t>
  </si>
  <si>
    <t>TSBCAS8</t>
  </si>
  <si>
    <t>TSBCAS6</t>
  </si>
  <si>
    <t>EV2307RV115</t>
  </si>
  <si>
    <t>SMHJ03</t>
  </si>
  <si>
    <t>SMAS02</t>
  </si>
  <si>
    <t>LS MIDI DRESS PLAIN DOBBY DADA GEBER TSBCAS8:CORAL:4:SOLID:LS MIDI DRESS</t>
  </si>
  <si>
    <t>LS MIDI DRESS PLAIN DOBBY DADA GEBER TSBCAS8:CORAL:5:SOLID:LS MIDI DRESS</t>
  </si>
  <si>
    <t>LS MIDI DRESS PLAIN DOBBY DADA GEBER TSBCAS8:CORAL:6:SOLID:LS MIDI DRESS</t>
  </si>
  <si>
    <t>LS MIDI DRESS PLAIN DOBBY DADA GEBER TSBCAS8:CORAL:8:SOLID:LS MIDI DRESS</t>
  </si>
  <si>
    <t>LS MIDI DRESS PLAIN DOBBY DADA GEBER TSBCAS8:CORAL:10:SOLID:LS MIDI DRESS</t>
  </si>
  <si>
    <t>LS MIDI DRESS PLAIN DOBBY DADA GEBER TSBCAS8:CORAL:12:SOLID:LS MIDI DRESS</t>
  </si>
  <si>
    <t>LS MIDI DRESS FP BUNGA DAUN BABY DOLL DADA GEBER TSBCAS6:PASTEL GREEN:4:FLORAL:LS MIDI DRESS</t>
  </si>
  <si>
    <t>LS MIDI DRESS FP BUNGA DAUN BABY DOLL DADA GEBER TSBCAS6:PASTEL GREEN:5:FLORAL:LS MIDI DRESS</t>
  </si>
  <si>
    <t>LS MIDI DRESS FP BUNGA DAUN BABY DOLL DADA GEBER TSBCAS6:PASTEL GREEN:6:FLORAL:LS MIDI DRESS</t>
  </si>
  <si>
    <t>LS MIDI DRESS FP BUNGA DAUN BABY DOLL DADA GEBER TSBCAS6:PASTEL GREEN:8:FLORAL:LS MIDI DRESS</t>
  </si>
  <si>
    <t>LS MIDI DRESS FP BUNGA DAUN BABY DOLL DADA GEBER TSBCAS6:PASTEL GREEN:10:FLORAL:LS MIDI DRESS</t>
  </si>
  <si>
    <t>LS MIDI DRESS FP BUNGA DAUN BABY DOLL DADA GEBER TSBCAS6:PASTEL GREEN:12:FLORAL:LS MIDI DRESS</t>
  </si>
  <si>
    <t>SS MIDI DRESS FP CHECKED TANGAN PITA BORDIR CAT POM EV2307RV115:RUSTIC BROWN:4:CHECKS:SS MIDI DRESS</t>
  </si>
  <si>
    <t>SS MIDI DRESS FP CHECKED TANGAN PITA BORDIR CAT POM EV2307RV115:RUSTIC BROWN:5:CHECKS:SS MIDI DRESS</t>
  </si>
  <si>
    <t>SS MIDI DRESS FP CHECKED TANGAN PITA BORDIR CAT POM EV2307RV115:RUSTIC BROWN:6:CHECKS:SS MIDI DRESS</t>
  </si>
  <si>
    <t>SS MIDI DRESS FP CHECKED TANGAN PITA BORDIR CAT POM EV2307RV115:RUSTIC BROWN:8:CHECKS:SS MIDI DRESS</t>
  </si>
  <si>
    <t>SS MIDI DRESS FP CHECKED TANGAN PITA BORDIR CAT POM EV2307RV115:RUSTIC BROWN:10:CHECKS:SS MIDI DRESS</t>
  </si>
  <si>
    <t>SS MIDI DRESS FP CHECKED TANGAN PITA BORDIR CAT POM EV2307RV115:RUSTIC BROWN:12:CHECKS:SS MIDI DRESS</t>
  </si>
  <si>
    <t>SS MIDI DRESS CASUAL TAS STRIPE BEAR SMHJ03:RUSTIC BROWN:4:STRIPES:SS MIDI DRESS</t>
  </si>
  <si>
    <t>SS MIDI DRESS CASUAL TAS STRIPE BEAR SMHJ03:RUSTIC BROWN:5:STRIPES:SS MIDI DRESS</t>
  </si>
  <si>
    <t>SS MIDI DRESS CASUAL TAS STRIPE BEAR SMHJ03:RUSTIC BROWN:6:STRIPES:SS MIDI DRESS</t>
  </si>
  <si>
    <t>SS MIDI DRESS CASUAL TAS STRIPE BEAR SMHJ03:RUSTIC BROWN:8:STRIPES:SS MIDI DRESS</t>
  </si>
  <si>
    <t>SS MIDI DRESS CASUAL TAS STRIPE BEAR SMHJ03:RUSTIC BROWN:10:STRIPES:SS MIDI DRESS</t>
  </si>
  <si>
    <t>SS MIDI DRESS CASUAL TAS STRIPE BEAR SMHJ03:RUSTIC BROWN:12:STRIPES:SS MIDI DRESS</t>
  </si>
  <si>
    <t>SS MIDI DRESS CASUAL FP BUNGA SAKURA SMAS02:ASSORTIVE COLOR:4:FLORAL:SS MIDI DRESS</t>
  </si>
  <si>
    <t>SS MIDI DRESS CASUAL FP BUNGA SAKURA SMAS02:ASSORTIVE COLOR:5:FLORAL:SS MIDI DRESS</t>
  </si>
  <si>
    <t>SS MIDI DRESS CASUAL FP BUNGA SAKURA SMAS02:ASSORTIVE COLOR:6:FLORAL:SS MIDI DRESS</t>
  </si>
  <si>
    <t>SS MIDI DRESS CASUAL FP BUNGA SAKURA SMAS02:ASSORTIVE COLOR:8:FLORAL:SS MIDI DRESS</t>
  </si>
  <si>
    <t>SS MIDI DRESS CASUAL FP BUNGA SAKURA SMAS02:ASSORTIVE COLOR:10:FLORAL:SS MIDI DRESS</t>
  </si>
  <si>
    <t>SS MIDI DRESS CASUAL FP BUNGA SAKURA SMAS02:ASSORTIVE COLOR:12:FLORAL:SS MIDI DRESS</t>
  </si>
  <si>
    <t>SMAL07</t>
  </si>
  <si>
    <t>SMAL09</t>
  </si>
  <si>
    <t>SMAL11</t>
  </si>
  <si>
    <t>TP02</t>
  </si>
  <si>
    <t>SMMAS03</t>
  </si>
  <si>
    <t>SMMAS01</t>
  </si>
  <si>
    <t>SMMAS04</t>
  </si>
  <si>
    <t>SMMAS06</t>
  </si>
  <si>
    <t>LS MAXI DRESS LEB PARTY SEQUIN BUNGA SMAL07:OFF WHITE:4:TEXTURE:LS MAXI DRESS</t>
  </si>
  <si>
    <t>LS MAXI DRESS LEB PARTY SEQUIN BUNGA SMAL07:OFF WHITE:6:TEXTURE:LS MAXI DRESS</t>
  </si>
  <si>
    <t>LS MAXI DRESS LEB PARTY SEQUIN BUNGA SMAL07:OFF WHITE:8:TEXTURE:LS MAXI DRESS</t>
  </si>
  <si>
    <t>LS MAXI DRESS LEB PARTY SEQUIN BUNGA SMAL07:OFF WHITE:10:TEXTURE:LS MAXI DRESS</t>
  </si>
  <si>
    <t>LS MAXI DRESS LEB PARTY SEQUIN BUNGA SMAL07:OFF WHITE:12:TEXTURE:LS MAXI DRESS</t>
  </si>
  <si>
    <t>LS MAXI DRESS LEB PARTY SEQUIN BUNGA SMAL07:OFF WHITE:14:TEXTURE:LS MAXI DRESS</t>
  </si>
  <si>
    <t>LS MAXI DRESS LEB PARTY PITA SMAL09:PASTEL PINK:4:TEXTURE:LS MAXI DRESS</t>
  </si>
  <si>
    <t>LS MAXI DRESS LEB PARTY PITA SMAL09:PASTEL PINK:6:TEXTURE:LS MAXI DRESS</t>
  </si>
  <si>
    <t>LS MAXI DRESS LEB PARTY PITA SMAL09:PASTEL PINK:8:TEXTURE:LS MAXI DRESS</t>
  </si>
  <si>
    <t>LS MAXI DRESS LEB PARTY PITA SMAL09:PASTEL PINK:10:TEXTURE:LS MAXI DRESS</t>
  </si>
  <si>
    <t>LS MAXI DRESS LEB PARTY PITA SMAL09:PASTEL PINK:12:TEXTURE:LS MAXI DRESS</t>
  </si>
  <si>
    <t>LS MAXI DRESS LEB PARTY PITA SMAL09:PASTEL PINK:14:TEXTURE:LS MAXI DRESS</t>
  </si>
  <si>
    <t>LS MAXI DRESS LEB PARTY KOMBINASI BUNGA SMAL11:OFF WHITE:4:GRAPHIC:LS MAXI DRESS</t>
  </si>
  <si>
    <t>LS MAXI DRESS LEB PARTY KOMBINASI BUNGA SMAL11:OFF WHITE:6:GRAPHIC:LS MAXI DRESS</t>
  </si>
  <si>
    <t>LS MAXI DRESS LEB PARTY KOMBINASI BUNGA SMAL11:OFF WHITE:8:GRAPHIC:LS MAXI DRESS</t>
  </si>
  <si>
    <t>LS MAXI DRESS LEB PARTY KOMBINASI BUNGA SMAL11:OFF WHITE:10:GRAPHIC:LS MAXI DRESS</t>
  </si>
  <si>
    <t>LS MAXI DRESS LEB PARTY KOMBINASI BUNGA SMAL11:OFF WHITE:12:GRAPHIC:LS MAXI DRESS</t>
  </si>
  <si>
    <t>LS MAXI DRESS LEB PARTY KOMBINASI BUNGA SMAL11:OFF WHITE:14:GRAPHIC:LS MAXI DRESS</t>
  </si>
  <si>
    <t>LS MIDI DRESS MODEST FP BUNGA BABYDOLL TP02:PASTEL BLUE:4:FLORAL:LS MIDI DRESS</t>
  </si>
  <si>
    <t>LS MIDI DRESS MODEST FP BUNGA BABYDOLL TP02:PASTEL BLUE:6:FLORAL:LS MIDI DRESS</t>
  </si>
  <si>
    <t>LS MIDI DRESS MODEST FP BUNGA BABYDOLL TP02:PASTEL BLUE:8:FLORAL:LS MIDI DRESS</t>
  </si>
  <si>
    <t>LS MIDI DRESS MODEST FP BUNGA BABYDOLL TP02:PASTEL BLUE:10:FLORAL:LS MIDI DRESS</t>
  </si>
  <si>
    <t>LS MIDI DRESS MODEST FP BUNGA BABYDOLL TP02:PASTEL BLUE:12:FLORAL:LS MIDI DRESS</t>
  </si>
  <si>
    <t>LS MIDI DRESS MODEST FP BUNGA BABYDOLL TP02:PASTEL BLUE:14:FLORAL:LS MIDI DRESS</t>
  </si>
  <si>
    <t>LS MAXI DRESS MODEST RUFFLE SMMAS03:PASTEL BLUE:4:SOLID:LS MAXI DRESS</t>
  </si>
  <si>
    <t>LS MAXI DRESS MODEST RUFFLE SMMAS03:PASTEL BLUE:6:SOLID:LS MAXI DRESS</t>
  </si>
  <si>
    <t>LS MAXI DRESS MODEST RUFFLE SMMAS03:PASTEL BLUE:8:SOLID:LS MAXI DRESS</t>
  </si>
  <si>
    <t>LS MAXI DRESS MODEST RUFFLE SMMAS03:PASTEL BLUE:10:SOLID:LS MAXI DRESS</t>
  </si>
  <si>
    <t>LS MAXI DRESS MODEST RUFFLE SMMAS03:PASTEL BLUE:12:SOLID:LS MAXI DRESS</t>
  </si>
  <si>
    <t>LS MAXI DRESS MODEST RUFFLE SMMAS03:PASTEL BLUE:14:SOLID:LS MAXI DRESS</t>
  </si>
  <si>
    <t>LS MAXI DRESS MODEST FAKE 2PCS KRAH BORDIR HATI SMMAS01:CORAL:4:GRAPHIC:LS MAXI DRESS</t>
  </si>
  <si>
    <t>LS MAXI DRESS MODEST FAKE 2PCS KRAH BORDIR HATI SMMAS01:CORAL:6:GRAPHIC:LS MAXI DRESS</t>
  </si>
  <si>
    <t>LS MAXI DRESS MODEST FAKE 2PCS KRAH BORDIR HATI SMMAS01:CORAL:8:GRAPHIC:LS MAXI DRESS</t>
  </si>
  <si>
    <t>LS MAXI DRESS MODEST FAKE 2PCS KRAH BORDIR HATI SMMAS01:CORAL:10:GRAPHIC:LS MAXI DRESS</t>
  </si>
  <si>
    <t>LS MAXI DRESS MODEST FAKE 2PCS KRAH BORDIR HATI SMMAS01:CORAL:12:GRAPHIC:LS MAXI DRESS</t>
  </si>
  <si>
    <t>LS MAXI DRESS MODEST FAKE 2PCS KRAH BORDIR HATI SMMAS01:CORAL:14:GRAPHIC:LS MAXI DRESS</t>
  </si>
  <si>
    <t>LS MAXI DRESS TWINNING TEKSTUR SHINNY SMMAS04:KHAKI:4:GRAPHIC:LS MAXI DRESS</t>
  </si>
  <si>
    <t>LS MAXI DRESS TWINNING TEKSTUR SHINNY SMMAS04:KHAKI:6:GRAPHIC:LS MAXI DRESS</t>
  </si>
  <si>
    <t>LS MAXI DRESS TWINNING TEKSTUR SHINNY SMMAS04:KHAKI:8:GRAPHIC:LS MAXI DRESS</t>
  </si>
  <si>
    <t>LS MAXI DRESS TWINNING TEKSTUR SHINNY SMMAS04:KHAKI:10:GRAPHIC:LS MAXI DRESS</t>
  </si>
  <si>
    <t>LS MAXI DRESS TWINNING TEKSTUR SHINNY SMMAS04:KHAKI:12:GRAPHIC:LS MAXI DRESS</t>
  </si>
  <si>
    <t>LS MAXI DRESS TWINNING TEKSTUR SHINNY SMMAS04:KHAKI:14:GRAPHIC:LS MAXI DRESS</t>
  </si>
  <si>
    <t>LS MAXI DRESS TWINNING EMBRO VEST ETNIC SMMAS06:GOLD:4:PRINT:LS MAXI DRESS</t>
  </si>
  <si>
    <t>LS MAXI DRESS TWINNING EMBRO VEST ETNIC SMMAS06:GOLD:6:PRINT:LS MAXI DRESS</t>
  </si>
  <si>
    <t>LS MAXI DRESS TWINNING EMBRO VEST ETNIC SMMAS06:GOLD:8:PRINT:LS MAXI DRESS</t>
  </si>
  <si>
    <t>LS MAXI DRESS TWINNING EMBRO VEST ETNIC SMMAS06:GOLD:10:PRINT:LS MAXI DRESS</t>
  </si>
  <si>
    <t>LS MAXI DRESS TWINNING EMBRO VEST ETNIC SMMAS06:GOLD:12:PRINT:LS MAXI DRESS</t>
  </si>
  <si>
    <t>LS MAXI DRESS TWINNING EMBRO VEST ETNIC SMMAS06:GOLD:14:PRINT:LS MAXI DRESS</t>
  </si>
  <si>
    <t>SMAL14</t>
  </si>
  <si>
    <t>SMAL01</t>
  </si>
  <si>
    <t>SMAL06</t>
  </si>
  <si>
    <t>SMAL04</t>
  </si>
  <si>
    <t>AG3882</t>
  </si>
  <si>
    <t>SMAL02</t>
  </si>
  <si>
    <t>SMAL05</t>
  </si>
  <si>
    <t>SMAL03</t>
  </si>
  <si>
    <t>SMAL16</t>
  </si>
  <si>
    <t>SS MIDI DRESS PARTY LACE KERAH SMAL14:NAVY BLUE:4:SOLID:SS MIDI DRESS</t>
  </si>
  <si>
    <t>SS MIDI DRESS PARTY LACE KERAH SMAL14:NAVY BLUE:5:SOLID:SS MIDI DRESS</t>
  </si>
  <si>
    <t>SS MIDI DRESS PARTY LACE KERAH SMAL14:NAVY BLUE:6:SOLID:SS MIDI DRESS</t>
  </si>
  <si>
    <t>SS MIDI DRESS PARTY LACE KERAH SMAL14:NAVY BLUE:8:SOLID:SS MIDI DRESS</t>
  </si>
  <si>
    <t>SS MIDI DRESS PARTY LACE KERAH SMAL14:NAVY BLUE:10:SOLID:SS MIDI DRESS</t>
  </si>
  <si>
    <t>SS MIDI DRESS PARTY LACE KERAH SMAL14:NAVY BLUE:12:SOLID:SS MIDI DRESS</t>
  </si>
  <si>
    <t>SS MIDI DRESS LACE EMBRO SMAL01:TURQOUISE:4:SOLID:SS MIDI DRESS</t>
  </si>
  <si>
    <t>SS MIDI DRESS LACE EMBRO SMAL01:TURQOUISE:5:SOLID:SS MIDI DRESS</t>
  </si>
  <si>
    <t>SS MIDI DRESS LACE EMBRO SMAL01:TURQOUISE:6:SOLID:SS MIDI DRESS</t>
  </si>
  <si>
    <t>SS MIDI DRESS LACE EMBRO SMAL01:TURQOUISE:8:SOLID:SS MIDI DRESS</t>
  </si>
  <si>
    <t>SS MIDI DRESS LACE EMBRO SMAL01:TURQOUISE:10:SOLID:SS MIDI DRESS</t>
  </si>
  <si>
    <t>SS MIDI DRESS LACE EMBRO SMAL01:TURQOUISE:12:SOLID:SS MIDI DRESS</t>
  </si>
  <si>
    <t>SS MIDI DRESS UNICORN PATCH W BUNGA SMAL06:PASTEL PINK:4:GRAPHIC:SS MIDI DRESS</t>
  </si>
  <si>
    <t>SS MIDI DRESS UNICORN PATCH W BUNGA SMAL06:PASTEL PINK:5:GRAPHIC:SS MIDI DRESS</t>
  </si>
  <si>
    <t>SS MIDI DRESS UNICORN PATCH W BUNGA SMAL06:PASTEL PINK:6:GRAPHIC:SS MIDI DRESS</t>
  </si>
  <si>
    <t>SS MIDI DRESS UNICORN PATCH W BUNGA SMAL06:PASTEL PINK:8:GRAPHIC:SS MIDI DRESS</t>
  </si>
  <si>
    <t>SS MIDI DRESS UNICORN PATCH W BUNGA SMAL06:PASTEL PINK:10:GRAPHIC:SS MIDI DRESS</t>
  </si>
  <si>
    <t>SS MIDI DRESS UNICORN PATCH W BUNGA SMAL06:PASTEL PINK:12:GRAPHIC:SS MIDI DRESS</t>
  </si>
  <si>
    <t>SS MIDI DRESS ICON UNICORN SMAL04:OFF WHITE:4:GRAPHIC:SS MIDI DRESS</t>
  </si>
  <si>
    <t>SS MIDI DRESS ICON UNICORN SMAL04:OFF WHITE:5:GRAPHIC:SS MIDI DRESS</t>
  </si>
  <si>
    <t>SS MIDI DRESS ICON UNICORN SMAL04:OFF WHITE:6:GRAPHIC:SS MIDI DRESS</t>
  </si>
  <si>
    <t>SS MIDI DRESS ICON UNICORN SMAL04:OFF WHITE:8:GRAPHIC:SS MIDI DRESS</t>
  </si>
  <si>
    <t>SS MIDI DRESS ICON UNICORN SMAL04:OFF WHITE:10:GRAPHIC:SS MIDI DRESS</t>
  </si>
  <si>
    <t>SS MIDI DRESS ICON UNICORN SMAL04:OFF WHITE:12:GRAPHIC:SS MIDI DRESS</t>
  </si>
  <si>
    <t>SS MIDI DRESS PEPLUM BROKAT TGN BALON BAWAH TILE AG3882:SALMON:4:SOLID:SS MIDI DRESS</t>
  </si>
  <si>
    <t>SS MIDI DRESS PEPLUM BROKAT TGN BALON BAWAH TILE AG3882:SALMON:5:SOLID:SS MIDI DRESS</t>
  </si>
  <si>
    <t>SS MIDI DRESS PEPLUM BROKAT TGN BALON BAWAH TILE AG3882:SALMON:6:SOLID:SS MIDI DRESS</t>
  </si>
  <si>
    <t>SS MIDI DRESS PEPLUM BROKAT TGN BALON BAWAH TILE AG3882:SALMON:8:SOLID:SS MIDI DRESS</t>
  </si>
  <si>
    <t>SS MIDI DRESS PEPLUM BROKAT TGN BALON BAWAH TILE AG3882:SALMON:10:SOLID:SS MIDI DRESS</t>
  </si>
  <si>
    <t>SS MIDI DRESS PEPLUM BROKAT TGN BALON BAWAH TILE AG3882:SALMON:12:SOLID:SS MIDI DRESS</t>
  </si>
  <si>
    <t>SS MIDI DRESS SEQUIN SMAL02:DUSTY PINK:4:GRAPHIC:SS MIDI DRESS</t>
  </si>
  <si>
    <t>SS MIDI DRESS SEQUIN SMAL02:DUSTY PINK:5:GRAPHIC:SS MIDI DRESS</t>
  </si>
  <si>
    <t>SS MIDI DRESS SEQUIN SMAL02:DUSTY PINK:6:GRAPHIC:SS MIDI DRESS</t>
  </si>
  <si>
    <t>SS MIDI DRESS SEQUIN SMAL02:DUSTY PINK:8:GRAPHIC:SS MIDI DRESS</t>
  </si>
  <si>
    <t>SS MIDI DRESS SEQUIN SMAL02:DUSTY PINK:10:GRAPHIC:SS MIDI DRESS</t>
  </si>
  <si>
    <t>SS MIDI DRESS SEQUIN SMAL02:DUSTY PINK:12:GRAPHIC:SS MIDI DRESS</t>
  </si>
  <si>
    <t>SS MIDI DRESS LACES SMAL05:OFF WHITE:4:SOLID:SS MIDI DRESS</t>
  </si>
  <si>
    <t>SS MIDI DRESS LACES SMAL05:OFF WHITE:5:SOLID:SS MIDI DRESS</t>
  </si>
  <si>
    <t>SS MIDI DRESS LACES SMAL05:OFF WHITE:6:SOLID:SS MIDI DRESS</t>
  </si>
  <si>
    <t>SS MIDI DRESS LACES SMAL05:OFF WHITE:8:SOLID:SS MIDI DRESS</t>
  </si>
  <si>
    <t>SS MIDI DRESS LACES SMAL05:OFF WHITE:10:SOLID:SS MIDI DRESS</t>
  </si>
  <si>
    <t>SS MIDI DRESS LACES SMAL05:OFF WHITE:12:SOLID:SS MIDI DRESS</t>
  </si>
  <si>
    <t>SS MIDI DRESS SEQUIN SMAL03:GOLD:4:GRAPHIC:SS MIDI DRESS</t>
  </si>
  <si>
    <t>SS MIDI DRESS SEQUIN SMAL03:GOLD:5:GRAPHIC:SS MIDI DRESS</t>
  </si>
  <si>
    <t>SS MIDI DRESS SEQUIN SMAL03:GOLD:6:GRAPHIC:SS MIDI DRESS</t>
  </si>
  <si>
    <t>SS MIDI DRESS SEQUIN SMAL03:GOLD:8:GRAPHIC:SS MIDI DRESS</t>
  </si>
  <si>
    <t>SS MIDI DRESS SEQUIN SMAL03:GOLD:10:GRAPHIC:SS MIDI DRESS</t>
  </si>
  <si>
    <t>SS MIDI DRESS SEQUIN SMAL03:GOLD:12:GRAPHIC:SS MIDI DRESS</t>
  </si>
  <si>
    <t>SS MIDI DRESS PARTY 3 FLOWERS SMAL16:DUSTY PINK:4:FLORAL:SS MIDI DRESS</t>
  </si>
  <si>
    <t>SS MIDI DRESS PARTY 3 FLOWERS SMAL16:DUSTY PINK:5:FLORAL:SS MIDI DRESS</t>
  </si>
  <si>
    <t>SS MIDI DRESS PARTY 3 FLOWERS SMAL16:DUSTY PINK:6:FLORAL:SS MIDI DRESS</t>
  </si>
  <si>
    <t>SS MIDI DRESS PARTY 3 FLOWERS SMAL16:DUSTY PINK:8:FLORAL:SS MIDI DRESS</t>
  </si>
  <si>
    <t>SS MIDI DRESS PARTY 3 FLOWERS SMAL16:DUSTY PINK:10:FLORAL:SS MIDI DRESS</t>
  </si>
  <si>
    <t>SS MIDI DRESS PARTY 3 FLOWERS SMAL16:DUSTY PINK:12:FLORAL:SS MIDI DRESS</t>
  </si>
  <si>
    <t>SS MIDI DRESS FORMAL FP FLOWER SMAL17:WHITE:4:FLORAL:SS MIDI DRESS</t>
  </si>
  <si>
    <t>SS MIDI DRESS FORMAL FP FLOWER SMAL17:WHITE:5:FLORAL:SS MIDI DRESS</t>
  </si>
  <si>
    <t>SS MIDI DRESS FORMAL FP FLOWER SMAL17:WHITE:6:FLORAL:SS MIDI DRESS</t>
  </si>
  <si>
    <t>SS MIDI DRESS FORMAL FP FLOWER SMAL17:WHITE:8:FLORAL:SS MIDI DRESS</t>
  </si>
  <si>
    <t>SS MIDI DRESS FORMAL FP FLOWER SMAL17:WHITE:10:FLORAL:SS MIDI DRESS</t>
  </si>
  <si>
    <t>SS MIDI DRESS FORMAL FP FLOWER SMAL17:WHITE:12:FLORAL:SS MIDI DRESS</t>
  </si>
  <si>
    <t>SS MIDI DRESS PARTY LACE BORDIR SMAL15:PASTEL PINK:4:SOLID:SS MIDI DRESS</t>
  </si>
  <si>
    <t>SS MIDI DRESS PARTY LACE BORDIR SMAL15:PASTEL PINK:5:SOLID:SS MIDI DRESS</t>
  </si>
  <si>
    <t>SS MIDI DRESS PARTY LACE BORDIR SMAL15:PASTEL PINK:6:SOLID:SS MIDI DRESS</t>
  </si>
  <si>
    <t>SS MIDI DRESS PARTY LACE BORDIR SMAL15:PASTEL PINK:8:SOLID:SS MIDI DRESS</t>
  </si>
  <si>
    <t>SS MIDI DRESS PARTY LACE BORDIR SMAL15:PASTEL PINK:10:SOLID:SS MIDI DRESS</t>
  </si>
  <si>
    <t>SS MIDI DRESS PARTY LACE BORDIR SMAL15:PASTEL PINK:12:SOLID:SS MIDI DRESS</t>
  </si>
  <si>
    <t>SMAL17</t>
  </si>
  <si>
    <t>SMAL15</t>
  </si>
  <si>
    <t>SMAL13</t>
  </si>
  <si>
    <t>LS MIDI DRESS BROKAT SUSUN LEHER KERUT SMAL13:PASTEL GREEN:4:TEXTURE:LS MIDI DRESS</t>
  </si>
  <si>
    <t>LS MIDI DRESS BROKAT SUSUN LEHER KERUT SMAL13:PASTEL GREEN:5:TEXTURE:LS MIDI DRESS</t>
  </si>
  <si>
    <t>LS MIDI DRESS BROKAT SUSUN LEHER KERUT SMAL13:PASTEL GREEN:6:TEXTURE:LS MIDI DRESS</t>
  </si>
  <si>
    <t>LS MIDI DRESS BROKAT SUSUN LEHER KERUT SMAL13:PASTEL GREEN:8:TEXTURE:LS MIDI DRESS</t>
  </si>
  <si>
    <t>LS MIDI DRESS BROKAT SUSUN LEHER KERUT SMAL13:PASTEL GREEN:10:TEXTURE:LS MIDI DRESS</t>
  </si>
  <si>
    <t>LS MIDI DRESS BROKAT SUSUN LEHER KERUT SMAL13:PASTEL GREEN:12:TEXTURE:LS MIDI DRESS</t>
  </si>
  <si>
    <t>SMMAS02</t>
  </si>
  <si>
    <t>LS MAXI DRESS MODEST PRINT ULOS SMMAS02:PASTEL PINK:4:GRAPHIC:LS MAXI DRESS</t>
  </si>
  <si>
    <t>LS MAXI DRESS MODEST PRINT ULOS SMMAS02:PASTEL PINK:6:GRAPHIC:LS MAXI DRESS</t>
  </si>
  <si>
    <t>LS MAXI DRESS MODEST PRINT ULOS SMMAS02:PASTEL PINK:8:GRAPHIC:LS MAXI DRESS</t>
  </si>
  <si>
    <t>LS MAXI DRESS MODEST PRINT ULOS SMMAS02:PASTEL PINK:10:GRAPHIC:LS MAXI DRESS</t>
  </si>
  <si>
    <t>LS MAXI DRESS MODEST PRINT ULOS SMMAS02:PASTEL PINK:12:GRAPHIC:LS MAXI DRESS</t>
  </si>
  <si>
    <t>LS MAXI DRESS MODEST PRINT ULOS SMMAS02:PASTEL PINK:14:GRAPHIC:LS MAXI DRESS</t>
  </si>
  <si>
    <t>SMMAS05</t>
  </si>
  <si>
    <t>LS MAXI DRESS TWINNING PRINT FLOWER WITH HIJAB SMMAS05:PASTEL BLUE:4:PRINT:LS MAXI DRESS</t>
  </si>
  <si>
    <t>LS MAXI DRESS TWINNING PRINT FLOWER WITH HIJAB SMMAS05:PASTEL BLUE:6:PRINT:LS MAXI DRESS</t>
  </si>
  <si>
    <t>LS MAXI DRESS TWINNING PRINT FLOWER WITH HIJAB SMMAS05:PASTEL BLUE:8:PRINT:LS MAXI DRESS</t>
  </si>
  <si>
    <t>LS MAXI DRESS TWINNING PRINT FLOWER WITH HIJAB SMMAS05:PASTEL BLUE:10:PRINT:LS MAXI DRESS</t>
  </si>
  <si>
    <t>LS MAXI DRESS TWINNING PRINT FLOWER WITH HIJAB SMMAS05:PASTEL BLUE:12:PRINT:LS MAXI DRESS</t>
  </si>
  <si>
    <t>LS MAXI DRESS TWINNING PRINT FLOWER WITH HIJAB SMMAS05:PASTEL BLUE:14:PRINT:LS MAXI DRESS</t>
  </si>
  <si>
    <t>SMMAS07</t>
  </si>
  <si>
    <t>LS MAXI DRESS TWINNING FAKE 2 PCS EMBRO SMMAS07:PASTEL GREEN:4:PRINT:LS MAXI DRESS</t>
  </si>
  <si>
    <t>LS MAXI DRESS TWINNING FAKE 2 PCS EMBRO SMMAS07:PASTEL GREEN:6:PRINT:LS MAXI DRESS</t>
  </si>
  <si>
    <t>LS MAXI DRESS TWINNING FAKE 2 PCS EMBRO SMMAS07:PASTEL GREEN:8:PRINT:LS MAXI DRESS</t>
  </si>
  <si>
    <t>LS MAXI DRESS TWINNING FAKE 2 PCS EMBRO SMMAS07:PASTEL GREEN:10:PRINT:LS MAXI DRESS</t>
  </si>
  <si>
    <t>LS MAXI DRESS TWINNING FAKE 2 PCS EMBRO SMMAS07:PASTEL GREEN:12:PRINT:LS MAXI DRESS</t>
  </si>
  <si>
    <t>LS MAXI DRESS TWINNING FAKE 2 PCS EMBRO SMMAS07:PASTEL GREEN:14:PRINT:LS MAXI DRESS</t>
  </si>
  <si>
    <t>SMAL08</t>
  </si>
  <si>
    <t>LS MAXI DRESS LEB PARTY APLIKASI KUPU SMAL08:PASTEL ORANGE:4:TEXTURE:LS MAXI DRESS</t>
  </si>
  <si>
    <t>LS MAXI DRESS LEB PARTY APLIKASI KUPU SMAL08:PASTEL ORANGE:6:TEXTURE:LS MAXI DRESS</t>
  </si>
  <si>
    <t>LS MAXI DRESS LEB PARTY APLIKASI KUPU SMAL08:PASTEL ORANGE:8:TEXTURE:LS MAXI DRESS</t>
  </si>
  <si>
    <t>LS MAXI DRESS LEB PARTY APLIKASI KUPU SMAL08:PASTEL ORANGE:10:TEXTURE:LS MAXI DRESS</t>
  </si>
  <si>
    <t>LS MAXI DRESS LEB PARTY APLIKASI KUPU SMAL08:PASTEL ORANGE:12:TEXTURE:LS MAXI DRESS</t>
  </si>
  <si>
    <t>LS MAXI DRESS LEB PARTY APLIKASI KUPU SMAL08:PASTEL ORANGE:14:TEXTURE:LS MAXI DRESS</t>
  </si>
  <si>
    <t>SMAL10</t>
  </si>
  <si>
    <t>LS MAXI DRESS LEB PARTY SALUR SMAL10:GOLDEN BROWN:4:STRIPES:LS MAXI DRESS</t>
  </si>
  <si>
    <t>LS MAXI DRESS LEB PARTY SALUR SMAL10:GOLDEN BROWN:6:STRIPES:LS MAXI DRESS</t>
  </si>
  <si>
    <t>LS MAXI DRESS LEB PARTY SALUR SMAL10:GOLDEN BROWN:8:STRIPES:LS MAXI DRESS</t>
  </si>
  <si>
    <t>LS MAXI DRESS LEB PARTY SALUR SMAL10:GOLDEN BROWN:10:STRIPES:LS MAXI DRESS</t>
  </si>
  <si>
    <t>LS MAXI DRESS LEB PARTY SALUR SMAL10:GOLDEN BROWN:12:STRIPES:LS MAXI DRESS</t>
  </si>
  <si>
    <t>LS MAXI DRESS LEB PARTY SALUR SMAL10:GOLDEN BROWN:14:STRIPES:LS MAXI DRESS</t>
  </si>
  <si>
    <t>SMAL12</t>
  </si>
  <si>
    <t>LS MAXI DRESS LEB PARTY ROMPI SMAL12:WHITE:4:SOLID:LS MAXI DRESS</t>
  </si>
  <si>
    <t>LS MAXI DRESS LEB PARTY ROMPI SMAL12:WHITE:6:SOLID:LS MAXI DRESS</t>
  </si>
  <si>
    <t>LS MAXI DRESS LEB PARTY ROMPI SMAL12:WHITE:8:SOLID:LS MAXI DRESS</t>
  </si>
  <si>
    <t>LS MAXI DRESS LEB PARTY ROMPI SMAL12:WHITE:10:SOLID:LS MAXI DRESS</t>
  </si>
  <si>
    <t>LS MAXI DRESS LEB PARTY ROMPI SMAL12:WHITE:12:SOLID:LS MAXI DRESS</t>
  </si>
  <si>
    <t>LS MAXI DRESS LEB PARTY ROMPI SMAL12:WHITE:14:SOLID:LS MAXI DRESS</t>
  </si>
  <si>
    <t>TP06</t>
  </si>
  <si>
    <t>LS MIDI DRESS BROKAT LEHER HALF TP06:ASSORTIVE COLOR:4:PRINT:LS MIDI DRESS</t>
  </si>
  <si>
    <t>LS MIDI DRESS BROKAT LEHER HALF TP06:ASSORTIVE COLOR:6:PRINT:LS MIDI DRESS</t>
  </si>
  <si>
    <t>LS MIDI DRESS BROKAT LEHER HALF TP06:ASSORTIVE COLOR:8:PRINT:LS MIDI DRESS</t>
  </si>
  <si>
    <t>LS MIDI DRESS BROKAT LEHER HALF TP06:ASSORTIVE COLOR:10:PRINT:LS MIDI DRESS</t>
  </si>
  <si>
    <t>LS MIDI DRESS BROKAT LEHER HALF TP06:ASSORTIVE COLOR:12:PRINT:LS MIDI DRESS</t>
  </si>
  <si>
    <t>LS MIDI DRESS BROKAT LEHER HALF TP06:ASSORTIVE COLOR:14:PRINT:LS MIDI DRESS</t>
  </si>
  <si>
    <t>LEBTSB2404</t>
  </si>
  <si>
    <t>LS MAXI DRESS LEB MODEST HOODY POLOSAN KERUT PGG LEBTSB2404:PASTEL BLUE:4:SOLID:LS MAXI DRESS</t>
  </si>
  <si>
    <t>LS MAXI DRESS LEB MODEST HOODY POLOSAN KERUT PGG LEBTSB2404:PASTEL BLUE:6:SOLID:LS MAXI DRESS</t>
  </si>
  <si>
    <t>LS MAXI DRESS LEB MODEST HOODY POLOSAN KERUT PGG LEBTSB2404:PASTEL BLUE:8:SOLID:LS MAXI DRESS</t>
  </si>
  <si>
    <t>LS MAXI DRESS LEB MODEST HOODY POLOSAN KERUT PGG LEBTSB2404:PASTEL BLUE:10:SOLID:LS MAXI DRESS</t>
  </si>
  <si>
    <t>LS MAXI DRESS LEB MODEST HOODY POLOSAN KERUT PGG LEBTSB2404:PASTEL BLUE:12:SOLID:LS MAXI DRESS</t>
  </si>
  <si>
    <t>LS MAXI DRESS LEB MODEST HOODY POLOSAN KERUT PGG LEBTSB2404:PASTEL BLUE:14:SOLID:LS MAXI DRESS</t>
  </si>
  <si>
    <t>LEBTSB2411</t>
  </si>
  <si>
    <t>LS MAXI DRESS LEB MODEST FULL EYELET LEBTSB2411:OFF WHITE:4:SOLID:LS MAXI DRESS</t>
  </si>
  <si>
    <t>LS MAXI DRESS LEB MODEST FULL EYELET LEBTSB2411:OFF WHITE:6:SOLID:LS MAXI DRESS</t>
  </si>
  <si>
    <t>LS MAXI DRESS LEB MODEST FULL EYELET LEBTSB2411:OFF WHITE:8:SOLID:LS MAXI DRESS</t>
  </si>
  <si>
    <t>LS MAXI DRESS LEB MODEST FULL EYELET LEBTSB2411:OFF WHITE:10:SOLID:LS MAXI DRESS</t>
  </si>
  <si>
    <t>LS MAXI DRESS LEB MODEST FULL EYELET LEBTSB2411:OFF WHITE:12:SOLID:LS MAXI DRESS</t>
  </si>
  <si>
    <t>LS MAXI DRESS LEB MODEST FULL EYELET LEBTSB2411:OFF WHITE:14:SOLID:LS MAXI DRESS</t>
  </si>
  <si>
    <t>LEBTSB2414</t>
  </si>
  <si>
    <t>LS MAXI DRESS LEB MODEST OVL  TALI RUFFLE POLOSAN DOBBY LEBTSB2414:WOOD BROWN:4:SOLID:LS MAXI DRESS</t>
  </si>
  <si>
    <t>LS MAXI DRESS LEB MODEST OVL  TALI RUFFLE POLOSAN DOBBY LEBTSB2414:WOOD BROWN:6:SOLID:LS MAXI DRESS</t>
  </si>
  <si>
    <t>LS MAXI DRESS LEB MODEST OVL  TALI RUFFLE POLOSAN DOBBY LEBTSB2414:WOOD BROWN:8:SOLID:LS MAXI DRESS</t>
  </si>
  <si>
    <t>LS MAXI DRESS LEB MODEST OVL  TALI RUFFLE POLOSAN DOBBY LEBTSB2414:WOOD BROWN:10:SOLID:LS MAXI DRESS</t>
  </si>
  <si>
    <t>LS MAXI DRESS LEB MODEST OVL  TALI RUFFLE POLOSAN DOBBY LEBTSB2414:WOOD BROWN:12:SOLID:LS MAXI DRESS</t>
  </si>
  <si>
    <t>LS MAXI DRESS LEB MODEST OVL  TALI RUFFLE POLOSAN DOBBY LEBTSB2414:WOOD BROWN:14:SOLID:LS MAXI DRESS</t>
  </si>
  <si>
    <t>SMAL20</t>
  </si>
  <si>
    <t>LS MIDI DRESS BROKAT FLOWER LEHER KERUT SMAL20:DUSTY PINK:4:TEXTURE:LS MIDI DRESS</t>
  </si>
  <si>
    <t>LS MIDI DRESS BROKAT FLOWER LEHER KERUT SMAL20:DUSTY PINK:5:TEXTURE:LS MIDI DRESS</t>
  </si>
  <si>
    <t>LS MIDI DRESS BROKAT FLOWER LEHER KERUT SMAL20:DUSTY PINK:6:TEXTURE:LS MIDI DRESS</t>
  </si>
  <si>
    <t>LS MIDI DRESS BROKAT FLOWER LEHER KERUT SMAL20:DUSTY PINK:8:TEXTURE:LS MIDI DRESS</t>
  </si>
  <si>
    <t>LS MIDI DRESS BROKAT FLOWER LEHER KERUT SMAL20:DUSTY PINK:10:TEXTURE:LS MIDI DRESS</t>
  </si>
  <si>
    <t>LS MIDI DRESS BROKAT FLOWER LEHER KERUT SMAL20:DUSTY PINK:12:TEXTURE:LS MIDI DRESS</t>
  </si>
  <si>
    <t>SMAS03</t>
  </si>
  <si>
    <t>SS MIDI DRESS CASUAL FP RABBIT STRAW SMAS03:ASSORTIVE COLOR:4:PRINT:SS MIDI DRESS</t>
  </si>
  <si>
    <t>SS MIDI DRESS CASUAL FP RABBIT STRAW SMAS03:ASSORTIVE COLOR:5:PRINT:SS MIDI DRESS</t>
  </si>
  <si>
    <t>SS MIDI DRESS CASUAL FP RABBIT STRAW SMAS03:ASSORTIVE COLOR:6:PRINT:SS MIDI DRESS</t>
  </si>
  <si>
    <t>SS MIDI DRESS CASUAL FP RABBIT STRAW SMAS03:ASSORTIVE COLOR:8:PRINT:SS MIDI DRESS</t>
  </si>
  <si>
    <t>SS MIDI DRESS CASUAL FP RABBIT STRAW SMAS03:ASSORTIVE COLOR:10:PRINT:SS MIDI DRESS</t>
  </si>
  <si>
    <t>SS MIDI DRESS CASUAL FP RABBIT STRAW SMAS03:ASSORTIVE COLOR:12:PRINT:SS MIDI DRESS</t>
  </si>
  <si>
    <t>SMHJ07</t>
  </si>
  <si>
    <t>SS MIDI DRESS KERAH DOUBLE BUNGA BESAR SMHJ07:ASSORTIVE COLOR:4:PRINT:SS MIDI DRESS</t>
  </si>
  <si>
    <t>SS MIDI DRESS KERAH DOUBLE BUNGA BESAR SMHJ07:ASSORTIVE COLOR:5:PRINT:SS MIDI DRESS</t>
  </si>
  <si>
    <t>SS MIDI DRESS KERAH DOUBLE BUNGA BESAR SMHJ07:ASSORTIVE COLOR:6:PRINT:SS MIDI DRESS</t>
  </si>
  <si>
    <t>SS MIDI DRESS KERAH DOUBLE BUNGA BESAR SMHJ07:ASSORTIVE COLOR:8:PRINT:SS MIDI DRESS</t>
  </si>
  <si>
    <t>SS MIDI DRESS KERAH DOUBLE BUNGA BESAR SMHJ07:ASSORTIVE COLOR:10:PRINT:SS MIDI DRESS</t>
  </si>
  <si>
    <t>SS MIDI DRESS KERAH DOUBLE BUNGA BESAR SMHJ07:ASSORTIVE COLOR:12:PRINT:SS MIDI DRESS</t>
  </si>
  <si>
    <t>TSB2309LEB</t>
  </si>
  <si>
    <t>TSB2311LEB</t>
  </si>
  <si>
    <t>EV2210W20</t>
  </si>
  <si>
    <t>LS MAXI DRESS LEBARAN HOODIE BAHAN GARIS LENGAN TSB2309LEB:PASTEL LAVENDER:4:STRIPES:LS MAXI DRESS</t>
  </si>
  <si>
    <t>LS MAXI DRESS LEBARAN HOODIE BAHAN GARIS LENGAN TSB2309LEB:PASTEL LAVENDER:5:STRIPES:LS MAXI DRESS</t>
  </si>
  <si>
    <t>LS MAXI DRESS LEBARAN HOODIE BAHAN GARIS LENGAN TSB2309LEB:PASTEL LAVENDER:6:STRIPES:LS MAXI DRESS</t>
  </si>
  <si>
    <t>LS MAXI DRESS LEBARAN HOODIE BAHAN GARIS LENGAN TSB2309LEB:PASTEL LAVENDER:8:STRIPES:LS MAXI DRESS</t>
  </si>
  <si>
    <t>LS MAXI DRESS LEBARAN HOODIE BAHAN GARIS LENGAN TSB2309LEB:PASTEL LAVENDER:10:STRIPES:LS MAXI DRESS</t>
  </si>
  <si>
    <t>LS MAXI DRESS LEBARAN HOODIE BAHAN GARIS LENGAN TSB2309LEB:PASTEL LAVENDER:12:STRIPES:LS MAXI DRESS</t>
  </si>
  <si>
    <t>LS MAXI DRESS LEBARAN HOODIE BAHAN GARIS LENGAN TSB2309LEB:PASTEL LA:14:STRIPES:LS MAXI D</t>
  </si>
  <si>
    <t>LS MAXI DRESS LEBARAN HOODIE BAHAN GARIS TUDUNG TSB2311LEB:KHAKI:4:STRIPES:LS MAXI DRESS</t>
  </si>
  <si>
    <t>LS MAXI DRESS LEBARAN HOODIE BAHAN GARIS TUDUNG TSB2311LEB:KHAKI:5:STRIPES:LS MAXI DRESS</t>
  </si>
  <si>
    <t>LS MAXI DRESS LEBARAN HOODIE BAHAN GARIS TUDUNG TSB2311LEB:KHAKI:6:STRIPES:LS MAXI DRESS</t>
  </si>
  <si>
    <t>LS MAXI DRESS LEBARAN HOODIE BAHAN GARIS TUDUNG TSB2311LEB:KHAKI:8:STRIPES:LS MAXI DRESS</t>
  </si>
  <si>
    <t>LS MAXI DRESS LEBARAN HOODIE BAHAN GARIS TUDUNG TSB2311LEB:KHAKI:10:STRIPES:LS MAXI DRESS</t>
  </si>
  <si>
    <t>LS MAXI DRESS LEBARAN HOODIE BAHAN GARIS TUDUNG TSB2311LEB:KHAKI:12:STRIPES:LS MAXI DRESS</t>
  </si>
  <si>
    <t>SS MIDI DRESS FULLPRINT BUNGA KANTONG BIRD GEBER BAWAH EV2210W20:PASTEL PINK:4:FLORAL:SS MIDI DRESS</t>
  </si>
  <si>
    <t>SS MIDI DRESS FULLPRINT BUNGA KANTONG BIRD GEBER BAWAH EV2210W20:PASTEL PINK:5:FLORAL:SS MIDI DRESS</t>
  </si>
  <si>
    <t>SS MIDI DRESS FULLPRINT BUNGA KANTONG BIRD GEBER BAWAH EV2210W20:PASTEL PINK:6:FLORAL:SS MIDI DRESS</t>
  </si>
  <si>
    <t>SS MIDI DRESS FULLPRINT BUNGA KANTONG BIRD GEBER BAWAH EV2210W20:PASTEL PINK:8:FLORAL:SS MIDI DRESS</t>
  </si>
  <si>
    <t>SS MIDI DRESS FULLPRINT BUNGA KANTONG BIRD GEBER BAWAH EV2210W20:PASTEL PINK:10:FLORAL:SS MIDI DRESS</t>
  </si>
  <si>
    <t>SS MIDI DRESS FULLPRINT BUNGA KANTONG BIRD GEBER BAWAH EV2210W20:PASTEL PINK:12:FLORAL:SS MIDI DRESS</t>
  </si>
  <si>
    <t>DHRSM01</t>
  </si>
  <si>
    <t>LS MIDI DRESS SMOCK 3 PITA DHRSM01:ASSORTIVE COLOR:4:PRINT:LS MIDI DRESS</t>
  </si>
  <si>
    <t>LS MIDI DRESS SMOCK 3 PITA DHRSM01:ASSORTIVE COLOR:5:PRINT:LS MIDI DRESS</t>
  </si>
  <si>
    <t>LS MIDI DRESS SMOCK 3 PITA DHRSM01:ASSORTIVE COLOR:6:PRINT:LS MIDI DRESS</t>
  </si>
  <si>
    <t>LS MIDI DRESS SMOCK 3 PITA DHRSM01:ASSORTIVE COLOR:8:PRINT:LS MIDI DRESS</t>
  </si>
  <si>
    <t>LS MIDI DRESS SMOCK 3 PITA DHRSM01:ASSORTIVE COLOR:10:PRINT:LS MIDI DRESS</t>
  </si>
  <si>
    <t>LS MIDI DRESS SMOCK 3 PITA DHRSM01:ASSORTIVE COLOR:12:PRINT:LS MIDI DRESS</t>
  </si>
  <si>
    <t>SMAL19</t>
  </si>
  <si>
    <t>LS MIDI DRESS BROKAT LEHER HALF SMAL19:PASTEL GREEN:4:TEXTURE:LS MIDI DRESS</t>
  </si>
  <si>
    <t>LS MIDI DRESS BROKAT LEHER HALF SMAL19:PASTEL GREEN:5:TEXTURE:LS MIDI DRESS</t>
  </si>
  <si>
    <t>LS MIDI DRESS BROKAT LEHER HALF SMAL19:PASTEL GREEN:6:TEXTURE:LS MIDI DRESS</t>
  </si>
  <si>
    <t>LS MIDI DRESS BROKAT LEHER HALF SMAL19:PASTEL GREEN:8:TEXTURE:LS MIDI DRESS</t>
  </si>
  <si>
    <t>LS MIDI DRESS BROKAT LEHER HALF SMAL19:PASTEL GREEN:10:TEXTURE:LS MIDI DRESS</t>
  </si>
  <si>
    <t>LS MIDI DRESS BROKAT LEHER HALF SMAL19:PASTEL GREEN:12:TEXTURE:LS MIDI DRESS</t>
  </si>
  <si>
    <t>TP03</t>
  </si>
  <si>
    <t>LS MIDI DRESS MODEST FP BUNGA TP03:OFF WHITE:4:PRINT:LS MIDI DRESS</t>
  </si>
  <si>
    <t>LS MIDI DRESS MODEST FP BUNGA TP03:OFF WHITE:6:PRINT:LS MIDI DRESS</t>
  </si>
  <si>
    <t>LS MIDI DRESS MODEST FP BUNGA TP03:OFF WHITE:8:PRINT:LS MIDI DRESS</t>
  </si>
  <si>
    <t>LS MIDI DRESS MODEST FP BUNGA TP03:OFF WHITE:10:PRINT:LS MIDI DRESS</t>
  </si>
  <si>
    <t>LS MIDI DRESS MODEST FP BUNGA TP03:OFF WHITE:12:PRINT:LS MIDI DRESS</t>
  </si>
  <si>
    <t>LS MIDI DRESS MODEST FP BUNGA TP03:OFF WHITE:14:PRINT:LS MIDI DRESS</t>
  </si>
  <si>
    <t>SMHJ06</t>
  </si>
  <si>
    <t>SMAL18</t>
  </si>
  <si>
    <t>SMAS04</t>
  </si>
  <si>
    <t>LEBTSB01</t>
  </si>
  <si>
    <t>LEBTSB02</t>
  </si>
  <si>
    <t>LEBTSB03</t>
  </si>
  <si>
    <t>LEBTSB04</t>
  </si>
  <si>
    <t>LEBTSB05</t>
  </si>
  <si>
    <t>TP01</t>
  </si>
  <si>
    <t>SS MIDI DRESS CASUAL KERAH BORDIR SMHJ06:ASSORTIVE COLOR:4:PRINT:SS MIDI DRESS</t>
  </si>
  <si>
    <t>SS MIDI DRESS CASUAL KERAH BORDIR SMHJ06:ASSORTIVE COLOR:5:PRINT:SS MIDI DRESS</t>
  </si>
  <si>
    <t>SS MIDI DRESS CASUAL KERAH BORDIR SMHJ06:ASSORTIVE COLOR:6:PRINT:SS MIDI DRESS</t>
  </si>
  <si>
    <t>SS MIDI DRESS CASUAL KERAH BORDIR SMHJ06:ASSORTIVE COLOR:8:PRINT:SS MIDI DRESS</t>
  </si>
  <si>
    <t>SS MIDI DRESS CASUAL KERAH BORDIR SMHJ06:ASSORTIVE COLOR:10:PRINT:SS MIDI DRESS</t>
  </si>
  <si>
    <t>SS MIDI DRESS CASUAL KERAH BORDIR SMHJ06:ASSORTIVE COLOR:12:PRINT:SS MIDI DRESS</t>
  </si>
  <si>
    <t>SS MIDI DRESS CASUAL MOTIF KOTAK W TAS SMAL18:PASTEL BLUE:4:CHECKS:SS MIDI DRESS</t>
  </si>
  <si>
    <t>SS MIDI DRESS CASUAL MOTIF KOTAK W TAS SMAL18:PASTEL BLUE:5:CHECKS:SS MIDI DRESS</t>
  </si>
  <si>
    <t>SS MIDI DRESS CASUAL MOTIF KOTAK W TAS SMAL18:PASTEL BLUE:6:CHECKS:SS MIDI DRESS</t>
  </si>
  <si>
    <t>SS MIDI DRESS CASUAL MOTIF KOTAK W TAS SMAL18:PASTEL BLUE:8:CHECKS:SS MIDI DRESS</t>
  </si>
  <si>
    <t>SS MIDI DRESS CASUAL MOTIF KOTAK W TAS SMAL18:PASTEL BLUE:10:CHECKS:SS MIDI DRESS</t>
  </si>
  <si>
    <t>SS MIDI DRESS CASUAL MOTIF KOTAK W TAS SMAL18:PASTEL BLUE:12:CHECKS:SS MIDI DRESS</t>
  </si>
  <si>
    <t>SS MIDI DRESS CASUAL BALON FP KOTAK SMAS04:ASSORTIVE COLOR:4:CHECKS:SS MIDI DRESS</t>
  </si>
  <si>
    <t>SS MIDI DRESS CASUAL BALON FP KOTAK SMAS04:ASSORTIVE COLOR:5:CHECKS:SS MIDI DRESS</t>
  </si>
  <si>
    <t>SS MIDI DRESS CASUAL BALON FP KOTAK SMAS04:ASSORTIVE COLOR:6:CHECKS:SS MIDI DRESS</t>
  </si>
  <si>
    <t>SS MIDI DRESS CASUAL BALON FP KOTAK SMAS04:ASSORTIVE COLOR:8:CHECKS:SS MIDI DRESS</t>
  </si>
  <si>
    <t>SS MIDI DRESS CASUAL BALON FP KOTAK SMAS04:ASSORTIVE COLOR:10:CHECKS:SS MIDI DRESS</t>
  </si>
  <si>
    <t>LS MAXI DRESS LEB MODEST FP BUNGA KOMBINASI SALUR SUSUN TINGKAT LEBTSB2423:PASTEL GREEN:10:PRINT:LS</t>
  </si>
  <si>
    <t>LS MAXI DRESS LEB MODEST FP BUNGA KOMBINASI SALUR SUSUN TINGKAT LEBTSB2423:PASTEL GREEN:12:PRINT:LS</t>
  </si>
  <si>
    <t>LS MAXI DRESS LEB MODEST FP BUNGA KOMBINASI SALUR SUSUN TINGKAT LEBTSB2423:PASTEL GREEN:14:PRINT:LS</t>
  </si>
  <si>
    <t>LS MAXI DRESS MODEST SALUR COMBI LEBTSB01:ASSORTIVE COLOR:4:STRIPES:LS MAXI DRESS</t>
  </si>
  <si>
    <t>LS MAXI DRESS MODEST SALUR COMBI LEBTSB01:ASSORTIVE COLOR:6:STRIPES:LS MAXI DRESS</t>
  </si>
  <si>
    <t>LS MAXI DRESS MODEST SALUR COMBI LEBTSB01:ASSORTIVE COLOR:8:STRIPES:LS MAXI DRESS</t>
  </si>
  <si>
    <t>LS MAXI DRESS MODEST SALUR COMBI LEBTSB01:ASSORTIVE COLOR:10:STRIPES:LS MAXI DRESS</t>
  </si>
  <si>
    <t>LS MAXI DRESS MODEST SALUR COMBI LEBTSB01:ASSORTIVE COLOR:12:STRIPES:LS MAXI DRESS</t>
  </si>
  <si>
    <t>LS MAXI DRESS MODEST SALUR COMBI LEBTSB01:ASSORTIVE COLOR:14:STRIPES:LS MAXI DRESS</t>
  </si>
  <si>
    <t>LS MAXI DRESS MODEST SALUR COMBI KERAH LEBTSB02:ASSORTIVE COLOR:4:STRIPES:LS MAXI DRESS</t>
  </si>
  <si>
    <t>LS MAXI DRESS MODEST SALUR COMBI KERAH LEBTSB02:ASSORTIVE COLOR:6:STRIPES:LS MAXI DRESS</t>
  </si>
  <si>
    <t>LS MAXI DRESS MODEST SALUR COMBI KERAH LEBTSB02:ASSORTIVE COLOR:8:STRIPES:LS MAXI DRESS</t>
  </si>
  <si>
    <t>LS MAXI DRESS MODEST SALUR COMBI KERAH LEBTSB02:ASSORTIVE COLOR:10:STRIPES:LS MAXI DRESS</t>
  </si>
  <si>
    <t>LS MAXI DRESS MODEST SALUR COMBI KERAH LEBTSB02:ASSORTIVE COLOR:12:STRIPES:LS MAXI DRESS</t>
  </si>
  <si>
    <t>LS MAXI DRESS MODEST SALUR COMBI KERAH LEBTSB02:ASSORTIVE COLOR:14:STRIPES:LS MAXI DRESS</t>
  </si>
  <si>
    <t>LS MAXI DRESS MODEST MOTIF KOTAK BUNGA LEBTSB03:ASSORTIVE COLOR:4:STRIPES:LS MAXI DRESS</t>
  </si>
  <si>
    <t>LS MAXI DRESS MODEST MOTIF KOTAK BUNGA LEBTSB03:ASSORTIVE COLOR:6:STRIPES:LS MAXI DRESS</t>
  </si>
  <si>
    <t>LS MAXI DRESS MODEST MOTIF KOTAK BUNGA LEBTSB03:ASSORTIVE COLOR:8:STRIPES:LS MAXI DRESS</t>
  </si>
  <si>
    <t>LS MAXI DRESS MODEST MOTIF KOTAK BUNGA LEBTSB03:ASSORTIVE COLOR:10:STRIPES:LS MAXI DRESS</t>
  </si>
  <si>
    <t>LS MAXI DRESS MODEST MOTIF KOTAK BUNGA LEBTSB03:ASSORTIVE COLOR:12:STRIPES:LS MAXI DRESS</t>
  </si>
  <si>
    <t>LS MAXI DRESS MODEST MOTIF KOTAK BUNGA LEBTSB03:ASSORTIVE COLOR:14:STRIPES:LS MAXI DRESS</t>
  </si>
  <si>
    <t>LS MAXI DRESS MODEST KOTAK RENDA LEBTSB04:ASSORTIVE COLOR:4:CHECKS:LS MAXI DRESS</t>
  </si>
  <si>
    <t>LS MAXI DRESS MODEST KOTAK RENDA LEBTSB04:ASSORTIVE COLOR:6:CHECKS:LS MAXI DRESS</t>
  </si>
  <si>
    <t>LS MAXI DRESS MODEST KOTAK RENDA LEBTSB04:ASSORTIVE COLOR:8:CHECKS:LS MAXI DRESS</t>
  </si>
  <si>
    <t>LS MAXI DRESS MODEST KOTAK RENDA LEBTSB04:ASSORTIVE COLOR:10:CHECKS:LS MAXI DRESS</t>
  </si>
  <si>
    <t>LS MAXI DRESS MODEST KOTAK RENDA LEBTSB04:ASSORTIVE COLOR:12:CHECKS:LS MAXI DRESS</t>
  </si>
  <si>
    <t>LS MAXI DRESS MODEST KOTAK RENDA LEBTSB04:ASSORTIVE COLOR:14:CHECKS:LS MAXI DRESS</t>
  </si>
  <si>
    <t>LS MAXI DRESS MODEST HOODIE SALUR COMBI KOTAK LEBTSB05:ASSORTIVE COLOR:4:CHECKS:LS MAXI DRESS</t>
  </si>
  <si>
    <t>LS MAXI DRESS MODEST HOODIE SALUR COMBI KOTAK LEBTSB05:ASSORTIVE COLOR:6:CHECKS:LS MAXI DRESS</t>
  </si>
  <si>
    <t>LS MAXI DRESS MODEST HOODIE SALUR COMBI KOTAK LEBTSB05:ASSORTIVE COLOR:8:CHECKS:LS MAXI DRESS</t>
  </si>
  <si>
    <t>LS MAXI DRESS MODEST HOODIE SALUR COMBI KOTAK LEBTSB05:ASSORTIVE COLOR:10:CHECKS:LS MAXI DRESS</t>
  </si>
  <si>
    <t>LS MAXI DRESS MODEST HOODIE SALUR COMBI KOTAK LEBTSB05:ASSORTIVE COLOR:12:CHECKS:LS MAXI DRESS</t>
  </si>
  <si>
    <t>LS MAXI DRESS MODEST HOODIE SALUR COMBI KOTAK LEBTSB05:ASSORTIVE COLOR:14:CHECKS:LS MAXI DRESS</t>
  </si>
  <si>
    <t>LS MIDI DRESS MODEST FP BUNGA 2 LAYER TP01:PASTEL PINK:4:FLORAL:LS MIDI DRESS</t>
  </si>
  <si>
    <t>LS MIDI DRESS MODEST FP BUNGA 2 LAYER TP01:PASTEL PINK:6:FLORAL:LS MIDI DRESS</t>
  </si>
  <si>
    <t>LS MIDI DRESS MODEST FP BUNGA 2 LAYER TP01:PASTEL PINK:8:FLORAL:LS MIDI DRESS</t>
  </si>
  <si>
    <t>LS MIDI DRESS MODEST FP BUNGA 2 LAYER TP01:PASTEL PINK:10:FLORAL:LS MIDI DRESS</t>
  </si>
  <si>
    <t>LS MIDI DRESS MODEST FP BUNGA 2 LAYER TP01:PASTEL PINK:12:FLORAL:LS MIDI DRESS</t>
  </si>
  <si>
    <t>LS MIDI DRESS MODEST FP BUNGA 2 LAYER TP01:PASTEL PINK:14:FLORAL:LS MIDI DRESS</t>
  </si>
  <si>
    <t>TSBREG01</t>
  </si>
  <si>
    <t>LS MIDI DRESS DOUBLE COLAR TSBREG01:ASSORTIVE COLOR:4:PRINT:LS MIDI DRESS</t>
  </si>
  <si>
    <t>LS MIDI DRESS DOUBLE COLAR TSBREG01:ASSORTIVE COLOR:5:PRINT:LS MIDI DRESS</t>
  </si>
  <si>
    <t>LS MIDI DRESS DOUBLE COLAR TSBREG01:ASSORTIVE COLOR:6:PRINT:LS MIDI DRESS</t>
  </si>
  <si>
    <t>LS MIDI DRESS DOUBLE COLAR TSBREG01:ASSORTIVE COLOR:8:PRINT:LS MIDI DRESS</t>
  </si>
  <si>
    <t>LS MIDI DRESS DOUBLE COLAR TSBREG01:ASSORTIVE COLOR:10:PRINT:LS MIDI DRESS</t>
  </si>
  <si>
    <t>LS MIDI DRESS DOUBLE COLAR TSBREG01:ASSORTIVE COLOR:12:PRINT:LS MIDI DRESS</t>
  </si>
  <si>
    <t>TSBREG02</t>
  </si>
  <si>
    <t>LS MIDI DRESS COLAR LANCIP TSBREG02:ASSORTIVE COLOR:4:PRINT:LS MIDI DRESS</t>
  </si>
  <si>
    <t>LS MIDI DRESS COLAR LANCIP TSBREG02:ASSORTIVE COLOR:5:PRINT:LS MIDI DRESS</t>
  </si>
  <si>
    <t>LS MIDI DRESS COLAR LANCIP TSBREG02:ASSORTIVE COLOR:6:PRINT:LS MIDI DRESS</t>
  </si>
  <si>
    <t>LS MIDI DRESS COLAR LANCIP TSBREG02:ASSORTIVE COLOR:8:PRINT:LS MIDI DRESS</t>
  </si>
  <si>
    <t>LS MIDI DRESS COLAR LANCIP TSBREG02:ASSORTIVE COLOR:10:PRINT:LS MIDI DRESS</t>
  </si>
  <si>
    <t>LS MIDI DRESS COLAR LANCIP TSBREG02:ASSORTIVE COLOR:12:PRINT:LS MIDI DRESS</t>
  </si>
  <si>
    <t>BAMUS 2025 D80</t>
  </si>
  <si>
    <t>2025 H1 D80</t>
  </si>
  <si>
    <t>2024 JAN-JUN D75</t>
  </si>
  <si>
    <t>2024 JUL-OCT D75</t>
  </si>
  <si>
    <t>2024 NOV-DEC D75</t>
  </si>
  <si>
    <t>2020-2021 ALL D90</t>
  </si>
  <si>
    <t>2022 ALL D90</t>
  </si>
  <si>
    <t>2023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</si>
</sst>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BABAB"/>
      </top>
      <bottom/>
      <diagonal/>
    </border>
  </borders>
  <cellStyleXfs count="22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7" fillId="0" borderId="1" xfId="0" applyFont="1" applyFill="1" applyBorder="1"/>
    <xf numFmtId="3" fontId="7" fillId="0" borderId="1" xfId="0" applyNumberFormat="1" applyFont="1" applyFill="1" applyBorder="1"/>
    <xf numFmtId="0" fontId="8" fillId="0" borderId="1" xfId="0" applyFont="1" applyFill="1" applyBorder="1"/>
    <xf numFmtId="167" fontId="0" fillId="0" borderId="1" xfId="14" applyNumberFormat="1" applyFont="1" applyBorder="1"/>
    <xf numFmtId="0" fontId="0" fillId="0" borderId="3" xfId="0" applyBorder="1"/>
    <xf numFmtId="0" fontId="0" fillId="0" borderId="4" xfId="0" applyBorder="1"/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Fill="1" applyBorder="1"/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3" fontId="10" fillId="0" borderId="1" xfId="0" applyNumberFormat="1" applyFont="1" applyFill="1" applyBorder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3" fontId="8" fillId="0" borderId="1" xfId="0" applyNumberFormat="1" applyFont="1" applyBorder="1"/>
    <xf numFmtId="0" fontId="8" fillId="0" borderId="1" xfId="0" applyFont="1" applyBorder="1"/>
    <xf numFmtId="0" fontId="8" fillId="0" borderId="1" xfId="3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3" fontId="10" fillId="0" borderId="1" xfId="0" applyNumberFormat="1" applyFont="1" applyFill="1" applyBorder="1" applyAlignment="1">
      <alignment horizontal="left"/>
    </xf>
    <xf numFmtId="9" fontId="0" fillId="0" borderId="1" xfId="13" applyFon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67" fontId="0" fillId="0" borderId="1" xfId="14" applyNumberFormat="1" applyFont="1" applyBorder="1" applyAlignment="1">
      <alignment horizontal="left" vertical="center"/>
    </xf>
    <xf numFmtId="3" fontId="2" fillId="2" borderId="1" xfId="0" applyNumberFormat="1" applyFont="1" applyFill="1" applyBorder="1" applyAlignment="1">
      <alignment vertical="center"/>
    </xf>
    <xf numFmtId="167" fontId="0" fillId="0" borderId="1" xfId="14" applyNumberFormat="1" applyFont="1" applyBorder="1" applyAlignment="1">
      <alignment vertical="center"/>
    </xf>
    <xf numFmtId="0" fontId="0" fillId="0" borderId="0" xfId="0" applyAlignment="1"/>
    <xf numFmtId="167" fontId="0" fillId="0" borderId="1" xfId="14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2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3" xfId="16" xr:uid="{00000000-0005-0000-0000-000006000000}"/>
    <cellStyle name="Comma 4" xfId="19" xr:uid="{00000000-0005-0000-0000-000007000000}"/>
    <cellStyle name="Comma 5" xfId="20" xr:uid="{00000000-0005-0000-0000-000008000000}"/>
    <cellStyle name="Comma 5 2" xfId="8" xr:uid="{00000000-0005-0000-0000-000009000000}"/>
    <cellStyle name="Comma 5 2 2" xfId="11" xr:uid="{00000000-0005-0000-0000-00000A000000}"/>
    <cellStyle name="Comma 6" xfId="17" xr:uid="{00000000-0005-0000-0000-00000B000000}"/>
    <cellStyle name="Comma 7" xfId="21" xr:uid="{00000000-0005-0000-0000-00000C000000}"/>
    <cellStyle name="Comma 7 2" xfId="9" xr:uid="{00000000-0005-0000-0000-00000D000000}"/>
    <cellStyle name="Normal" xfId="0" builtinId="0"/>
    <cellStyle name="Normal 2" xfId="1" xr:uid="{00000000-0005-0000-0000-00000F000000}"/>
    <cellStyle name="Normal 2 2" xfId="7" xr:uid="{00000000-0005-0000-0000-000010000000}"/>
    <cellStyle name="Normal 3" xfId="12" xr:uid="{00000000-0005-0000-0000-000011000000}"/>
    <cellStyle name="Normal 4" xfId="15" xr:uid="{00000000-0005-0000-0000-000012000000}"/>
    <cellStyle name="Normal 4 3" xfId="3" xr:uid="{00000000-0005-0000-0000-000013000000}"/>
    <cellStyle name="Percent" xfId="13" builtinId="5"/>
    <cellStyle name="Percent 2" xfId="18" xr:uid="{00000000-0005-0000-0000-000015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7010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224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454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700307" y="2344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188</xdr:row>
      <xdr:rowOff>153520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452407" y="433303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259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452407" y="58988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07010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9224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188</xdr:row>
      <xdr:rowOff>153520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071282" y="37110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071282" y="50482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823882" y="196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823882" y="6497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823882" y="1072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2823882" y="653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19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2033307" y="653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19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0205757" y="653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100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2823882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100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823882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100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2823882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100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2033307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100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10205757" y="242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131</xdr:row>
      <xdr:rowOff>153520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3490632" y="31452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3490632" y="2687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349063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349063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349063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4100232" y="63837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620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10205757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2823882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2823882" y="5587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2823882" y="5606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2823882" y="5625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2823882" y="5644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2823882" y="5663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2823882" y="5682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2823882" y="5701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2823882" y="5720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2823882" y="5739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2823882" y="5758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2823882" y="5777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2823882" y="5796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2823882" y="5796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823882" y="5815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2823882" y="5835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2823882" y="5854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2823882" y="5873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2823882" y="589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2823882" y="591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2823882" y="5930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2823882" y="5949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2823882" y="596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2823882" y="598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2823882" y="600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2823882" y="6025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2823882" y="6044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2823882" y="6063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2823882" y="6082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2823882" y="6101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2823882" y="6120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2823882" y="6139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/>
      </xdr:nvSpPr>
      <xdr:spPr>
        <a:xfrm>
          <a:off x="2823882" y="6139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2823882" y="6158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2823882" y="6177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/>
      </xdr:nvSpPr>
      <xdr:spPr>
        <a:xfrm>
          <a:off x="2823882" y="6196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/>
      </xdr:nvSpPr>
      <xdr:spPr>
        <a:xfrm>
          <a:off x="2823882" y="6216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/>
      </xdr:nvSpPr>
      <xdr:spPr>
        <a:xfrm>
          <a:off x="2823882" y="6235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/>
      </xdr:nvSpPr>
      <xdr:spPr>
        <a:xfrm>
          <a:off x="2823882" y="6254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/>
      </xdr:nvSpPr>
      <xdr:spPr>
        <a:xfrm>
          <a:off x="2823882" y="6273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2823882" y="6292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2823882" y="6311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2823882" y="633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/>
      </xdr:nvSpPr>
      <xdr:spPr>
        <a:xfrm>
          <a:off x="2823882" y="634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/>
      </xdr:nvSpPr>
      <xdr:spPr>
        <a:xfrm>
          <a:off x="2823882" y="636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/>
      </xdr:nvSpPr>
      <xdr:spPr>
        <a:xfrm>
          <a:off x="2823882" y="636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2823882" y="6387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219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/>
      </xdr:nvSpPr>
      <xdr:spPr>
        <a:xfrm>
          <a:off x="2823882" y="640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220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/>
      </xdr:nvSpPr>
      <xdr:spPr>
        <a:xfrm>
          <a:off x="2823882" y="642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221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/>
      </xdr:nvSpPr>
      <xdr:spPr>
        <a:xfrm>
          <a:off x="2823882" y="6444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222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2823882" y="6463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223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/>
      </xdr:nvSpPr>
      <xdr:spPr>
        <a:xfrm>
          <a:off x="2823882" y="6482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224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/>
      </xdr:nvSpPr>
      <xdr:spPr>
        <a:xfrm>
          <a:off x="2823882" y="650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225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2823882" y="6520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226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/>
      </xdr:nvSpPr>
      <xdr:spPr>
        <a:xfrm>
          <a:off x="2823882" y="6539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227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/>
      </xdr:nvSpPr>
      <xdr:spPr>
        <a:xfrm>
          <a:off x="2823882" y="6558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228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/>
      </xdr:nvSpPr>
      <xdr:spPr>
        <a:xfrm>
          <a:off x="2823882" y="6577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229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2823882" y="6597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230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2823882" y="6616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231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 txBox="1"/>
      </xdr:nvSpPr>
      <xdr:spPr>
        <a:xfrm>
          <a:off x="2823882" y="6635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620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 txBox="1"/>
      </xdr:nvSpPr>
      <xdr:spPr>
        <a:xfrm>
          <a:off x="10205757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620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 txBox="1"/>
      </xdr:nvSpPr>
      <xdr:spPr>
        <a:xfrm>
          <a:off x="10205757" y="556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256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 txBox="1"/>
      </xdr:nvSpPr>
      <xdr:spPr>
        <a:xfrm>
          <a:off x="41002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256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 txBox="1"/>
      </xdr:nvSpPr>
      <xdr:spPr>
        <a:xfrm>
          <a:off x="41002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256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 txBox="1"/>
      </xdr:nvSpPr>
      <xdr:spPr>
        <a:xfrm>
          <a:off x="41002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 txBox="1"/>
      </xdr:nvSpPr>
      <xdr:spPr>
        <a:xfrm>
          <a:off x="34906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 txBox="1"/>
      </xdr:nvSpPr>
      <xdr:spPr>
        <a:xfrm>
          <a:off x="34906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 txBox="1"/>
      </xdr:nvSpPr>
      <xdr:spPr>
        <a:xfrm>
          <a:off x="349063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256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 txBox="1"/>
      </xdr:nvSpPr>
      <xdr:spPr>
        <a:xfrm>
          <a:off x="2823882" y="7320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257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 txBox="1"/>
      </xdr:nvSpPr>
      <xdr:spPr>
        <a:xfrm>
          <a:off x="2823882" y="7339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258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 txBox="1"/>
      </xdr:nvSpPr>
      <xdr:spPr>
        <a:xfrm>
          <a:off x="2823882" y="7359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259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 txBox="1"/>
      </xdr:nvSpPr>
      <xdr:spPr>
        <a:xfrm>
          <a:off x="2823882" y="7378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 txBox="1"/>
      </xdr:nvSpPr>
      <xdr:spPr>
        <a:xfrm>
          <a:off x="3490632" y="5640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249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 txBox="1"/>
      </xdr:nvSpPr>
      <xdr:spPr>
        <a:xfrm>
          <a:off x="410023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 txBox="1"/>
      </xdr:nvSpPr>
      <xdr:spPr>
        <a:xfrm>
          <a:off x="2823882" y="7168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 txBox="1"/>
      </xdr:nvSpPr>
      <xdr:spPr>
        <a:xfrm>
          <a:off x="2823882" y="7168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249</xdr:row>
      <xdr:rowOff>0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 txBox="1"/>
      </xdr:nvSpPr>
      <xdr:spPr>
        <a:xfrm>
          <a:off x="2823882" y="7187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313</xdr:row>
      <xdr:rowOff>153520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 txBox="1"/>
      </xdr:nvSpPr>
      <xdr:spPr>
        <a:xfrm>
          <a:off x="4100232" y="84221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349</xdr:row>
      <xdr:rowOff>0</xdr:rowOff>
    </xdr:from>
    <xdr:ext cx="65" cy="172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 txBox="1"/>
      </xdr:nvSpPr>
      <xdr:spPr>
        <a:xfrm>
          <a:off x="4100232" y="9549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373</xdr:row>
      <xdr:rowOff>0</xdr:rowOff>
    </xdr:from>
    <xdr:ext cx="65" cy="172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 txBox="1"/>
      </xdr:nvSpPr>
      <xdr:spPr>
        <a:xfrm>
          <a:off x="4100232" y="10006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 txBox="1"/>
      </xdr:nvSpPr>
      <xdr:spPr>
        <a:xfrm>
          <a:off x="349063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 txBox="1"/>
      </xdr:nvSpPr>
      <xdr:spPr>
        <a:xfrm>
          <a:off x="349063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 txBox="1"/>
      </xdr:nvSpPr>
      <xdr:spPr>
        <a:xfrm>
          <a:off x="349063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153520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 txBox="1"/>
      </xdr:nvSpPr>
      <xdr:spPr>
        <a:xfrm>
          <a:off x="4100232" y="95460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326</xdr:row>
      <xdr:rowOff>0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 txBox="1"/>
      </xdr:nvSpPr>
      <xdr:spPr>
        <a:xfrm>
          <a:off x="10205757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 txBox="1"/>
      </xdr:nvSpPr>
      <xdr:spPr>
        <a:xfrm>
          <a:off x="2823882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 txBox="1"/>
      </xdr:nvSpPr>
      <xdr:spPr>
        <a:xfrm>
          <a:off x="2823882" y="8749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326</xdr:row>
      <xdr:rowOff>0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 txBox="1"/>
      </xdr:nvSpPr>
      <xdr:spPr>
        <a:xfrm>
          <a:off x="2823882" y="8768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327</xdr:row>
      <xdr:rowOff>0</xdr:rowOff>
    </xdr:from>
    <xdr:ext cx="65" cy="172227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 txBox="1"/>
      </xdr:nvSpPr>
      <xdr:spPr>
        <a:xfrm>
          <a:off x="2823882" y="8787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328</xdr:row>
      <xdr:rowOff>0</xdr:rowOff>
    </xdr:from>
    <xdr:ext cx="65" cy="17222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 txBox="1"/>
      </xdr:nvSpPr>
      <xdr:spPr>
        <a:xfrm>
          <a:off x="2823882" y="8806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329</xdr:row>
      <xdr:rowOff>0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 txBox="1"/>
      </xdr:nvSpPr>
      <xdr:spPr>
        <a:xfrm>
          <a:off x="2823882" y="8825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 txBox="1"/>
      </xdr:nvSpPr>
      <xdr:spPr>
        <a:xfrm>
          <a:off x="2823882" y="8844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 txBox="1"/>
      </xdr:nvSpPr>
      <xdr:spPr>
        <a:xfrm>
          <a:off x="2823882" y="8863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 txBox="1"/>
      </xdr:nvSpPr>
      <xdr:spPr>
        <a:xfrm>
          <a:off x="2823882" y="8883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 txBox="1"/>
      </xdr:nvSpPr>
      <xdr:spPr>
        <a:xfrm>
          <a:off x="2823882" y="8902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 txBox="1"/>
      </xdr:nvSpPr>
      <xdr:spPr>
        <a:xfrm>
          <a:off x="2823882" y="8921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 txBox="1"/>
      </xdr:nvSpPr>
      <xdr:spPr>
        <a:xfrm>
          <a:off x="2823882" y="8940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0</xdr:rowOff>
    </xdr:from>
    <xdr:ext cx="65" cy="17222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 txBox="1"/>
      </xdr:nvSpPr>
      <xdr:spPr>
        <a:xfrm>
          <a:off x="2823882" y="895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0</xdr:rowOff>
    </xdr:from>
    <xdr:ext cx="65" cy="17222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 txBox="1"/>
      </xdr:nvSpPr>
      <xdr:spPr>
        <a:xfrm>
          <a:off x="2823882" y="895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0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 txBox="1"/>
      </xdr:nvSpPr>
      <xdr:spPr>
        <a:xfrm>
          <a:off x="2823882" y="8978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491</xdr:row>
      <xdr:rowOff>0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 txBox="1"/>
      </xdr:nvSpPr>
      <xdr:spPr>
        <a:xfrm>
          <a:off x="2823882" y="8997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492</xdr:row>
      <xdr:rowOff>0</xdr:rowOff>
    </xdr:from>
    <xdr:ext cx="65" cy="17222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 txBox="1"/>
      </xdr:nvSpPr>
      <xdr:spPr>
        <a:xfrm>
          <a:off x="2823882" y="9016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493</xdr:row>
      <xdr:rowOff>0</xdr:rowOff>
    </xdr:from>
    <xdr:ext cx="65" cy="17222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 txBox="1"/>
      </xdr:nvSpPr>
      <xdr:spPr>
        <a:xfrm>
          <a:off x="2823882" y="9035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494</xdr:row>
      <xdr:rowOff>0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 txBox="1"/>
      </xdr:nvSpPr>
      <xdr:spPr>
        <a:xfrm>
          <a:off x="2823882" y="9054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330</xdr:row>
      <xdr:rowOff>0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 txBox="1"/>
      </xdr:nvSpPr>
      <xdr:spPr>
        <a:xfrm>
          <a:off x="2823882" y="9073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331</xdr:row>
      <xdr:rowOff>0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 txBox="1"/>
      </xdr:nvSpPr>
      <xdr:spPr>
        <a:xfrm>
          <a:off x="2823882" y="9092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332</xdr:row>
      <xdr:rowOff>0</xdr:rowOff>
    </xdr:from>
    <xdr:ext cx="65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 txBox="1"/>
      </xdr:nvSpPr>
      <xdr:spPr>
        <a:xfrm>
          <a:off x="2823882" y="9111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333</xdr:row>
      <xdr:rowOff>0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 txBox="1"/>
      </xdr:nvSpPr>
      <xdr:spPr>
        <a:xfrm>
          <a:off x="2823882" y="9130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334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 txBox="1"/>
      </xdr:nvSpPr>
      <xdr:spPr>
        <a:xfrm>
          <a:off x="2823882" y="9149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335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 txBox="1"/>
      </xdr:nvSpPr>
      <xdr:spPr>
        <a:xfrm>
          <a:off x="2823882" y="9168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 txBox="1"/>
      </xdr:nvSpPr>
      <xdr:spPr>
        <a:xfrm>
          <a:off x="2823882" y="9187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 txBox="1"/>
      </xdr:nvSpPr>
      <xdr:spPr>
        <a:xfrm>
          <a:off x="2823882" y="9206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 txBox="1"/>
      </xdr:nvSpPr>
      <xdr:spPr>
        <a:xfrm>
          <a:off x="2823882" y="9225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 txBox="1"/>
      </xdr:nvSpPr>
      <xdr:spPr>
        <a:xfrm>
          <a:off x="2823882" y="9244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 txBox="1"/>
      </xdr:nvSpPr>
      <xdr:spPr>
        <a:xfrm>
          <a:off x="2823882" y="9264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495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 txBox="1"/>
      </xdr:nvSpPr>
      <xdr:spPr>
        <a:xfrm>
          <a:off x="2823882" y="9283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336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 txBox="1"/>
      </xdr:nvSpPr>
      <xdr:spPr>
        <a:xfrm>
          <a:off x="2823882" y="9302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336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 txBox="1"/>
      </xdr:nvSpPr>
      <xdr:spPr>
        <a:xfrm>
          <a:off x="2823882" y="9302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337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 txBox="1"/>
      </xdr:nvSpPr>
      <xdr:spPr>
        <a:xfrm>
          <a:off x="2823882" y="9321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338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 txBox="1"/>
      </xdr:nvSpPr>
      <xdr:spPr>
        <a:xfrm>
          <a:off x="2823882" y="9340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339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 txBox="1"/>
      </xdr:nvSpPr>
      <xdr:spPr>
        <a:xfrm>
          <a:off x="2823882" y="9359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340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 txBox="1"/>
      </xdr:nvSpPr>
      <xdr:spPr>
        <a:xfrm>
          <a:off x="2823882" y="9378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341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 txBox="1"/>
      </xdr:nvSpPr>
      <xdr:spPr>
        <a:xfrm>
          <a:off x="2823882" y="9397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342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 txBox="1"/>
      </xdr:nvSpPr>
      <xdr:spPr>
        <a:xfrm>
          <a:off x="2823882" y="9416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343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 txBox="1"/>
      </xdr:nvSpPr>
      <xdr:spPr>
        <a:xfrm>
          <a:off x="2823882" y="9435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344</xdr:row>
      <xdr:rowOff>0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 txBox="1"/>
      </xdr:nvSpPr>
      <xdr:spPr>
        <a:xfrm>
          <a:off x="2823882" y="9454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345</xdr:row>
      <xdr:rowOff>0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 txBox="1"/>
      </xdr:nvSpPr>
      <xdr:spPr>
        <a:xfrm>
          <a:off x="2823882" y="9473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346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 txBox="1"/>
      </xdr:nvSpPr>
      <xdr:spPr>
        <a:xfrm>
          <a:off x="2823882" y="9492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347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 txBox="1"/>
      </xdr:nvSpPr>
      <xdr:spPr>
        <a:xfrm>
          <a:off x="2823882" y="9511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 txBox="1"/>
      </xdr:nvSpPr>
      <xdr:spPr>
        <a:xfrm>
          <a:off x="2823882" y="9530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 txBox="1"/>
      </xdr:nvSpPr>
      <xdr:spPr>
        <a:xfrm>
          <a:off x="2823882" y="95307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349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 txBox="1"/>
      </xdr:nvSpPr>
      <xdr:spPr>
        <a:xfrm>
          <a:off x="2823882" y="9549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350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 txBox="1"/>
      </xdr:nvSpPr>
      <xdr:spPr>
        <a:xfrm>
          <a:off x="2823882" y="95688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351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 txBox="1"/>
      </xdr:nvSpPr>
      <xdr:spPr>
        <a:xfrm>
          <a:off x="2823882" y="95878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352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 txBox="1"/>
      </xdr:nvSpPr>
      <xdr:spPr>
        <a:xfrm>
          <a:off x="2823882" y="96069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353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 txBox="1"/>
      </xdr:nvSpPr>
      <xdr:spPr>
        <a:xfrm>
          <a:off x="2823882" y="9625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354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 txBox="1"/>
      </xdr:nvSpPr>
      <xdr:spPr>
        <a:xfrm>
          <a:off x="2823882" y="96450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355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 txBox="1"/>
      </xdr:nvSpPr>
      <xdr:spPr>
        <a:xfrm>
          <a:off x="2823882" y="9664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356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 txBox="1"/>
      </xdr:nvSpPr>
      <xdr:spPr>
        <a:xfrm>
          <a:off x="2823882" y="9683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 txBox="1"/>
      </xdr:nvSpPr>
      <xdr:spPr>
        <a:xfrm>
          <a:off x="2823882" y="970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358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 txBox="1"/>
      </xdr:nvSpPr>
      <xdr:spPr>
        <a:xfrm>
          <a:off x="2823882" y="972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359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 txBox="1"/>
      </xdr:nvSpPr>
      <xdr:spPr>
        <a:xfrm>
          <a:off x="2823882" y="9740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360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 txBox="1"/>
      </xdr:nvSpPr>
      <xdr:spPr>
        <a:xfrm>
          <a:off x="2823882" y="9759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361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 txBox="1"/>
      </xdr:nvSpPr>
      <xdr:spPr>
        <a:xfrm>
          <a:off x="2823882" y="977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362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 txBox="1"/>
      </xdr:nvSpPr>
      <xdr:spPr>
        <a:xfrm>
          <a:off x="2823882" y="9797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326</xdr:row>
      <xdr:rowOff>0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 txBox="1"/>
      </xdr:nvSpPr>
      <xdr:spPr>
        <a:xfrm>
          <a:off x="10205757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326</xdr:row>
      <xdr:rowOff>0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 txBox="1"/>
      </xdr:nvSpPr>
      <xdr:spPr>
        <a:xfrm>
          <a:off x="10205757" y="87306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327</xdr:row>
      <xdr:rowOff>153520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 txBox="1"/>
      </xdr:nvSpPr>
      <xdr:spPr>
        <a:xfrm>
          <a:off x="3490632" y="88031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380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 txBox="1"/>
      </xdr:nvSpPr>
      <xdr:spPr>
        <a:xfrm>
          <a:off x="41002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380</xdr:row>
      <xdr:rowOff>0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 txBox="1"/>
      </xdr:nvSpPr>
      <xdr:spPr>
        <a:xfrm>
          <a:off x="41002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380</xdr:row>
      <xdr:rowOff>0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 txBox="1"/>
      </xdr:nvSpPr>
      <xdr:spPr>
        <a:xfrm>
          <a:off x="41002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 txBox="1"/>
      </xdr:nvSpPr>
      <xdr:spPr>
        <a:xfrm>
          <a:off x="34906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 txBox="1"/>
      </xdr:nvSpPr>
      <xdr:spPr>
        <a:xfrm>
          <a:off x="34906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 txBox="1"/>
      </xdr:nvSpPr>
      <xdr:spPr>
        <a:xfrm>
          <a:off x="349063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380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 txBox="1"/>
      </xdr:nvSpPr>
      <xdr:spPr>
        <a:xfrm>
          <a:off x="2823882" y="101403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385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 txBox="1"/>
      </xdr:nvSpPr>
      <xdr:spPr>
        <a:xfrm>
          <a:off x="410023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383</xdr:row>
      <xdr:rowOff>153520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 txBox="1"/>
      </xdr:nvSpPr>
      <xdr:spPr>
        <a:xfrm>
          <a:off x="10205757" y="10212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381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 txBox="1"/>
      </xdr:nvSpPr>
      <xdr:spPr>
        <a:xfrm>
          <a:off x="2823882" y="1015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382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 txBox="1"/>
      </xdr:nvSpPr>
      <xdr:spPr>
        <a:xfrm>
          <a:off x="2823882" y="1017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383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 txBox="1"/>
      </xdr:nvSpPr>
      <xdr:spPr>
        <a:xfrm>
          <a:off x="2823882" y="10197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384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 txBox="1"/>
      </xdr:nvSpPr>
      <xdr:spPr>
        <a:xfrm>
          <a:off x="2823882" y="1021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384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 txBox="1"/>
      </xdr:nvSpPr>
      <xdr:spPr>
        <a:xfrm>
          <a:off x="2823882" y="102165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385</xdr:row>
      <xdr:rowOff>0</xdr:rowOff>
    </xdr:from>
    <xdr:ext cx="65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SpPr txBox="1"/>
      </xdr:nvSpPr>
      <xdr:spPr>
        <a:xfrm>
          <a:off x="282388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383</xdr:row>
      <xdr:rowOff>153520</xdr:rowOff>
    </xdr:from>
    <xdr:ext cx="65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SpPr txBox="1"/>
      </xdr:nvSpPr>
      <xdr:spPr>
        <a:xfrm>
          <a:off x="10205757" y="10212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12</xdr:col>
      <xdr:colOff>461682</xdr:colOff>
      <xdr:row>383</xdr:row>
      <xdr:rowOff>153520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 txBox="1"/>
      </xdr:nvSpPr>
      <xdr:spPr>
        <a:xfrm>
          <a:off x="10205757" y="102128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325</xdr:row>
      <xdr:rowOff>153520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SpPr txBox="1"/>
      </xdr:nvSpPr>
      <xdr:spPr>
        <a:xfrm>
          <a:off x="4100232" y="86507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361</xdr:row>
      <xdr:rowOff>0</xdr:rowOff>
    </xdr:from>
    <xdr:ext cx="65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 txBox="1"/>
      </xdr:nvSpPr>
      <xdr:spPr>
        <a:xfrm>
          <a:off x="4100232" y="977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385</xdr:row>
      <xdr:rowOff>0</xdr:rowOff>
    </xdr:from>
    <xdr:ext cx="65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SpPr txBox="1"/>
      </xdr:nvSpPr>
      <xdr:spPr>
        <a:xfrm>
          <a:off x="4100232" y="10235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415</xdr:row>
      <xdr:rowOff>153520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 txBox="1"/>
      </xdr:nvSpPr>
      <xdr:spPr>
        <a:xfrm>
          <a:off x="3490632" y="108605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 txBox="1"/>
      </xdr:nvSpPr>
      <xdr:spPr>
        <a:xfrm>
          <a:off x="107010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SpPr txBox="1"/>
      </xdr:nvSpPr>
      <xdr:spPr>
        <a:xfrm>
          <a:off x="9224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 txBox="1"/>
      </xdr:nvSpPr>
      <xdr:spPr>
        <a:xfrm>
          <a:off x="9862857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131</xdr:row>
      <xdr:rowOff>153520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 txBox="1"/>
      </xdr:nvSpPr>
      <xdr:spPr>
        <a:xfrm>
          <a:off x="9862857" y="287380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1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 txBox="1"/>
      </xdr:nvSpPr>
      <xdr:spPr>
        <a:xfrm>
          <a:off x="9862857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 txBox="1"/>
      </xdr:nvSpPr>
      <xdr:spPr>
        <a:xfrm>
          <a:off x="986285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 txBox="1"/>
      </xdr:nvSpPr>
      <xdr:spPr>
        <a:xfrm>
          <a:off x="986285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 txBox="1"/>
      </xdr:nvSpPr>
      <xdr:spPr>
        <a:xfrm>
          <a:off x="986285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256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 txBox="1"/>
      </xdr:nvSpPr>
      <xdr:spPr>
        <a:xfrm>
          <a:off x="986285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256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 txBox="1"/>
      </xdr:nvSpPr>
      <xdr:spPr>
        <a:xfrm>
          <a:off x="986285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256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SpPr txBox="1"/>
      </xdr:nvSpPr>
      <xdr:spPr>
        <a:xfrm>
          <a:off x="986285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620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SpPr txBox="1"/>
      </xdr:nvSpPr>
      <xdr:spPr>
        <a:xfrm>
          <a:off x="9862857" y="5369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326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SpPr txBox="1"/>
      </xdr:nvSpPr>
      <xdr:spPr>
        <a:xfrm>
          <a:off x="986285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326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SpPr txBox="1"/>
      </xdr:nvSpPr>
      <xdr:spPr>
        <a:xfrm>
          <a:off x="986285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326</xdr:row>
      <xdr:rowOff>0</xdr:rowOff>
    </xdr:from>
    <xdr:ext cx="65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SpPr txBox="1"/>
      </xdr:nvSpPr>
      <xdr:spPr>
        <a:xfrm>
          <a:off x="986285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327</xdr:row>
      <xdr:rowOff>153520</xdr:rowOff>
    </xdr:from>
    <xdr:ext cx="65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SpPr txBox="1"/>
      </xdr:nvSpPr>
      <xdr:spPr>
        <a:xfrm>
          <a:off x="9862857" y="85316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380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SpPr txBox="1"/>
      </xdr:nvSpPr>
      <xdr:spPr>
        <a:xfrm>
          <a:off x="986285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380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SpPr txBox="1"/>
      </xdr:nvSpPr>
      <xdr:spPr>
        <a:xfrm>
          <a:off x="986285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16</xdr:col>
      <xdr:colOff>0</xdr:colOff>
      <xdr:row>380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SpPr txBox="1"/>
      </xdr:nvSpPr>
      <xdr:spPr>
        <a:xfrm>
          <a:off x="986285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SpPr txBox="1"/>
      </xdr:nvSpPr>
      <xdr:spPr>
        <a:xfrm>
          <a:off x="9224682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18</xdr:row>
      <xdr:rowOff>153520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 txBox="1"/>
      </xdr:nvSpPr>
      <xdr:spPr>
        <a:xfrm>
          <a:off x="9224682" y="492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 txBox="1"/>
      </xdr:nvSpPr>
      <xdr:spPr>
        <a:xfrm>
          <a:off x="9224682" y="915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19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 txBox="1"/>
      </xdr:nvSpPr>
      <xdr:spPr>
        <a:xfrm>
          <a:off x="9224682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100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 txBox="1"/>
      </xdr:nvSpPr>
      <xdr:spPr>
        <a:xfrm>
          <a:off x="9224682" y="215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100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SpPr txBox="1"/>
      </xdr:nvSpPr>
      <xdr:spPr>
        <a:xfrm>
          <a:off x="9224682" y="215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100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SpPr txBox="1"/>
      </xdr:nvSpPr>
      <xdr:spPr>
        <a:xfrm>
          <a:off x="9224682" y="215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SpPr txBox="1"/>
      </xdr:nvSpPr>
      <xdr:spPr>
        <a:xfrm>
          <a:off x="9224682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 txBox="1"/>
      </xdr:nvSpPr>
      <xdr:spPr>
        <a:xfrm>
          <a:off x="9224682" y="5315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SpPr txBox="1"/>
      </xdr:nvSpPr>
      <xdr:spPr>
        <a:xfrm>
          <a:off x="9224682" y="5334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SpPr txBox="1"/>
      </xdr:nvSpPr>
      <xdr:spPr>
        <a:xfrm>
          <a:off x="9224682" y="5354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 txBox="1"/>
      </xdr:nvSpPr>
      <xdr:spPr>
        <a:xfrm>
          <a:off x="9224682" y="537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 txBox="1"/>
      </xdr:nvSpPr>
      <xdr:spPr>
        <a:xfrm>
          <a:off x="9224682" y="5392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 txBox="1"/>
      </xdr:nvSpPr>
      <xdr:spPr>
        <a:xfrm>
          <a:off x="9224682" y="5411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SpPr txBox="1"/>
      </xdr:nvSpPr>
      <xdr:spPr>
        <a:xfrm>
          <a:off x="9224682" y="5430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SpPr txBox="1"/>
      </xdr:nvSpPr>
      <xdr:spPr>
        <a:xfrm>
          <a:off x="9224682" y="5449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 txBox="1"/>
      </xdr:nvSpPr>
      <xdr:spPr>
        <a:xfrm>
          <a:off x="9224682" y="5468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SpPr txBox="1"/>
      </xdr:nvSpPr>
      <xdr:spPr>
        <a:xfrm>
          <a:off x="9224682" y="5487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 txBox="1"/>
      </xdr:nvSpPr>
      <xdr:spPr>
        <a:xfrm>
          <a:off x="9224682" y="5506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 txBox="1"/>
      </xdr:nvSpPr>
      <xdr:spPr>
        <a:xfrm>
          <a:off x="9224682" y="5525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 txBox="1"/>
      </xdr:nvSpPr>
      <xdr:spPr>
        <a:xfrm>
          <a:off x="9224682" y="5525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 txBox="1"/>
      </xdr:nvSpPr>
      <xdr:spPr>
        <a:xfrm>
          <a:off x="9224682" y="5544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 txBox="1"/>
      </xdr:nvSpPr>
      <xdr:spPr>
        <a:xfrm>
          <a:off x="9224682" y="5563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 txBox="1"/>
      </xdr:nvSpPr>
      <xdr:spPr>
        <a:xfrm>
          <a:off x="9224682" y="5582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 txBox="1"/>
      </xdr:nvSpPr>
      <xdr:spPr>
        <a:xfrm>
          <a:off x="9224682" y="5601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 txBox="1"/>
      </xdr:nvSpPr>
      <xdr:spPr>
        <a:xfrm>
          <a:off x="9224682" y="5620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 txBox="1"/>
      </xdr:nvSpPr>
      <xdr:spPr>
        <a:xfrm>
          <a:off x="9224682" y="5639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 txBox="1"/>
      </xdr:nvSpPr>
      <xdr:spPr>
        <a:xfrm>
          <a:off x="9224682" y="5658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 txBox="1"/>
      </xdr:nvSpPr>
      <xdr:spPr>
        <a:xfrm>
          <a:off x="9224682" y="5677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 txBox="1"/>
      </xdr:nvSpPr>
      <xdr:spPr>
        <a:xfrm>
          <a:off x="9224682" y="5696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 txBox="1"/>
      </xdr:nvSpPr>
      <xdr:spPr>
        <a:xfrm>
          <a:off x="9224682" y="571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 txBox="1"/>
      </xdr:nvSpPr>
      <xdr:spPr>
        <a:xfrm>
          <a:off x="9224682" y="5735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 txBox="1"/>
      </xdr:nvSpPr>
      <xdr:spPr>
        <a:xfrm>
          <a:off x="9224682" y="575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 txBox="1"/>
      </xdr:nvSpPr>
      <xdr:spPr>
        <a:xfrm>
          <a:off x="9224682" y="5773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 txBox="1"/>
      </xdr:nvSpPr>
      <xdr:spPr>
        <a:xfrm>
          <a:off x="9224682" y="5792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 txBox="1"/>
      </xdr:nvSpPr>
      <xdr:spPr>
        <a:xfrm>
          <a:off x="9224682" y="581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 txBox="1"/>
      </xdr:nvSpPr>
      <xdr:spPr>
        <a:xfrm>
          <a:off x="9224682" y="5830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 txBox="1"/>
      </xdr:nvSpPr>
      <xdr:spPr>
        <a:xfrm>
          <a:off x="9224682" y="5849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SpPr txBox="1"/>
      </xdr:nvSpPr>
      <xdr:spPr>
        <a:xfrm>
          <a:off x="9224682" y="5868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SpPr txBox="1"/>
      </xdr:nvSpPr>
      <xdr:spPr>
        <a:xfrm>
          <a:off x="9224682" y="5868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SpPr txBox="1"/>
      </xdr:nvSpPr>
      <xdr:spPr>
        <a:xfrm>
          <a:off x="9224682" y="5887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SpPr txBox="1"/>
      </xdr:nvSpPr>
      <xdr:spPr>
        <a:xfrm>
          <a:off x="9224682" y="5906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 txBox="1"/>
      </xdr:nvSpPr>
      <xdr:spPr>
        <a:xfrm>
          <a:off x="9224682" y="5925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 txBox="1"/>
      </xdr:nvSpPr>
      <xdr:spPr>
        <a:xfrm>
          <a:off x="9224682" y="5944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 txBox="1"/>
      </xdr:nvSpPr>
      <xdr:spPr>
        <a:xfrm>
          <a:off x="9224682" y="5963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 txBox="1"/>
      </xdr:nvSpPr>
      <xdr:spPr>
        <a:xfrm>
          <a:off x="9224682" y="5982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SpPr txBox="1"/>
      </xdr:nvSpPr>
      <xdr:spPr>
        <a:xfrm>
          <a:off x="9224682" y="6001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 txBox="1"/>
      </xdr:nvSpPr>
      <xdr:spPr>
        <a:xfrm>
          <a:off x="9224682" y="6020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 txBox="1"/>
      </xdr:nvSpPr>
      <xdr:spPr>
        <a:xfrm>
          <a:off x="9224682" y="6039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 txBox="1"/>
      </xdr:nvSpPr>
      <xdr:spPr>
        <a:xfrm>
          <a:off x="9224682" y="6058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 txBox="1"/>
      </xdr:nvSpPr>
      <xdr:spPr>
        <a:xfrm>
          <a:off x="9224682" y="6077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SpPr txBox="1"/>
      </xdr:nvSpPr>
      <xdr:spPr>
        <a:xfrm>
          <a:off x="9224682" y="6096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SpPr txBox="1"/>
      </xdr:nvSpPr>
      <xdr:spPr>
        <a:xfrm>
          <a:off x="9224682" y="6096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620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SpPr txBox="1"/>
      </xdr:nvSpPr>
      <xdr:spPr>
        <a:xfrm>
          <a:off x="9224682" y="6116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219</xdr:row>
      <xdr:rowOff>0</xdr:rowOff>
    </xdr:from>
    <xdr:ext cx="65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SpPr txBox="1"/>
      </xdr:nvSpPr>
      <xdr:spPr>
        <a:xfrm>
          <a:off x="9224682" y="6135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220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 txBox="1"/>
      </xdr:nvSpPr>
      <xdr:spPr>
        <a:xfrm>
          <a:off x="9224682" y="6154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221</xdr:row>
      <xdr:rowOff>0</xdr:rowOff>
    </xdr:from>
    <xdr:ext cx="65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SpPr txBox="1"/>
      </xdr:nvSpPr>
      <xdr:spPr>
        <a:xfrm>
          <a:off x="9224682" y="6173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222</xdr:row>
      <xdr:rowOff>0</xdr:rowOff>
    </xdr:from>
    <xdr:ext cx="65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SpPr txBox="1"/>
      </xdr:nvSpPr>
      <xdr:spPr>
        <a:xfrm>
          <a:off x="9224682" y="6192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223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SpPr txBox="1"/>
      </xdr:nvSpPr>
      <xdr:spPr>
        <a:xfrm>
          <a:off x="9224682" y="621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224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SpPr txBox="1"/>
      </xdr:nvSpPr>
      <xdr:spPr>
        <a:xfrm>
          <a:off x="9224682" y="6230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225</xdr:row>
      <xdr:rowOff>0</xdr:rowOff>
    </xdr:from>
    <xdr:ext cx="65" cy="172227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SpPr txBox="1"/>
      </xdr:nvSpPr>
      <xdr:spPr>
        <a:xfrm>
          <a:off x="9224682" y="6249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226</xdr:row>
      <xdr:rowOff>0</xdr:rowOff>
    </xdr:from>
    <xdr:ext cx="65" cy="17222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SpPr txBox="1"/>
      </xdr:nvSpPr>
      <xdr:spPr>
        <a:xfrm>
          <a:off x="9224682" y="6268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227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SpPr txBox="1"/>
      </xdr:nvSpPr>
      <xdr:spPr>
        <a:xfrm>
          <a:off x="9224682" y="6287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228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SpPr txBox="1"/>
      </xdr:nvSpPr>
      <xdr:spPr>
        <a:xfrm>
          <a:off x="9224682" y="6306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229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SpPr txBox="1"/>
      </xdr:nvSpPr>
      <xdr:spPr>
        <a:xfrm>
          <a:off x="9224682" y="6325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230</xdr:row>
      <xdr:rowOff>0</xdr:rowOff>
    </xdr:from>
    <xdr:ext cx="65" cy="172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SpPr txBox="1"/>
      </xdr:nvSpPr>
      <xdr:spPr>
        <a:xfrm>
          <a:off x="9224682" y="6344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231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SpPr txBox="1"/>
      </xdr:nvSpPr>
      <xdr:spPr>
        <a:xfrm>
          <a:off x="9224682" y="6363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256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SpPr txBox="1"/>
      </xdr:nvSpPr>
      <xdr:spPr>
        <a:xfrm>
          <a:off x="9224682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257</xdr:row>
      <xdr:rowOff>0</xdr:rowOff>
    </xdr:from>
    <xdr:ext cx="65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SpPr txBox="1"/>
      </xdr:nvSpPr>
      <xdr:spPr>
        <a:xfrm>
          <a:off x="9224682" y="7068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258</xdr:row>
      <xdr:rowOff>0</xdr:rowOff>
    </xdr:from>
    <xdr:ext cx="65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SpPr txBox="1"/>
      </xdr:nvSpPr>
      <xdr:spPr>
        <a:xfrm>
          <a:off x="9224682" y="7087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259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SpPr txBox="1"/>
      </xdr:nvSpPr>
      <xdr:spPr>
        <a:xfrm>
          <a:off x="9224682" y="7106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SpPr txBox="1"/>
      </xdr:nvSpPr>
      <xdr:spPr>
        <a:xfrm>
          <a:off x="9224682" y="6897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SpPr txBox="1"/>
      </xdr:nvSpPr>
      <xdr:spPr>
        <a:xfrm>
          <a:off x="9224682" y="6897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249</xdr:row>
      <xdr:rowOff>0</xdr:rowOff>
    </xdr:from>
    <xdr:ext cx="65" cy="172227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SpPr txBox="1"/>
      </xdr:nvSpPr>
      <xdr:spPr>
        <a:xfrm>
          <a:off x="9224682" y="6916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SpPr txBox="1"/>
      </xdr:nvSpPr>
      <xdr:spPr>
        <a:xfrm>
          <a:off x="9224682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SpPr txBox="1"/>
      </xdr:nvSpPr>
      <xdr:spPr>
        <a:xfrm>
          <a:off x="9224682" y="8478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326</xdr:row>
      <xdr:rowOff>0</xdr:rowOff>
    </xdr:from>
    <xdr:ext cx="65" cy="172227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SpPr txBox="1"/>
      </xdr:nvSpPr>
      <xdr:spPr>
        <a:xfrm>
          <a:off x="9224682" y="8497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327</xdr:row>
      <xdr:rowOff>0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SpPr txBox="1"/>
      </xdr:nvSpPr>
      <xdr:spPr>
        <a:xfrm>
          <a:off x="9224682" y="8516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328</xdr:row>
      <xdr:rowOff>0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SpPr txBox="1"/>
      </xdr:nvSpPr>
      <xdr:spPr>
        <a:xfrm>
          <a:off x="9224682" y="8535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329</xdr:row>
      <xdr:rowOff>0</xdr:rowOff>
    </xdr:from>
    <xdr:ext cx="65" cy="172227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SpPr txBox="1"/>
      </xdr:nvSpPr>
      <xdr:spPr>
        <a:xfrm>
          <a:off x="9224682" y="8554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330</xdr:row>
      <xdr:rowOff>0</xdr:rowOff>
    </xdr:from>
    <xdr:ext cx="65" cy="172227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SpPr txBox="1"/>
      </xdr:nvSpPr>
      <xdr:spPr>
        <a:xfrm>
          <a:off x="9224682" y="857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331</xdr:row>
      <xdr:rowOff>0</xdr:rowOff>
    </xdr:from>
    <xdr:ext cx="65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SpPr txBox="1"/>
      </xdr:nvSpPr>
      <xdr:spPr>
        <a:xfrm>
          <a:off x="9224682" y="8592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332</xdr:row>
      <xdr:rowOff>0</xdr:rowOff>
    </xdr:from>
    <xdr:ext cx="65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SpPr txBox="1"/>
      </xdr:nvSpPr>
      <xdr:spPr>
        <a:xfrm>
          <a:off x="9224682" y="8611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333</xdr:row>
      <xdr:rowOff>0</xdr:rowOff>
    </xdr:from>
    <xdr:ext cx="65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SpPr txBox="1"/>
      </xdr:nvSpPr>
      <xdr:spPr>
        <a:xfrm>
          <a:off x="9224682" y="8630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334</xdr:row>
      <xdr:rowOff>0</xdr:rowOff>
    </xdr:from>
    <xdr:ext cx="65" cy="17222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SpPr txBox="1"/>
      </xdr:nvSpPr>
      <xdr:spPr>
        <a:xfrm>
          <a:off x="9224682" y="8649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335</xdr:row>
      <xdr:rowOff>0</xdr:rowOff>
    </xdr:from>
    <xdr:ext cx="65" cy="172227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SpPr txBox="1"/>
      </xdr:nvSpPr>
      <xdr:spPr>
        <a:xfrm>
          <a:off x="9224682" y="8668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336</xdr:row>
      <xdr:rowOff>0</xdr:rowOff>
    </xdr:from>
    <xdr:ext cx="65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SpPr txBox="1"/>
      </xdr:nvSpPr>
      <xdr:spPr>
        <a:xfrm>
          <a:off x="9224682" y="8687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336</xdr:row>
      <xdr:rowOff>0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SpPr txBox="1"/>
      </xdr:nvSpPr>
      <xdr:spPr>
        <a:xfrm>
          <a:off x="9224682" y="8687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337</xdr:row>
      <xdr:rowOff>0</xdr:rowOff>
    </xdr:from>
    <xdr:ext cx="65" cy="172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SpPr txBox="1"/>
      </xdr:nvSpPr>
      <xdr:spPr>
        <a:xfrm>
          <a:off x="9224682" y="8706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338</xdr:row>
      <xdr:rowOff>0</xdr:rowOff>
    </xdr:from>
    <xdr:ext cx="65" cy="172227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SpPr txBox="1"/>
      </xdr:nvSpPr>
      <xdr:spPr>
        <a:xfrm>
          <a:off x="9224682" y="8725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339</xdr:row>
      <xdr:rowOff>0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SpPr txBox="1"/>
      </xdr:nvSpPr>
      <xdr:spPr>
        <a:xfrm>
          <a:off x="9224682" y="8744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340</xdr:row>
      <xdr:rowOff>0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SpPr txBox="1"/>
      </xdr:nvSpPr>
      <xdr:spPr>
        <a:xfrm>
          <a:off x="9224682" y="8763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341</xdr:row>
      <xdr:rowOff>0</xdr:rowOff>
    </xdr:from>
    <xdr:ext cx="65" cy="172227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SpPr txBox="1"/>
      </xdr:nvSpPr>
      <xdr:spPr>
        <a:xfrm>
          <a:off x="9224682" y="8783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342</xdr:row>
      <xdr:rowOff>0</xdr:rowOff>
    </xdr:from>
    <xdr:ext cx="65" cy="17222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SpPr txBox="1"/>
      </xdr:nvSpPr>
      <xdr:spPr>
        <a:xfrm>
          <a:off x="9224682" y="8802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343</xdr:row>
      <xdr:rowOff>0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SpPr txBox="1"/>
      </xdr:nvSpPr>
      <xdr:spPr>
        <a:xfrm>
          <a:off x="9224682" y="8821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344</xdr:row>
      <xdr:rowOff>0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SpPr txBox="1"/>
      </xdr:nvSpPr>
      <xdr:spPr>
        <a:xfrm>
          <a:off x="9224682" y="8840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345</xdr:row>
      <xdr:rowOff>0</xdr:rowOff>
    </xdr:from>
    <xdr:ext cx="65" cy="172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SpPr txBox="1"/>
      </xdr:nvSpPr>
      <xdr:spPr>
        <a:xfrm>
          <a:off x="9224682" y="8859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346</xdr:row>
      <xdr:rowOff>0</xdr:rowOff>
    </xdr:from>
    <xdr:ext cx="65" cy="172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SpPr txBox="1"/>
      </xdr:nvSpPr>
      <xdr:spPr>
        <a:xfrm>
          <a:off x="9224682" y="8878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347</xdr:row>
      <xdr:rowOff>0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SpPr txBox="1"/>
      </xdr:nvSpPr>
      <xdr:spPr>
        <a:xfrm>
          <a:off x="9224682" y="88973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348</xdr:row>
      <xdr:rowOff>0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SpPr txBox="1"/>
      </xdr:nvSpPr>
      <xdr:spPr>
        <a:xfrm>
          <a:off x="9224682" y="8916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348</xdr:row>
      <xdr:rowOff>0</xdr:rowOff>
    </xdr:from>
    <xdr:ext cx="65" cy="172227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SpPr txBox="1"/>
      </xdr:nvSpPr>
      <xdr:spPr>
        <a:xfrm>
          <a:off x="9224682" y="89163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349</xdr:row>
      <xdr:rowOff>0</xdr:rowOff>
    </xdr:from>
    <xdr:ext cx="65" cy="17222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SpPr txBox="1"/>
      </xdr:nvSpPr>
      <xdr:spPr>
        <a:xfrm>
          <a:off x="9224682" y="8935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350</xdr:row>
      <xdr:rowOff>0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SpPr txBox="1"/>
      </xdr:nvSpPr>
      <xdr:spPr>
        <a:xfrm>
          <a:off x="9224682" y="8954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351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SpPr txBox="1"/>
      </xdr:nvSpPr>
      <xdr:spPr>
        <a:xfrm>
          <a:off x="9224682" y="89735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352</xdr:row>
      <xdr:rowOff>0</xdr:rowOff>
    </xdr:from>
    <xdr:ext cx="65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SpPr txBox="1"/>
      </xdr:nvSpPr>
      <xdr:spPr>
        <a:xfrm>
          <a:off x="9224682" y="89925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353</xdr:row>
      <xdr:rowOff>0</xdr:rowOff>
    </xdr:from>
    <xdr:ext cx="65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SpPr txBox="1"/>
      </xdr:nvSpPr>
      <xdr:spPr>
        <a:xfrm>
          <a:off x="9224682" y="90116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354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SpPr txBox="1"/>
      </xdr:nvSpPr>
      <xdr:spPr>
        <a:xfrm>
          <a:off x="9224682" y="9030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355</xdr:row>
      <xdr:rowOff>0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SpPr txBox="1"/>
      </xdr:nvSpPr>
      <xdr:spPr>
        <a:xfrm>
          <a:off x="9224682" y="90497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356</xdr:row>
      <xdr:rowOff>0</xdr:rowOff>
    </xdr:from>
    <xdr:ext cx="65" cy="17222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SpPr txBox="1"/>
      </xdr:nvSpPr>
      <xdr:spPr>
        <a:xfrm>
          <a:off x="9224682" y="90687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357</xdr:row>
      <xdr:rowOff>0</xdr:rowOff>
    </xdr:from>
    <xdr:ext cx="65" cy="172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SpPr txBox="1"/>
      </xdr:nvSpPr>
      <xdr:spPr>
        <a:xfrm>
          <a:off x="9224682" y="9087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358</xdr:row>
      <xdr:rowOff>0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SpPr txBox="1"/>
      </xdr:nvSpPr>
      <xdr:spPr>
        <a:xfrm>
          <a:off x="9224682" y="910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359</xdr:row>
      <xdr:rowOff>0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SpPr txBox="1"/>
      </xdr:nvSpPr>
      <xdr:spPr>
        <a:xfrm>
          <a:off x="9224682" y="91259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360</xdr:row>
      <xdr:rowOff>0</xdr:rowOff>
    </xdr:from>
    <xdr:ext cx="65" cy="172227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SpPr txBox="1"/>
      </xdr:nvSpPr>
      <xdr:spPr>
        <a:xfrm>
          <a:off x="9224682" y="9144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361</xdr:row>
      <xdr:rowOff>0</xdr:rowOff>
    </xdr:from>
    <xdr:ext cx="65" cy="172227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SpPr txBox="1"/>
      </xdr:nvSpPr>
      <xdr:spPr>
        <a:xfrm>
          <a:off x="9224682" y="9164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362</xdr:row>
      <xdr:rowOff>0</xdr:rowOff>
    </xdr:from>
    <xdr:ext cx="65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SpPr txBox="1"/>
      </xdr:nvSpPr>
      <xdr:spPr>
        <a:xfrm>
          <a:off x="9224682" y="9183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380</xdr:row>
      <xdr:rowOff>0</xdr:rowOff>
    </xdr:from>
    <xdr:ext cx="65" cy="172227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SpPr txBox="1"/>
      </xdr:nvSpPr>
      <xdr:spPr>
        <a:xfrm>
          <a:off x="9224682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381</xdr:row>
      <xdr:rowOff>0</xdr:rowOff>
    </xdr:from>
    <xdr:ext cx="65" cy="172227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SpPr txBox="1"/>
      </xdr:nvSpPr>
      <xdr:spPr>
        <a:xfrm>
          <a:off x="9224682" y="9545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382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SpPr txBox="1"/>
      </xdr:nvSpPr>
      <xdr:spPr>
        <a:xfrm>
          <a:off x="9224682" y="956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383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SpPr txBox="1"/>
      </xdr:nvSpPr>
      <xdr:spPr>
        <a:xfrm>
          <a:off x="9224682" y="95831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384</xdr:row>
      <xdr:rowOff>0</xdr:rowOff>
    </xdr:from>
    <xdr:ext cx="65" cy="17222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SpPr txBox="1"/>
      </xdr:nvSpPr>
      <xdr:spPr>
        <a:xfrm>
          <a:off x="9224682" y="9602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384</xdr:row>
      <xdr:rowOff>0</xdr:rowOff>
    </xdr:from>
    <xdr:ext cx="65" cy="172227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SpPr txBox="1"/>
      </xdr:nvSpPr>
      <xdr:spPr>
        <a:xfrm>
          <a:off x="9224682" y="9602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385</xdr:row>
      <xdr:rowOff>0</xdr:rowOff>
    </xdr:from>
    <xdr:ext cx="65" cy="172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SpPr txBox="1"/>
      </xdr:nvSpPr>
      <xdr:spPr>
        <a:xfrm>
          <a:off x="9224682" y="96212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520</xdr:row>
      <xdr:rowOff>153520</xdr:rowOff>
    </xdr:from>
    <xdr:ext cx="65" cy="172227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 txBox="1"/>
      </xdr:nvSpPr>
      <xdr:spPr>
        <a:xfrm>
          <a:off x="22188207" y="287380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396</xdr:row>
      <xdr:rowOff>153520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SpPr txBox="1"/>
      </xdr:nvSpPr>
      <xdr:spPr>
        <a:xfrm>
          <a:off x="22188207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SpPr txBox="1"/>
      </xdr:nvSpPr>
      <xdr:spPr>
        <a:xfrm>
          <a:off x="2218820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 txBox="1"/>
      </xdr:nvSpPr>
      <xdr:spPr>
        <a:xfrm>
          <a:off x="2218820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SpPr txBox="1"/>
      </xdr:nvSpPr>
      <xdr:spPr>
        <a:xfrm>
          <a:off x="22188207" y="5296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SpPr txBox="1"/>
      </xdr:nvSpPr>
      <xdr:spPr>
        <a:xfrm>
          <a:off x="2218820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SpPr txBox="1"/>
      </xdr:nvSpPr>
      <xdr:spPr>
        <a:xfrm>
          <a:off x="2218820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SpPr txBox="1"/>
      </xdr:nvSpPr>
      <xdr:spPr>
        <a:xfrm>
          <a:off x="22188207" y="7049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 txBox="1"/>
      </xdr:nvSpPr>
      <xdr:spPr>
        <a:xfrm>
          <a:off x="22188207" y="5369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 txBox="1"/>
      </xdr:nvSpPr>
      <xdr:spPr>
        <a:xfrm>
          <a:off x="2218820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SpPr txBox="1"/>
      </xdr:nvSpPr>
      <xdr:spPr>
        <a:xfrm>
          <a:off x="2218820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SpPr txBox="1"/>
      </xdr:nvSpPr>
      <xdr:spPr>
        <a:xfrm>
          <a:off x="22188207" y="84591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SpPr txBox="1"/>
      </xdr:nvSpPr>
      <xdr:spPr>
        <a:xfrm>
          <a:off x="22188207" y="85316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SpPr txBox="1"/>
      </xdr:nvSpPr>
      <xdr:spPr>
        <a:xfrm>
          <a:off x="2218820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SpPr txBox="1"/>
      </xdr:nvSpPr>
      <xdr:spPr>
        <a:xfrm>
          <a:off x="2218820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SpPr txBox="1"/>
      </xdr:nvSpPr>
      <xdr:spPr>
        <a:xfrm>
          <a:off x="22188207" y="95259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620</xdr:row>
      <xdr:rowOff>0</xdr:rowOff>
    </xdr:from>
    <xdr:ext cx="65" cy="172227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SpPr txBox="1"/>
      </xdr:nvSpPr>
      <xdr:spPr>
        <a:xfrm>
          <a:off x="89008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620</xdr:row>
      <xdr:rowOff>0</xdr:rowOff>
    </xdr:from>
    <xdr:ext cx="65" cy="172227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SpPr txBox="1"/>
      </xdr:nvSpPr>
      <xdr:spPr>
        <a:xfrm>
          <a:off x="100565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620</xdr:row>
      <xdr:rowOff>0</xdr:rowOff>
    </xdr:from>
    <xdr:ext cx="65" cy="17222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SpPr txBox="1"/>
      </xdr:nvSpPr>
      <xdr:spPr>
        <a:xfrm>
          <a:off x="11599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4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AA50F9-4F24-4913-9934-914268498098}"/>
            </a:ext>
          </a:extLst>
        </xdr:cNvPr>
        <xdr:cNvSpPr txBox="1"/>
      </xdr:nvSpPr>
      <xdr:spPr>
        <a:xfrm>
          <a:off x="5948082" y="890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64DFA9-826E-485F-951D-D96E7B68FBA3}"/>
            </a:ext>
          </a:extLst>
        </xdr:cNvPr>
        <xdr:cNvSpPr txBox="1"/>
      </xdr:nvSpPr>
      <xdr:spPr>
        <a:xfrm>
          <a:off x="71672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151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27DACB-1EAF-4C14-9BA3-B2BA02EAA792}"/>
            </a:ext>
          </a:extLst>
        </xdr:cNvPr>
        <xdr:cNvSpPr txBox="1"/>
      </xdr:nvSpPr>
      <xdr:spPr>
        <a:xfrm>
          <a:off x="7167282" y="27806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</xdr:row>
      <xdr:rowOff>153520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0EF78E-16B7-47FF-8469-8208E54E2D88}"/>
            </a:ext>
          </a:extLst>
        </xdr:cNvPr>
        <xdr:cNvSpPr txBox="1"/>
      </xdr:nvSpPr>
      <xdr:spPr>
        <a:xfrm>
          <a:off x="5948082" y="3099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59A2B03-5198-47C7-9967-9274E422A528}"/>
            </a:ext>
          </a:extLst>
        </xdr:cNvPr>
        <xdr:cNvSpPr txBox="1"/>
      </xdr:nvSpPr>
      <xdr:spPr>
        <a:xfrm>
          <a:off x="59480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0AD82-1A68-499D-8BDD-AAA6270299F1}"/>
            </a:ext>
          </a:extLst>
        </xdr:cNvPr>
        <xdr:cNvSpPr txBox="1"/>
      </xdr:nvSpPr>
      <xdr:spPr>
        <a:xfrm>
          <a:off x="71672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388DA8E-6270-42DC-A714-0EA2F8A84272}"/>
            </a:ext>
          </a:extLst>
        </xdr:cNvPr>
        <xdr:cNvSpPr txBox="1"/>
      </xdr:nvSpPr>
      <xdr:spPr>
        <a:xfrm>
          <a:off x="71672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186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BE5A8B6-E927-49A4-A82A-2496B301B5AE}"/>
            </a:ext>
          </a:extLst>
        </xdr:cNvPr>
        <xdr:cNvSpPr txBox="1"/>
      </xdr:nvSpPr>
      <xdr:spPr>
        <a:xfrm>
          <a:off x="7167282" y="3425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19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70778F-4DFB-45FA-A29B-9A084E022905}"/>
            </a:ext>
          </a:extLst>
        </xdr:cNvPr>
        <xdr:cNvSpPr txBox="1"/>
      </xdr:nvSpPr>
      <xdr:spPr>
        <a:xfrm>
          <a:off x="5338482" y="349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74F53C-54DC-48FD-A42C-A1A356400404}"/>
            </a:ext>
          </a:extLst>
        </xdr:cNvPr>
        <xdr:cNvSpPr txBox="1"/>
      </xdr:nvSpPr>
      <xdr:spPr>
        <a:xfrm>
          <a:off x="5948082" y="4603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140</xdr:row>
      <xdr:rowOff>153520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72F7DDB-AAF2-4F6E-A329-6BE28B6202C8}"/>
            </a:ext>
          </a:extLst>
        </xdr:cNvPr>
        <xdr:cNvSpPr txBox="1"/>
      </xdr:nvSpPr>
      <xdr:spPr>
        <a:xfrm>
          <a:off x="7167282" y="25934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86</xdr:row>
      <xdr:rowOff>153520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AB2B5BF-E35D-4843-AD9C-D6DE6839623D}"/>
            </a:ext>
          </a:extLst>
        </xdr:cNvPr>
        <xdr:cNvSpPr txBox="1"/>
      </xdr:nvSpPr>
      <xdr:spPr>
        <a:xfrm>
          <a:off x="5948082" y="15990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181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37D2A88-76F4-401E-95FF-0969E7A14BD1}"/>
            </a:ext>
          </a:extLst>
        </xdr:cNvPr>
        <xdr:cNvSpPr txBox="1"/>
      </xdr:nvSpPr>
      <xdr:spPr>
        <a:xfrm>
          <a:off x="7167282" y="3333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0</xdr:row>
      <xdr:rowOff>153520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66C7F49-2325-4683-BB0B-9C586FC6EE5D}"/>
            </a:ext>
          </a:extLst>
        </xdr:cNvPr>
        <xdr:cNvSpPr txBox="1"/>
      </xdr:nvSpPr>
      <xdr:spPr>
        <a:xfrm>
          <a:off x="71672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BBC216D-BBC4-42C0-9B0A-753885CC35B1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0</xdr:row>
      <xdr:rowOff>153520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55FD22-E176-424E-9C4D-F701FB84B607}"/>
            </a:ext>
          </a:extLst>
        </xdr:cNvPr>
        <xdr:cNvSpPr txBox="1"/>
      </xdr:nvSpPr>
      <xdr:spPr>
        <a:xfrm>
          <a:off x="59480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ED572C5-C6B7-418E-AE85-317B14C36B92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D509B91-47C0-43A0-AC23-DBC2325DD76D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66BB68D-3C1D-4CB5-893E-A0122388FBD8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0</xdr:row>
      <xdr:rowOff>153520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0130BAB-484A-4DB3-865D-D9CDB78C1552}"/>
            </a:ext>
          </a:extLst>
        </xdr:cNvPr>
        <xdr:cNvSpPr txBox="1"/>
      </xdr:nvSpPr>
      <xdr:spPr>
        <a:xfrm>
          <a:off x="6557682" y="153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298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237F371-59BB-45D5-BCC0-D2BCF6C6F8A6}"/>
            </a:ext>
          </a:extLst>
        </xdr:cNvPr>
        <xdr:cNvSpPr txBox="1"/>
      </xdr:nvSpPr>
      <xdr:spPr>
        <a:xfrm>
          <a:off x="5948082" y="5487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33E825D-3FC2-474C-B883-3E789A24EF0A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4194E2D-FBDE-42D2-A7B0-ECA137497E36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C9C3314-22CF-41F6-B374-C103F6E569C4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6CD264E-778C-431F-9EF9-03351310472C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D8D0F8A-6783-4882-ADDE-F5748BC0EBA5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DBF0DF7-BB1A-4CF9-A899-2974A653F43A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65CB824-94CB-4D92-9133-783A5E966368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09B77D8-A2BD-4F56-887F-3B6B16BB7EE3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348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059FCB8-8E9D-46B2-A287-FEB09833FC45}"/>
            </a:ext>
          </a:extLst>
        </xdr:cNvPr>
        <xdr:cNvSpPr txBox="1"/>
      </xdr:nvSpPr>
      <xdr:spPr>
        <a:xfrm>
          <a:off x="53384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56AF6AA-FFC6-4F36-964E-527223F5EF27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6B3D3E0-616F-44F2-8F25-A613EE7DA4F0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348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4BB9629-4C9B-4C16-8B4B-E7A4EAB51E5D}"/>
            </a:ext>
          </a:extLst>
        </xdr:cNvPr>
        <xdr:cNvSpPr txBox="1"/>
      </xdr:nvSpPr>
      <xdr:spPr>
        <a:xfrm>
          <a:off x="59480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348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D1A9BB0-C860-4D34-980D-7A6B45628A82}"/>
            </a:ext>
          </a:extLst>
        </xdr:cNvPr>
        <xdr:cNvSpPr txBox="1"/>
      </xdr:nvSpPr>
      <xdr:spPr>
        <a:xfrm>
          <a:off x="7167282" y="64084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351</xdr:row>
      <xdr:rowOff>153520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FD49D67-CEA3-4AAF-BFB9-8D06F981FDA9}"/>
            </a:ext>
          </a:extLst>
        </xdr:cNvPr>
        <xdr:cNvSpPr txBox="1"/>
      </xdr:nvSpPr>
      <xdr:spPr>
        <a:xfrm>
          <a:off x="5948082" y="64790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153520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430714B-3AD0-4F15-98D0-F3333F047016}"/>
            </a:ext>
          </a:extLst>
        </xdr:cNvPr>
        <xdr:cNvSpPr txBox="1"/>
      </xdr:nvSpPr>
      <xdr:spPr>
        <a:xfrm>
          <a:off x="59480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153520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7641AA7-3FD2-4432-921B-2AAAF9DC6230}"/>
            </a:ext>
          </a:extLst>
        </xdr:cNvPr>
        <xdr:cNvSpPr txBox="1"/>
      </xdr:nvSpPr>
      <xdr:spPr>
        <a:xfrm>
          <a:off x="59480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4814912-8AEF-4B2F-A56E-9AACF5E86BC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DE79281-6021-48FA-9AB5-126E6521667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935A1AD-EA6E-47A6-A189-69BC28B2CF5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B9A06EF-86F1-4EEC-9D2C-44981D2FB50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2BA0FD4-E652-4BAC-9566-8AD059FFFF5C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35469C8-F2C1-481D-B2BC-C04B6F9BFEB9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357</xdr:row>
      <xdr:rowOff>153520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F274436-71B3-4693-9E45-68D973936512}"/>
            </a:ext>
          </a:extLst>
        </xdr:cNvPr>
        <xdr:cNvSpPr txBox="1"/>
      </xdr:nvSpPr>
      <xdr:spPr>
        <a:xfrm>
          <a:off x="65576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357</xdr:row>
      <xdr:rowOff>153520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D6022AF-F25C-4457-966D-D47BD55ED552}"/>
            </a:ext>
          </a:extLst>
        </xdr:cNvPr>
        <xdr:cNvSpPr txBox="1"/>
      </xdr:nvSpPr>
      <xdr:spPr>
        <a:xfrm>
          <a:off x="6557682" y="65895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15B579C-4849-471C-A43E-911700A6209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5612D6C-F0DB-4116-B08D-E233ADBFA5CE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578577D-B39E-40E6-B872-2F48A0CE95F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1DCEFFA-4AE7-43EE-80F0-BE0D65577D5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2693B32-7371-444E-9571-A57861D5DF3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B29D044-A6FE-44B2-8A0D-9F5EFD787FE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AABB08D-6876-4E41-A1B7-1082CC44C85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171D047-D88C-4AF3-B48F-8F3AFD48B39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28F9A1C-E33B-45A6-81DB-5DB897EAC8F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40F1E16-58F5-4D81-9CE1-3119AEBC3CA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F66F9B1-AB82-4B84-865A-AB579177E98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7B7BEC4-7B64-4003-87A0-5DCBFD2C50A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E9641CB-AA59-4848-BBC5-4F671B80793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583FBF1-9B09-44F9-BEC4-24073E83638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40D8C63-394A-4B01-AE52-90D305170CB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5DCA7AE-64B1-4C43-A140-FBFD0E3ABEE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94A6F4E-F0BA-4AAC-9126-38A1F3674A8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3651062-85CC-4992-BF81-DB294DA388C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8CA542C-1E22-4187-A99C-EDD721C200B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9D8DEEA-3025-485E-9BDF-D70B8F87374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E2F3FCC-6616-491F-AA8A-085F6EE48D5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6B47717-1BBF-4EB0-BBCF-55964B0ECE7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6FF05C7-0857-4F37-B4B5-D91BCAC3BE19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24C2362-0ECB-4AC4-BFB2-16128865C3D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71421D9E-2FFA-4DCC-955E-08D27B8AE89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D27FBBE-D96C-4506-97B7-54BCEC6DDD0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FBD6CC1-9990-4CE9-B2E6-F374670272C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61B9C8BC-00CE-4ED9-9A92-2005D6D73E3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B116BF9-0DE6-4866-B529-521D77197C6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DCDEA38-8787-4C34-9FD2-97BE199605A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344B7D3-E019-49C4-AE80-B32AEED92C6E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55D8252-70DC-4CBC-8924-7D0F627D455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7D1B697-BA50-465F-B8AF-BAEF1FA863C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AC33C46-5937-4FC6-ABC0-E6AA6729BBC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7A5D2CC4-2E68-4A96-B69D-2EB6A1ED6E4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B29D176-33D3-410F-B6EE-A860D76AA04E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03F3EB8-6550-4CA4-AD6A-6AF9F0C82D0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E7A4489-3A62-4B17-8648-1184C3B6D12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1DE8539B-7F09-4ADB-A860-3B1C234D5BF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9E087451-B02C-421D-8602-C797468C496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8274A7CF-D93D-4755-9D21-FAE704FC29C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A683379-F75E-428A-B46A-1643C6A1EF4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BED8B21-84B5-4DBD-AD6C-92C21BB5E069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97C2058-326A-403D-8D8A-7CA351715DB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72DDE83-A158-4749-A379-27CEC762E1D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C358976-55E3-42A2-8CA4-44E78310CD0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EA99A36-1DD4-460B-A505-869BC185DB6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ADBF046-ED58-4331-9DA8-7A131D90386A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17203C0-A957-493C-BC75-3128F891C77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03FDD01-D27D-4C46-A82C-CDED9A730AD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DB6B5B1-F9CF-4961-85FB-AD1B1FDC40BC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9C399195-8C2C-478A-81A3-1C3362F6DB3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90D85D9A-F6CF-43D0-B3EC-ED481875CCB6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311538D2-5F3D-499B-8580-C103CCCE116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F0DF3F36-920A-4536-AE1C-087CB7D1B85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3EC9016-A433-402D-AC4F-EA277542643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D7D2DE6A-A413-464B-B00D-27E8CFCDD24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11D4CC0-835F-48DF-90FB-F7428755419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A2BA9E1-C3E3-48C5-BDA4-406491CC4A48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935773B-32BD-410C-8E5F-4C941206A544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3B0E964-494B-4412-8CE7-A10F86FE4251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C7C86D40-3A66-46E4-A6CC-972F5D82D56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AFF11A0-0DB3-4CEB-B15A-F0513336E95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B7CFA88A-F33B-496B-9398-AF3C674BD60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372F517A-7174-4084-AFEA-CD3B7B894553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E4F23D19-E3E8-4180-946C-1EC9745EF1EB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06FCA17-EC80-4343-A259-08FEFD159122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7153FEFD-57D1-4460-A399-B21239D28C3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ED073652-49D1-45D5-AE0D-832922128F1D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10CDD9B-F811-48B0-9CB7-70666C8F22E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1640A67D-CE8E-4CD7-8505-D530332DD8E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2F8F207-7777-4858-8432-1DCCB36C3CAF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713B16F-C3A5-495E-964A-97C9D97E1EE7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491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94AD231-D2C6-43CD-93F2-96171366F716}"/>
            </a:ext>
          </a:extLst>
        </xdr:cNvPr>
        <xdr:cNvSpPr txBox="1"/>
      </xdr:nvSpPr>
      <xdr:spPr>
        <a:xfrm>
          <a:off x="7167282" y="904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25D7D34-1ECD-4D8D-A899-3C0FE2676441}"/>
            </a:ext>
          </a:extLst>
        </xdr:cNvPr>
        <xdr:cNvSpPr txBox="1"/>
      </xdr:nvSpPr>
      <xdr:spPr>
        <a:xfrm>
          <a:off x="5948082" y="904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491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83390F63-0BAF-4041-91E5-5AA11792B5AC}"/>
            </a:ext>
          </a:extLst>
        </xdr:cNvPr>
        <xdr:cNvSpPr txBox="1"/>
      </xdr:nvSpPr>
      <xdr:spPr>
        <a:xfrm>
          <a:off x="6557682" y="9041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B4C96B55-3DC1-476F-9126-B31A46610579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9A399B6-1EBC-4C21-BF43-AFEFE193C869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153520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AEF32C9-4562-4EC4-A3B1-9579670C67B6}"/>
            </a:ext>
          </a:extLst>
        </xdr:cNvPr>
        <xdr:cNvSpPr txBox="1"/>
      </xdr:nvSpPr>
      <xdr:spPr>
        <a:xfrm>
          <a:off x="5948082" y="90387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490</xdr:row>
      <xdr:rowOff>153520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3F705FD8-BF01-4FF0-95A0-C47C49723DD3}"/>
            </a:ext>
          </a:extLst>
        </xdr:cNvPr>
        <xdr:cNvSpPr txBox="1"/>
      </xdr:nvSpPr>
      <xdr:spPr>
        <a:xfrm>
          <a:off x="5948082" y="90387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D8BC5595-ABBA-4FEF-86F5-FA3AC9F55577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F6DD5E2F-F49C-4339-96F3-1459561083E3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CC30C729-50D7-4BEC-ADCF-D26AFE8B66C5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2BE02351-131D-45D6-B7DB-58D115BE0AEE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A9FDF137-6B4D-490A-9AC2-D6203ACF2811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464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762E3066-2A29-49EC-B17E-F20A8F824D3A}"/>
            </a:ext>
          </a:extLst>
        </xdr:cNvPr>
        <xdr:cNvSpPr txBox="1"/>
      </xdr:nvSpPr>
      <xdr:spPr>
        <a:xfrm>
          <a:off x="59480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485</xdr:row>
      <xdr:rowOff>153520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7A565EE1-04F1-42F6-8465-E4B41A781431}"/>
            </a:ext>
          </a:extLst>
        </xdr:cNvPr>
        <xdr:cNvSpPr txBox="1"/>
      </xdr:nvSpPr>
      <xdr:spPr>
        <a:xfrm>
          <a:off x="71672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153520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AF9E5E65-4974-481B-8A8D-89EE551DBDA3}"/>
            </a:ext>
          </a:extLst>
        </xdr:cNvPr>
        <xdr:cNvSpPr txBox="1"/>
      </xdr:nvSpPr>
      <xdr:spPr>
        <a:xfrm>
          <a:off x="65576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153520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B25C006-5757-4F35-AB2D-074C33E251A6}"/>
            </a:ext>
          </a:extLst>
        </xdr:cNvPr>
        <xdr:cNvSpPr txBox="1"/>
      </xdr:nvSpPr>
      <xdr:spPr>
        <a:xfrm>
          <a:off x="59480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473</xdr:row>
      <xdr:rowOff>153520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AF80C3C4-843A-4825-ADD3-C05C0EA74FB3}"/>
            </a:ext>
          </a:extLst>
        </xdr:cNvPr>
        <xdr:cNvSpPr txBox="1"/>
      </xdr:nvSpPr>
      <xdr:spPr>
        <a:xfrm>
          <a:off x="65576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473</xdr:row>
      <xdr:rowOff>153520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24B460E-84D8-4B7C-993D-658BFACD5BE2}"/>
            </a:ext>
          </a:extLst>
        </xdr:cNvPr>
        <xdr:cNvSpPr txBox="1"/>
      </xdr:nvSpPr>
      <xdr:spPr>
        <a:xfrm>
          <a:off x="65576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3943BF70-9C8C-4ECF-BE53-592D139C37D6}"/>
            </a:ext>
          </a:extLst>
        </xdr:cNvPr>
        <xdr:cNvSpPr txBox="1"/>
      </xdr:nvSpPr>
      <xdr:spPr>
        <a:xfrm>
          <a:off x="65576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B4A393E-2567-4DD5-80FC-F7BB35C74F5C}"/>
            </a:ext>
          </a:extLst>
        </xdr:cNvPr>
        <xdr:cNvSpPr txBox="1"/>
      </xdr:nvSpPr>
      <xdr:spPr>
        <a:xfrm>
          <a:off x="65576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153520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8CF2359D-058C-47E9-B8C5-DE3EFDFAA747}"/>
            </a:ext>
          </a:extLst>
        </xdr:cNvPr>
        <xdr:cNvSpPr txBox="1"/>
      </xdr:nvSpPr>
      <xdr:spPr>
        <a:xfrm>
          <a:off x="59480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3D2D1D2-8671-40C3-BA51-11AEDDFAB6DC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473</xdr:row>
      <xdr:rowOff>153520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55D66D2-C8F0-419F-B683-0AB69012A270}"/>
            </a:ext>
          </a:extLst>
        </xdr:cNvPr>
        <xdr:cNvSpPr txBox="1"/>
      </xdr:nvSpPr>
      <xdr:spPr>
        <a:xfrm>
          <a:off x="5948082" y="87256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E913B260-A192-4C09-99FE-650A7BB0192C}"/>
            </a:ext>
          </a:extLst>
        </xdr:cNvPr>
        <xdr:cNvSpPr txBox="1"/>
      </xdr:nvSpPr>
      <xdr:spPr>
        <a:xfrm>
          <a:off x="59480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485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6231E3C4-1532-4801-BE95-F51E5A5B5069}"/>
            </a:ext>
          </a:extLst>
        </xdr:cNvPr>
        <xdr:cNvSpPr txBox="1"/>
      </xdr:nvSpPr>
      <xdr:spPr>
        <a:xfrm>
          <a:off x="5948082" y="89312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464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5209D971-D90D-478F-807D-614D329AD3C5}"/>
            </a:ext>
          </a:extLst>
        </xdr:cNvPr>
        <xdr:cNvSpPr txBox="1"/>
      </xdr:nvSpPr>
      <xdr:spPr>
        <a:xfrm>
          <a:off x="6557682" y="85445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485</xdr:row>
      <xdr:rowOff>153520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B0219845-EEDD-47CB-9816-AA06477F52CB}"/>
            </a:ext>
          </a:extLst>
        </xdr:cNvPr>
        <xdr:cNvSpPr txBox="1"/>
      </xdr:nvSpPr>
      <xdr:spPr>
        <a:xfrm>
          <a:off x="6557682" y="894662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B46A8C8-C755-4F40-A345-58E4EB9A6399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503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E5AA0DDC-CD18-42B3-8A30-F3AFB05FB91A}"/>
            </a:ext>
          </a:extLst>
        </xdr:cNvPr>
        <xdr:cNvSpPr txBox="1"/>
      </xdr:nvSpPr>
      <xdr:spPr>
        <a:xfrm>
          <a:off x="71672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A2C55CE4-2398-4933-A929-4BC5DCC50668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503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D6397DC8-6FAB-438E-96FE-BF8E5368DE35}"/>
            </a:ext>
          </a:extLst>
        </xdr:cNvPr>
        <xdr:cNvSpPr txBox="1"/>
      </xdr:nvSpPr>
      <xdr:spPr>
        <a:xfrm>
          <a:off x="65576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1A425CF2-6FC9-4F03-ADB8-AF18369318DD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8D0940C-21ED-413A-8D81-5D0D0E49AEB9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D67DB555-F0C8-48D3-8C60-F12075F0FE9F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503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1D1A76D3-875C-44DA-BE15-AF230A2AFAA1}"/>
            </a:ext>
          </a:extLst>
        </xdr:cNvPr>
        <xdr:cNvSpPr txBox="1"/>
      </xdr:nvSpPr>
      <xdr:spPr>
        <a:xfrm>
          <a:off x="5948082" y="92627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518</xdr:row>
      <xdr:rowOff>153520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FD1EF143-DBAD-4A31-9BAD-26C75D102154}"/>
            </a:ext>
          </a:extLst>
        </xdr:cNvPr>
        <xdr:cNvSpPr txBox="1"/>
      </xdr:nvSpPr>
      <xdr:spPr>
        <a:xfrm>
          <a:off x="6557682" y="95543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518</xdr:row>
      <xdr:rowOff>153520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914108E7-38E2-4C8D-92AD-D23EEFB710E4}"/>
            </a:ext>
          </a:extLst>
        </xdr:cNvPr>
        <xdr:cNvSpPr txBox="1"/>
      </xdr:nvSpPr>
      <xdr:spPr>
        <a:xfrm>
          <a:off x="6557682" y="95543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524</xdr:row>
      <xdr:rowOff>153520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53072859-0628-49AF-A7AC-EDCCF6D74515}"/>
            </a:ext>
          </a:extLst>
        </xdr:cNvPr>
        <xdr:cNvSpPr txBox="1"/>
      </xdr:nvSpPr>
      <xdr:spPr>
        <a:xfrm>
          <a:off x="5948082" y="96648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524</xdr:row>
      <xdr:rowOff>153520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72CE3ABD-EFB2-496C-BB7F-D248CBDE6DC4}"/>
            </a:ext>
          </a:extLst>
        </xdr:cNvPr>
        <xdr:cNvSpPr txBox="1"/>
      </xdr:nvSpPr>
      <xdr:spPr>
        <a:xfrm>
          <a:off x="5948082" y="96648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524</xdr:row>
      <xdr:rowOff>153520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6366E965-BB51-4231-941B-BBABFAFF8B90}"/>
            </a:ext>
          </a:extLst>
        </xdr:cNvPr>
        <xdr:cNvSpPr txBox="1"/>
      </xdr:nvSpPr>
      <xdr:spPr>
        <a:xfrm>
          <a:off x="5948082" y="966481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656</xdr:row>
      <xdr:rowOff>153520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C6D12265-555C-4D96-ABDA-E8E0D4D2F4E6}"/>
            </a:ext>
          </a:extLst>
        </xdr:cNvPr>
        <xdr:cNvSpPr txBox="1"/>
      </xdr:nvSpPr>
      <xdr:spPr>
        <a:xfrm>
          <a:off x="5948082" y="120955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675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6F0DB81-A405-4CF9-B07B-EE9DE157AA91}"/>
            </a:ext>
          </a:extLst>
        </xdr:cNvPr>
        <xdr:cNvSpPr txBox="1"/>
      </xdr:nvSpPr>
      <xdr:spPr>
        <a:xfrm>
          <a:off x="7167282" y="12430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668</xdr:row>
      <xdr:rowOff>153520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4DE4E081-F000-4820-9B2A-1CB2A9F617C8}"/>
            </a:ext>
          </a:extLst>
        </xdr:cNvPr>
        <xdr:cNvSpPr txBox="1"/>
      </xdr:nvSpPr>
      <xdr:spPr>
        <a:xfrm>
          <a:off x="5948082" y="123165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671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DF50F2B0-E884-47F1-AAE6-38EAAC69472B}"/>
            </a:ext>
          </a:extLst>
        </xdr:cNvPr>
        <xdr:cNvSpPr txBox="1"/>
      </xdr:nvSpPr>
      <xdr:spPr>
        <a:xfrm>
          <a:off x="5948082" y="1235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671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309C1237-CE66-4F60-ABB2-E82C37702232}"/>
            </a:ext>
          </a:extLst>
        </xdr:cNvPr>
        <xdr:cNvSpPr txBox="1"/>
      </xdr:nvSpPr>
      <xdr:spPr>
        <a:xfrm>
          <a:off x="7167282" y="1235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671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1163208B-243F-4A05-BAF7-ACA672437655}"/>
            </a:ext>
          </a:extLst>
        </xdr:cNvPr>
        <xdr:cNvSpPr txBox="1"/>
      </xdr:nvSpPr>
      <xdr:spPr>
        <a:xfrm>
          <a:off x="7167282" y="123564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674</xdr:row>
      <xdr:rowOff>153520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FC0E917C-98D7-4528-9781-3FD8D07BBB8A}"/>
            </a:ext>
          </a:extLst>
        </xdr:cNvPr>
        <xdr:cNvSpPr txBox="1"/>
      </xdr:nvSpPr>
      <xdr:spPr>
        <a:xfrm>
          <a:off x="5338482" y="1242706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653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B90E3ABD-B0B9-466E-8B34-88DE938D5B54}"/>
            </a:ext>
          </a:extLst>
        </xdr:cNvPr>
        <xdr:cNvSpPr txBox="1"/>
      </xdr:nvSpPr>
      <xdr:spPr>
        <a:xfrm>
          <a:off x="6557682" y="120249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653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3D8EB0EE-0781-4435-9EF6-7CC53AC72C51}"/>
            </a:ext>
          </a:extLst>
        </xdr:cNvPr>
        <xdr:cNvSpPr txBox="1"/>
      </xdr:nvSpPr>
      <xdr:spPr>
        <a:xfrm>
          <a:off x="6557682" y="120249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653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6E7A74A4-97E6-4577-A515-A26D95333B7C}"/>
            </a:ext>
          </a:extLst>
        </xdr:cNvPr>
        <xdr:cNvSpPr txBox="1"/>
      </xdr:nvSpPr>
      <xdr:spPr>
        <a:xfrm>
          <a:off x="6557682" y="120249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686</xdr:row>
      <xdr:rowOff>153520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72ECC190-706F-400E-A7D6-6CC387D5C9EF}"/>
            </a:ext>
          </a:extLst>
        </xdr:cNvPr>
        <xdr:cNvSpPr txBox="1"/>
      </xdr:nvSpPr>
      <xdr:spPr>
        <a:xfrm>
          <a:off x="5948082" y="1264804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683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3940EE4-045A-494C-86B8-A6A68F692303}"/>
            </a:ext>
          </a:extLst>
        </xdr:cNvPr>
        <xdr:cNvSpPr txBox="1"/>
      </xdr:nvSpPr>
      <xdr:spPr>
        <a:xfrm>
          <a:off x="6557682" y="12577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683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4A11F367-FC30-4CB7-AA13-3874CB4968B3}"/>
            </a:ext>
          </a:extLst>
        </xdr:cNvPr>
        <xdr:cNvSpPr txBox="1"/>
      </xdr:nvSpPr>
      <xdr:spPr>
        <a:xfrm>
          <a:off x="6557682" y="12577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683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2AAC2574-DF2E-483E-B8DD-243951E549D2}"/>
            </a:ext>
          </a:extLst>
        </xdr:cNvPr>
        <xdr:cNvSpPr txBox="1"/>
      </xdr:nvSpPr>
      <xdr:spPr>
        <a:xfrm>
          <a:off x="6557682" y="12577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689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FAE38D41-7476-4432-A230-BB6D05E925C5}"/>
            </a:ext>
          </a:extLst>
        </xdr:cNvPr>
        <xdr:cNvSpPr txBox="1"/>
      </xdr:nvSpPr>
      <xdr:spPr>
        <a:xfrm>
          <a:off x="59480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689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1B9C7DF5-E612-4BC8-A113-053B239CDC61}"/>
            </a:ext>
          </a:extLst>
        </xdr:cNvPr>
        <xdr:cNvSpPr txBox="1"/>
      </xdr:nvSpPr>
      <xdr:spPr>
        <a:xfrm>
          <a:off x="71672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689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232B35E2-A507-4E16-A885-C4D3593DD1D7}"/>
            </a:ext>
          </a:extLst>
        </xdr:cNvPr>
        <xdr:cNvSpPr txBox="1"/>
      </xdr:nvSpPr>
      <xdr:spPr>
        <a:xfrm>
          <a:off x="59480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689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BCAC0D4-5BA2-41E9-8B94-CB8558381F66}"/>
            </a:ext>
          </a:extLst>
        </xdr:cNvPr>
        <xdr:cNvSpPr txBox="1"/>
      </xdr:nvSpPr>
      <xdr:spPr>
        <a:xfrm>
          <a:off x="59480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689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5ED9FE4E-CBBD-4E2F-94C8-8A9E38AD4627}"/>
            </a:ext>
          </a:extLst>
        </xdr:cNvPr>
        <xdr:cNvSpPr txBox="1"/>
      </xdr:nvSpPr>
      <xdr:spPr>
        <a:xfrm>
          <a:off x="71672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11</xdr:col>
      <xdr:colOff>461682</xdr:colOff>
      <xdr:row>689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9886E6BD-8FD4-4CD2-905F-FD49FF3B1C9F}"/>
            </a:ext>
          </a:extLst>
        </xdr:cNvPr>
        <xdr:cNvSpPr txBox="1"/>
      </xdr:nvSpPr>
      <xdr:spPr>
        <a:xfrm>
          <a:off x="71672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8</xdr:col>
      <xdr:colOff>461682</xdr:colOff>
      <xdr:row>689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17499AB-7634-462D-A758-9B43CB6A9BE1}"/>
            </a:ext>
          </a:extLst>
        </xdr:cNvPr>
        <xdr:cNvSpPr txBox="1"/>
      </xdr:nvSpPr>
      <xdr:spPr>
        <a:xfrm>
          <a:off x="53384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689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FD85C4F1-CF96-460C-B575-2D12FBD35AF5}"/>
            </a:ext>
          </a:extLst>
        </xdr:cNvPr>
        <xdr:cNvSpPr txBox="1"/>
      </xdr:nvSpPr>
      <xdr:spPr>
        <a:xfrm>
          <a:off x="65576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689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B815B8C7-F1AC-44C6-952C-8E1CD0C79F39}"/>
            </a:ext>
          </a:extLst>
        </xdr:cNvPr>
        <xdr:cNvSpPr txBox="1"/>
      </xdr:nvSpPr>
      <xdr:spPr>
        <a:xfrm>
          <a:off x="65576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689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66EC2CFE-A726-44EC-B2F6-292D6EB95925}"/>
            </a:ext>
          </a:extLst>
        </xdr:cNvPr>
        <xdr:cNvSpPr txBox="1"/>
      </xdr:nvSpPr>
      <xdr:spPr>
        <a:xfrm>
          <a:off x="6557682" y="126879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BF446C-646A-4532-B544-3BE65F042760}"/>
            </a:ext>
          </a:extLst>
        </xdr:cNvPr>
        <xdr:cNvSpPr txBox="1"/>
      </xdr:nvSpPr>
      <xdr:spPr>
        <a:xfrm>
          <a:off x="10710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BF3F7B-73DF-4936-AD66-B84827A71D71}"/>
            </a:ext>
          </a:extLst>
        </xdr:cNvPr>
        <xdr:cNvSpPr txBox="1"/>
      </xdr:nvSpPr>
      <xdr:spPr>
        <a:xfrm>
          <a:off x="107105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4E6858-42A1-4E0D-B2CC-B359871AF956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1BBB05-9766-455B-B3F3-B13A234677EC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CC508DD-FF3D-46C1-8F07-21D739A8BA57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153520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90AF7D9-64C8-4438-9D7F-0FF956A15CAA}"/>
            </a:ext>
          </a:extLst>
        </xdr:cNvPr>
        <xdr:cNvSpPr txBox="1"/>
      </xdr:nvSpPr>
      <xdr:spPr>
        <a:xfrm>
          <a:off x="8845550" y="2198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153520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6858B6-551D-4B1B-A631-2F6E6BF34092}"/>
            </a:ext>
          </a:extLst>
        </xdr:cNvPr>
        <xdr:cNvSpPr txBox="1"/>
      </xdr:nvSpPr>
      <xdr:spPr>
        <a:xfrm>
          <a:off x="8845550" y="2198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10</xdr:row>
      <xdr:rowOff>153520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E82237B-825B-4267-806A-46353EFB7CDD}"/>
            </a:ext>
          </a:extLst>
        </xdr:cNvPr>
        <xdr:cNvSpPr txBox="1"/>
      </xdr:nvSpPr>
      <xdr:spPr>
        <a:xfrm>
          <a:off x="8845550" y="21982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43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E799308-A790-4377-A010-4E8B18388A90}"/>
            </a:ext>
          </a:extLst>
        </xdr:cNvPr>
        <xdr:cNvSpPr txBox="1"/>
      </xdr:nvSpPr>
      <xdr:spPr>
        <a:xfrm>
          <a:off x="1071058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43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9185194-3397-4B7D-88B3-4876116AD6DA}"/>
            </a:ext>
          </a:extLst>
        </xdr:cNvPr>
        <xdr:cNvSpPr txBox="1"/>
      </xdr:nvSpPr>
      <xdr:spPr>
        <a:xfrm>
          <a:off x="1071058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43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DA92663-BBDA-4F68-9BAB-341D4BD13C0E}"/>
            </a:ext>
          </a:extLst>
        </xdr:cNvPr>
        <xdr:cNvSpPr txBox="1"/>
      </xdr:nvSpPr>
      <xdr:spPr>
        <a:xfrm>
          <a:off x="930723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43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BFD063A-9764-44AB-B40A-DCC0CFAFB0C0}"/>
            </a:ext>
          </a:extLst>
        </xdr:cNvPr>
        <xdr:cNvSpPr txBox="1"/>
      </xdr:nvSpPr>
      <xdr:spPr>
        <a:xfrm>
          <a:off x="9307232" y="812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</xdr:row>
      <xdr:rowOff>153520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F20000C-5817-4AFD-A172-9CC2B989059A}"/>
            </a:ext>
          </a:extLst>
        </xdr:cNvPr>
        <xdr:cNvSpPr txBox="1"/>
      </xdr:nvSpPr>
      <xdr:spPr>
        <a:xfrm>
          <a:off x="8845550" y="909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</xdr:row>
      <xdr:rowOff>153520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EE1ED25-4210-496B-B3D6-EF5B9A5D14AC}"/>
            </a:ext>
          </a:extLst>
        </xdr:cNvPr>
        <xdr:cNvSpPr txBox="1"/>
      </xdr:nvSpPr>
      <xdr:spPr>
        <a:xfrm>
          <a:off x="8845550" y="9091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39</xdr:row>
      <xdr:rowOff>153520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924BFD3-5A0F-4EC1-AA90-13214F4BC6F9}"/>
            </a:ext>
          </a:extLst>
        </xdr:cNvPr>
        <xdr:cNvSpPr txBox="1"/>
      </xdr:nvSpPr>
      <xdr:spPr>
        <a:xfrm>
          <a:off x="8845550" y="7538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0</xdr:colOff>
      <xdr:row>39</xdr:row>
      <xdr:rowOff>153520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7A64D2F-BE68-49D4-8082-89B23ADCD357}"/>
            </a:ext>
          </a:extLst>
        </xdr:cNvPr>
        <xdr:cNvSpPr txBox="1"/>
      </xdr:nvSpPr>
      <xdr:spPr>
        <a:xfrm>
          <a:off x="8845550" y="7538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295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FBB0C0F-A7D9-492C-9CA2-37190EB3F961}"/>
            </a:ext>
          </a:extLst>
        </xdr:cNvPr>
        <xdr:cNvSpPr txBox="1"/>
      </xdr:nvSpPr>
      <xdr:spPr>
        <a:xfrm>
          <a:off x="101073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295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65BEDA6-D420-4192-9626-8F9713D3F04A}"/>
            </a:ext>
          </a:extLst>
        </xdr:cNvPr>
        <xdr:cNvSpPr txBox="1"/>
      </xdr:nvSpPr>
      <xdr:spPr>
        <a:xfrm>
          <a:off x="101073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295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A5E6F89-491B-4B50-8452-3019A6EC660A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5F7558E-9136-4413-830B-BCC729807648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295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B4672CC-A402-4FE2-B999-86ED9CB795A0}"/>
            </a:ext>
          </a:extLst>
        </xdr:cNvPr>
        <xdr:cNvSpPr txBox="1"/>
      </xdr:nvSpPr>
      <xdr:spPr>
        <a:xfrm>
          <a:off x="93072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A7295-766D-4ACC-954E-21377CF3145E}"/>
            </a:ext>
          </a:extLst>
        </xdr:cNvPr>
        <xdr:cNvSpPr txBox="1"/>
      </xdr:nvSpPr>
      <xdr:spPr>
        <a:xfrm>
          <a:off x="81197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24EF00-4720-47DA-96E8-D26658891734}"/>
            </a:ext>
          </a:extLst>
        </xdr:cNvPr>
        <xdr:cNvSpPr txBox="1"/>
      </xdr:nvSpPr>
      <xdr:spPr>
        <a:xfrm>
          <a:off x="81197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9374CC-446E-4E30-BE22-4B3C0621B6D8}"/>
            </a:ext>
          </a:extLst>
        </xdr:cNvPr>
        <xdr:cNvSpPr txBox="1"/>
      </xdr:nvSpPr>
      <xdr:spPr>
        <a:xfrm>
          <a:off x="73323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8381712-F2A0-41A5-BE05-844501DE2260}"/>
            </a:ext>
          </a:extLst>
        </xdr:cNvPr>
        <xdr:cNvSpPr txBox="1"/>
      </xdr:nvSpPr>
      <xdr:spPr>
        <a:xfrm>
          <a:off x="73323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97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1CE929-1D50-4350-8D99-B670F18F43E6}"/>
            </a:ext>
          </a:extLst>
        </xdr:cNvPr>
        <xdr:cNvSpPr txBox="1"/>
      </xdr:nvSpPr>
      <xdr:spPr>
        <a:xfrm>
          <a:off x="81197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97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DDD9E87-3D93-491A-8162-6BA41EC0FB57}"/>
            </a:ext>
          </a:extLst>
        </xdr:cNvPr>
        <xdr:cNvSpPr txBox="1"/>
      </xdr:nvSpPr>
      <xdr:spPr>
        <a:xfrm>
          <a:off x="81197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97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DDC1B0E-70BE-445D-A029-30ABF32C0464}"/>
            </a:ext>
          </a:extLst>
        </xdr:cNvPr>
        <xdr:cNvSpPr txBox="1"/>
      </xdr:nvSpPr>
      <xdr:spPr>
        <a:xfrm>
          <a:off x="73323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97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1776F7-9E82-4598-A453-4E7EE370C08B}"/>
            </a:ext>
          </a:extLst>
        </xdr:cNvPr>
        <xdr:cNvSpPr txBox="1"/>
      </xdr:nvSpPr>
      <xdr:spPr>
        <a:xfrm>
          <a:off x="73323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97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416D587-F07F-4277-86D4-1CCAE4A98D4C}"/>
            </a:ext>
          </a:extLst>
        </xdr:cNvPr>
        <xdr:cNvSpPr txBox="1"/>
      </xdr:nvSpPr>
      <xdr:spPr>
        <a:xfrm>
          <a:off x="7332382" y="1806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2302ED-C54B-44C0-A7C8-34947856F8D4}"/>
            </a:ext>
          </a:extLst>
        </xdr:cNvPr>
        <xdr:cNvSpPr txBox="1"/>
      </xdr:nvSpPr>
      <xdr:spPr>
        <a:xfrm>
          <a:off x="65576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7AF89F-9C1C-4B30-92A0-419D122AEBA5}"/>
            </a:ext>
          </a:extLst>
        </xdr:cNvPr>
        <xdr:cNvSpPr txBox="1"/>
      </xdr:nvSpPr>
      <xdr:spPr>
        <a:xfrm>
          <a:off x="65576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913A40-445D-4DBB-A656-555AD8C65728}"/>
            </a:ext>
          </a:extLst>
        </xdr:cNvPr>
        <xdr:cNvSpPr txBox="1"/>
      </xdr:nvSpPr>
      <xdr:spPr>
        <a:xfrm>
          <a:off x="5948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A3E63E-5C71-4708-BE02-DB6A24276190}"/>
            </a:ext>
          </a:extLst>
        </xdr:cNvPr>
        <xdr:cNvSpPr txBox="1"/>
      </xdr:nvSpPr>
      <xdr:spPr>
        <a:xfrm>
          <a:off x="5948082" y="184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FE17C1-6A9B-426F-B3B0-8C6F655CA646}"/>
            </a:ext>
          </a:extLst>
        </xdr:cNvPr>
        <xdr:cNvSpPr txBox="1"/>
      </xdr:nvSpPr>
      <xdr:spPr>
        <a:xfrm>
          <a:off x="65576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10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2D72C9-96E4-4F7B-8DFE-75A36EF78D3F}"/>
            </a:ext>
          </a:extLst>
        </xdr:cNvPr>
        <xdr:cNvSpPr txBox="1"/>
      </xdr:nvSpPr>
      <xdr:spPr>
        <a:xfrm>
          <a:off x="65576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7E71590-8461-4661-9579-65E486D44C48}"/>
            </a:ext>
          </a:extLst>
        </xdr:cNvPr>
        <xdr:cNvSpPr txBox="1"/>
      </xdr:nvSpPr>
      <xdr:spPr>
        <a:xfrm>
          <a:off x="59480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6CEC90B-63BB-4F16-8AAD-18A2BB99C73F}"/>
            </a:ext>
          </a:extLst>
        </xdr:cNvPr>
        <xdr:cNvSpPr txBox="1"/>
      </xdr:nvSpPr>
      <xdr:spPr>
        <a:xfrm>
          <a:off x="59480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B7F13D9-3849-48EA-9DA8-CA8DF8FD5CFE}"/>
            </a:ext>
          </a:extLst>
        </xdr:cNvPr>
        <xdr:cNvSpPr txBox="1"/>
      </xdr:nvSpPr>
      <xdr:spPr>
        <a:xfrm>
          <a:off x="5948082" y="17862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73"/>
  <sheetViews>
    <sheetView zoomScale="85" zoomScaleNormal="85" workbookViewId="0">
      <pane ySplit="1" topLeftCell="A2" activePane="bottomLeft" state="frozen"/>
      <selection activeCell="B1263" sqref="B1263"/>
      <selection pane="bottomLeft" activeCell="C3" sqref="C3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73.140625" style="2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3920</v>
      </c>
      <c r="B2" s="7">
        <v>46114</v>
      </c>
      <c r="C2" s="7">
        <v>46120</v>
      </c>
      <c r="D2" s="6">
        <v>3280</v>
      </c>
      <c r="E2" s="6">
        <v>337</v>
      </c>
      <c r="F2" s="6">
        <v>4</v>
      </c>
      <c r="G2" s="15">
        <v>1</v>
      </c>
      <c r="H2" s="15"/>
      <c r="I2" s="15" t="s">
        <v>1505</v>
      </c>
      <c r="J2" s="15">
        <v>23254079</v>
      </c>
      <c r="K2" s="15" t="s">
        <v>16</v>
      </c>
      <c r="L2" s="15" t="s">
        <v>17</v>
      </c>
      <c r="M2" s="16">
        <v>199900</v>
      </c>
      <c r="N2" s="9">
        <v>0.95</v>
      </c>
      <c r="O2" s="8">
        <f t="shared" ref="O2:O65" si="0">M2-((95*M2)/100)</f>
        <v>9995</v>
      </c>
      <c r="P2" s="6" t="s">
        <v>15</v>
      </c>
    </row>
    <row r="3" spans="1:16" x14ac:dyDescent="0.25">
      <c r="A3" s="6" t="s">
        <v>3920</v>
      </c>
      <c r="B3" s="7">
        <f>B2</f>
        <v>46114</v>
      </c>
      <c r="C3" s="7">
        <f>C2</f>
        <v>46120</v>
      </c>
      <c r="D3" s="6">
        <v>3280</v>
      </c>
      <c r="E3" s="6">
        <v>337</v>
      </c>
      <c r="F3" s="6">
        <v>4</v>
      </c>
      <c r="G3" s="15">
        <v>1</v>
      </c>
      <c r="H3" s="15"/>
      <c r="I3" s="15" t="s">
        <v>1505</v>
      </c>
      <c r="J3" s="15">
        <v>23254097</v>
      </c>
      <c r="K3" s="15" t="s">
        <v>16</v>
      </c>
      <c r="L3" s="15" t="s">
        <v>18</v>
      </c>
      <c r="M3" s="16">
        <v>199900</v>
      </c>
      <c r="N3" s="9">
        <v>0.95</v>
      </c>
      <c r="O3" s="8">
        <f t="shared" si="0"/>
        <v>9995</v>
      </c>
      <c r="P3" s="6" t="s">
        <v>15</v>
      </c>
    </row>
    <row r="4" spans="1:16" x14ac:dyDescent="0.25">
      <c r="A4" s="6" t="s">
        <v>3920</v>
      </c>
      <c r="B4" s="7">
        <f t="shared" ref="B4:B67" si="1">B3</f>
        <v>46114</v>
      </c>
      <c r="C4" s="7">
        <f t="shared" ref="C4:C67" si="2">C3</f>
        <v>46120</v>
      </c>
      <c r="D4" s="6">
        <v>3280</v>
      </c>
      <c r="E4" s="6">
        <v>337</v>
      </c>
      <c r="F4" s="6">
        <v>4</v>
      </c>
      <c r="G4" s="15">
        <v>1</v>
      </c>
      <c r="H4" s="15"/>
      <c r="I4" s="15" t="s">
        <v>1505</v>
      </c>
      <c r="J4" s="15">
        <v>23254088</v>
      </c>
      <c r="K4" s="15" t="s">
        <v>16</v>
      </c>
      <c r="L4" s="15" t="s">
        <v>19</v>
      </c>
      <c r="M4" s="16">
        <v>199900</v>
      </c>
      <c r="N4" s="9">
        <v>0.95</v>
      </c>
      <c r="O4" s="8">
        <f t="shared" si="0"/>
        <v>9995</v>
      </c>
      <c r="P4" s="6" t="s">
        <v>15</v>
      </c>
    </row>
    <row r="5" spans="1:16" x14ac:dyDescent="0.25">
      <c r="A5" s="6" t="s">
        <v>3920</v>
      </c>
      <c r="B5" s="7">
        <f t="shared" si="1"/>
        <v>46114</v>
      </c>
      <c r="C5" s="7">
        <f t="shared" si="2"/>
        <v>46120</v>
      </c>
      <c r="D5" s="6">
        <v>3280</v>
      </c>
      <c r="E5" s="6">
        <v>337</v>
      </c>
      <c r="F5" s="6">
        <v>4</v>
      </c>
      <c r="G5" s="15">
        <v>1</v>
      </c>
      <c r="H5" s="15"/>
      <c r="I5" s="15" t="s">
        <v>1505</v>
      </c>
      <c r="J5" s="15">
        <v>19988222</v>
      </c>
      <c r="K5" s="15" t="s">
        <v>20</v>
      </c>
      <c r="L5" s="15" t="s">
        <v>21</v>
      </c>
      <c r="M5" s="16">
        <v>29900</v>
      </c>
      <c r="N5" s="9">
        <v>0.95</v>
      </c>
      <c r="O5" s="8">
        <f t="shared" si="0"/>
        <v>1495</v>
      </c>
      <c r="P5" s="6" t="s">
        <v>15</v>
      </c>
    </row>
    <row r="6" spans="1:16" x14ac:dyDescent="0.25">
      <c r="A6" s="6" t="s">
        <v>3920</v>
      </c>
      <c r="B6" s="7">
        <f t="shared" si="1"/>
        <v>46114</v>
      </c>
      <c r="C6" s="7">
        <f t="shared" si="2"/>
        <v>46120</v>
      </c>
      <c r="D6" s="6">
        <v>3280</v>
      </c>
      <c r="E6" s="6">
        <v>337</v>
      </c>
      <c r="F6" s="6">
        <v>4</v>
      </c>
      <c r="G6" s="15">
        <v>1</v>
      </c>
      <c r="H6" s="15"/>
      <c r="I6" s="15" t="s">
        <v>1505</v>
      </c>
      <c r="J6" s="15">
        <v>23251321</v>
      </c>
      <c r="K6" s="15" t="s">
        <v>22</v>
      </c>
      <c r="L6" s="15" t="s">
        <v>23</v>
      </c>
      <c r="M6" s="16">
        <v>219900</v>
      </c>
      <c r="N6" s="9">
        <v>0.95</v>
      </c>
      <c r="O6" s="8">
        <f t="shared" si="0"/>
        <v>10995</v>
      </c>
      <c r="P6" s="6" t="s">
        <v>15</v>
      </c>
    </row>
    <row r="7" spans="1:16" x14ac:dyDescent="0.25">
      <c r="A7" s="6" t="s">
        <v>3920</v>
      </c>
      <c r="B7" s="7">
        <f t="shared" si="1"/>
        <v>46114</v>
      </c>
      <c r="C7" s="7">
        <f t="shared" si="2"/>
        <v>46120</v>
      </c>
      <c r="D7" s="6">
        <v>3280</v>
      </c>
      <c r="E7" s="6">
        <v>337</v>
      </c>
      <c r="F7" s="6">
        <v>4</v>
      </c>
      <c r="G7" s="15">
        <v>1</v>
      </c>
      <c r="H7" s="15"/>
      <c r="I7" s="15" t="s">
        <v>1505</v>
      </c>
      <c r="J7" s="15">
        <v>23251330</v>
      </c>
      <c r="K7" s="15" t="s">
        <v>22</v>
      </c>
      <c r="L7" s="15" t="s">
        <v>24</v>
      </c>
      <c r="M7" s="16">
        <v>219900</v>
      </c>
      <c r="N7" s="9">
        <v>0.95</v>
      </c>
      <c r="O7" s="8">
        <f t="shared" si="0"/>
        <v>10995</v>
      </c>
      <c r="P7" s="6" t="s">
        <v>15</v>
      </c>
    </row>
    <row r="8" spans="1:16" x14ac:dyDescent="0.25">
      <c r="A8" s="6" t="s">
        <v>3920</v>
      </c>
      <c r="B8" s="7">
        <f t="shared" si="1"/>
        <v>46114</v>
      </c>
      <c r="C8" s="7">
        <f t="shared" si="2"/>
        <v>46120</v>
      </c>
      <c r="D8" s="6">
        <v>3280</v>
      </c>
      <c r="E8" s="6">
        <v>337</v>
      </c>
      <c r="F8" s="6">
        <v>4</v>
      </c>
      <c r="G8" s="15">
        <v>1</v>
      </c>
      <c r="H8" s="15"/>
      <c r="I8" s="15" t="s">
        <v>1505</v>
      </c>
      <c r="J8" s="15">
        <v>23266397</v>
      </c>
      <c r="K8" s="15" t="s">
        <v>25</v>
      </c>
      <c r="L8" s="15" t="s">
        <v>26</v>
      </c>
      <c r="M8" s="16">
        <v>239900</v>
      </c>
      <c r="N8" s="9">
        <v>0.95</v>
      </c>
      <c r="O8" s="8">
        <f t="shared" si="0"/>
        <v>11995</v>
      </c>
      <c r="P8" s="6" t="s">
        <v>15</v>
      </c>
    </row>
    <row r="9" spans="1:16" x14ac:dyDescent="0.25">
      <c r="A9" s="6" t="s">
        <v>3920</v>
      </c>
      <c r="B9" s="7">
        <f t="shared" si="1"/>
        <v>46114</v>
      </c>
      <c r="C9" s="7">
        <f t="shared" si="2"/>
        <v>46120</v>
      </c>
      <c r="D9" s="6">
        <v>3280</v>
      </c>
      <c r="E9" s="6">
        <v>337</v>
      </c>
      <c r="F9" s="6">
        <v>4</v>
      </c>
      <c r="G9" s="15">
        <v>1</v>
      </c>
      <c r="H9" s="15"/>
      <c r="I9" s="15" t="s">
        <v>1505</v>
      </c>
      <c r="J9" s="15">
        <v>23266404</v>
      </c>
      <c r="K9" s="15" t="s">
        <v>25</v>
      </c>
      <c r="L9" s="15" t="s">
        <v>27</v>
      </c>
      <c r="M9" s="16">
        <v>239900</v>
      </c>
      <c r="N9" s="9">
        <v>0.95</v>
      </c>
      <c r="O9" s="8">
        <f t="shared" si="0"/>
        <v>11995</v>
      </c>
      <c r="P9" s="6" t="s">
        <v>15</v>
      </c>
    </row>
    <row r="10" spans="1:16" x14ac:dyDescent="0.25">
      <c r="A10" s="6" t="s">
        <v>3920</v>
      </c>
      <c r="B10" s="7">
        <f t="shared" si="1"/>
        <v>46114</v>
      </c>
      <c r="C10" s="7">
        <f t="shared" si="2"/>
        <v>46120</v>
      </c>
      <c r="D10" s="6">
        <v>3280</v>
      </c>
      <c r="E10" s="6">
        <v>337</v>
      </c>
      <c r="F10" s="6">
        <v>4</v>
      </c>
      <c r="G10" s="15">
        <v>1</v>
      </c>
      <c r="H10" s="15"/>
      <c r="I10" s="15" t="s">
        <v>1505</v>
      </c>
      <c r="J10" s="15">
        <v>23266413</v>
      </c>
      <c r="K10" s="15" t="s">
        <v>25</v>
      </c>
      <c r="L10" s="15" t="s">
        <v>28</v>
      </c>
      <c r="M10" s="16">
        <v>239900</v>
      </c>
      <c r="N10" s="9">
        <v>0.95</v>
      </c>
      <c r="O10" s="8">
        <f t="shared" si="0"/>
        <v>11995</v>
      </c>
      <c r="P10" s="6" t="s">
        <v>15</v>
      </c>
    </row>
    <row r="11" spans="1:16" x14ac:dyDescent="0.25">
      <c r="A11" s="6" t="s">
        <v>3920</v>
      </c>
      <c r="B11" s="7">
        <f t="shared" si="1"/>
        <v>46114</v>
      </c>
      <c r="C11" s="7">
        <f t="shared" si="2"/>
        <v>46120</v>
      </c>
      <c r="D11" s="6">
        <v>3280</v>
      </c>
      <c r="E11" s="6">
        <v>337</v>
      </c>
      <c r="F11" s="6">
        <v>4</v>
      </c>
      <c r="G11" s="15">
        <v>1</v>
      </c>
      <c r="H11" s="15"/>
      <c r="I11" s="15" t="s">
        <v>1505</v>
      </c>
      <c r="J11" s="15">
        <v>23266422</v>
      </c>
      <c r="K11" s="15" t="s">
        <v>25</v>
      </c>
      <c r="L11" s="15" t="s">
        <v>29</v>
      </c>
      <c r="M11" s="16">
        <v>239900</v>
      </c>
      <c r="N11" s="9">
        <v>0.95</v>
      </c>
      <c r="O11" s="8">
        <f t="shared" si="0"/>
        <v>11995</v>
      </c>
      <c r="P11" s="6" t="s">
        <v>15</v>
      </c>
    </row>
    <row r="12" spans="1:16" x14ac:dyDescent="0.25">
      <c r="A12" s="6" t="s">
        <v>3920</v>
      </c>
      <c r="B12" s="7">
        <f t="shared" si="1"/>
        <v>46114</v>
      </c>
      <c r="C12" s="7">
        <f t="shared" si="2"/>
        <v>46120</v>
      </c>
      <c r="D12" s="6">
        <v>3280</v>
      </c>
      <c r="E12" s="6">
        <v>337</v>
      </c>
      <c r="F12" s="6">
        <v>4</v>
      </c>
      <c r="G12" s="15">
        <v>1</v>
      </c>
      <c r="H12" s="15"/>
      <c r="I12" s="15" t="s">
        <v>1505</v>
      </c>
      <c r="J12" s="15">
        <v>23266431</v>
      </c>
      <c r="K12" s="15" t="s">
        <v>25</v>
      </c>
      <c r="L12" s="15" t="s">
        <v>30</v>
      </c>
      <c r="M12" s="16">
        <v>239900</v>
      </c>
      <c r="N12" s="9">
        <v>0.95</v>
      </c>
      <c r="O12" s="8">
        <f t="shared" si="0"/>
        <v>11995</v>
      </c>
      <c r="P12" s="6" t="s">
        <v>15</v>
      </c>
    </row>
    <row r="13" spans="1:16" x14ac:dyDescent="0.25">
      <c r="A13" s="6" t="s">
        <v>3920</v>
      </c>
      <c r="B13" s="7">
        <f t="shared" si="1"/>
        <v>46114</v>
      </c>
      <c r="C13" s="7">
        <f t="shared" si="2"/>
        <v>46120</v>
      </c>
      <c r="D13" s="6">
        <v>3280</v>
      </c>
      <c r="E13" s="6">
        <v>337</v>
      </c>
      <c r="F13" s="6">
        <v>4</v>
      </c>
      <c r="G13" s="15">
        <v>1</v>
      </c>
      <c r="H13" s="15"/>
      <c r="I13" s="15" t="s">
        <v>1505</v>
      </c>
      <c r="J13" s="15">
        <v>23266440</v>
      </c>
      <c r="K13" s="15" t="s">
        <v>25</v>
      </c>
      <c r="L13" s="15" t="s">
        <v>31</v>
      </c>
      <c r="M13" s="16">
        <v>239900</v>
      </c>
      <c r="N13" s="9">
        <v>0.95</v>
      </c>
      <c r="O13" s="8">
        <f t="shared" si="0"/>
        <v>11995</v>
      </c>
      <c r="P13" s="6" t="s">
        <v>15</v>
      </c>
    </row>
    <row r="14" spans="1:16" x14ac:dyDescent="0.25">
      <c r="A14" s="6" t="s">
        <v>3920</v>
      </c>
      <c r="B14" s="7">
        <f t="shared" si="1"/>
        <v>46114</v>
      </c>
      <c r="C14" s="7">
        <f t="shared" si="2"/>
        <v>46120</v>
      </c>
      <c r="D14" s="6">
        <v>3280</v>
      </c>
      <c r="E14" s="6">
        <v>337</v>
      </c>
      <c r="F14" s="6">
        <v>4</v>
      </c>
      <c r="G14" s="15">
        <v>1</v>
      </c>
      <c r="H14" s="15"/>
      <c r="I14" s="15" t="s">
        <v>1505</v>
      </c>
      <c r="J14" s="15">
        <v>23266708</v>
      </c>
      <c r="K14" s="15" t="s">
        <v>32</v>
      </c>
      <c r="L14" s="15" t="s">
        <v>33</v>
      </c>
      <c r="M14" s="16">
        <v>239900</v>
      </c>
      <c r="N14" s="9">
        <v>0.95</v>
      </c>
      <c r="O14" s="8">
        <f t="shared" si="0"/>
        <v>11995</v>
      </c>
      <c r="P14" s="6" t="s">
        <v>15</v>
      </c>
    </row>
    <row r="15" spans="1:16" x14ac:dyDescent="0.25">
      <c r="A15" s="6" t="s">
        <v>3920</v>
      </c>
      <c r="B15" s="7">
        <f t="shared" si="1"/>
        <v>46114</v>
      </c>
      <c r="C15" s="7">
        <f t="shared" si="2"/>
        <v>46120</v>
      </c>
      <c r="D15" s="6">
        <v>3280</v>
      </c>
      <c r="E15" s="6">
        <v>337</v>
      </c>
      <c r="F15" s="6">
        <v>4</v>
      </c>
      <c r="G15" s="15">
        <v>1</v>
      </c>
      <c r="H15" s="15"/>
      <c r="I15" s="15" t="s">
        <v>1505</v>
      </c>
      <c r="J15" s="15">
        <v>23266717</v>
      </c>
      <c r="K15" s="15" t="s">
        <v>32</v>
      </c>
      <c r="L15" s="15" t="s">
        <v>34</v>
      </c>
      <c r="M15" s="16">
        <v>239900</v>
      </c>
      <c r="N15" s="9">
        <v>0.95</v>
      </c>
      <c r="O15" s="8">
        <f t="shared" si="0"/>
        <v>11995</v>
      </c>
      <c r="P15" s="6" t="s">
        <v>15</v>
      </c>
    </row>
    <row r="16" spans="1:16" x14ac:dyDescent="0.25">
      <c r="A16" s="6" t="s">
        <v>3920</v>
      </c>
      <c r="B16" s="7">
        <f t="shared" si="1"/>
        <v>46114</v>
      </c>
      <c r="C16" s="7">
        <f t="shared" si="2"/>
        <v>46120</v>
      </c>
      <c r="D16" s="6">
        <v>3280</v>
      </c>
      <c r="E16" s="6">
        <v>337</v>
      </c>
      <c r="F16" s="6">
        <v>4</v>
      </c>
      <c r="G16" s="15">
        <v>1</v>
      </c>
      <c r="H16" s="15"/>
      <c r="I16" s="15" t="s">
        <v>1505</v>
      </c>
      <c r="J16" s="15">
        <v>23266726</v>
      </c>
      <c r="K16" s="15" t="s">
        <v>32</v>
      </c>
      <c r="L16" s="15" t="s">
        <v>35</v>
      </c>
      <c r="M16" s="16">
        <v>239900</v>
      </c>
      <c r="N16" s="9">
        <v>0.95</v>
      </c>
      <c r="O16" s="8">
        <f t="shared" si="0"/>
        <v>11995</v>
      </c>
      <c r="P16" s="6" t="s">
        <v>15</v>
      </c>
    </row>
    <row r="17" spans="1:16" x14ac:dyDescent="0.25">
      <c r="A17" s="6" t="s">
        <v>3920</v>
      </c>
      <c r="B17" s="7">
        <f t="shared" si="1"/>
        <v>46114</v>
      </c>
      <c r="C17" s="7">
        <f t="shared" si="2"/>
        <v>46120</v>
      </c>
      <c r="D17" s="6">
        <v>3280</v>
      </c>
      <c r="E17" s="6">
        <v>337</v>
      </c>
      <c r="F17" s="6">
        <v>4</v>
      </c>
      <c r="G17" s="15">
        <v>1</v>
      </c>
      <c r="H17" s="15"/>
      <c r="I17" s="15" t="s">
        <v>1505</v>
      </c>
      <c r="J17" s="15">
        <v>23266735</v>
      </c>
      <c r="K17" s="15" t="s">
        <v>32</v>
      </c>
      <c r="L17" s="15" t="s">
        <v>36</v>
      </c>
      <c r="M17" s="16">
        <v>239900</v>
      </c>
      <c r="N17" s="9">
        <v>0.95</v>
      </c>
      <c r="O17" s="8">
        <f t="shared" si="0"/>
        <v>11995</v>
      </c>
      <c r="P17" s="6" t="s">
        <v>15</v>
      </c>
    </row>
    <row r="18" spans="1:16" x14ac:dyDescent="0.25">
      <c r="A18" s="6" t="s">
        <v>3920</v>
      </c>
      <c r="B18" s="7">
        <f t="shared" si="1"/>
        <v>46114</v>
      </c>
      <c r="C18" s="7">
        <f t="shared" si="2"/>
        <v>46120</v>
      </c>
      <c r="D18" s="6">
        <v>3280</v>
      </c>
      <c r="E18" s="6">
        <v>337</v>
      </c>
      <c r="F18" s="6">
        <v>4</v>
      </c>
      <c r="G18" s="15">
        <v>1</v>
      </c>
      <c r="H18" s="15"/>
      <c r="I18" s="15" t="s">
        <v>1505</v>
      </c>
      <c r="J18" s="15">
        <v>23266744</v>
      </c>
      <c r="K18" s="15" t="s">
        <v>32</v>
      </c>
      <c r="L18" s="15" t="s">
        <v>37</v>
      </c>
      <c r="M18" s="16">
        <v>239900</v>
      </c>
      <c r="N18" s="9">
        <v>0.95</v>
      </c>
      <c r="O18" s="8">
        <f t="shared" si="0"/>
        <v>11995</v>
      </c>
      <c r="P18" s="6" t="s">
        <v>15</v>
      </c>
    </row>
    <row r="19" spans="1:16" x14ac:dyDescent="0.25">
      <c r="A19" s="6" t="s">
        <v>3920</v>
      </c>
      <c r="B19" s="7">
        <f t="shared" si="1"/>
        <v>46114</v>
      </c>
      <c r="C19" s="7">
        <f t="shared" si="2"/>
        <v>46120</v>
      </c>
      <c r="D19" s="6">
        <v>3280</v>
      </c>
      <c r="E19" s="6">
        <v>337</v>
      </c>
      <c r="F19" s="6">
        <v>4</v>
      </c>
      <c r="G19" s="15">
        <v>1</v>
      </c>
      <c r="H19" s="15"/>
      <c r="I19" s="15" t="s">
        <v>1505</v>
      </c>
      <c r="J19" s="15">
        <v>23266799</v>
      </c>
      <c r="K19" s="15" t="s">
        <v>38</v>
      </c>
      <c r="L19" s="15" t="s">
        <v>39</v>
      </c>
      <c r="M19" s="16">
        <v>239900</v>
      </c>
      <c r="N19" s="9">
        <v>0.95</v>
      </c>
      <c r="O19" s="8">
        <f t="shared" si="0"/>
        <v>11995</v>
      </c>
      <c r="P19" s="6" t="s">
        <v>15</v>
      </c>
    </row>
    <row r="20" spans="1:16" x14ac:dyDescent="0.25">
      <c r="A20" s="6" t="s">
        <v>3920</v>
      </c>
      <c r="B20" s="7">
        <f t="shared" si="1"/>
        <v>46114</v>
      </c>
      <c r="C20" s="7">
        <f t="shared" si="2"/>
        <v>46120</v>
      </c>
      <c r="D20" s="6">
        <v>3280</v>
      </c>
      <c r="E20" s="6">
        <v>337</v>
      </c>
      <c r="F20" s="6">
        <v>4</v>
      </c>
      <c r="G20" s="15">
        <v>1</v>
      </c>
      <c r="H20" s="15"/>
      <c r="I20" s="15" t="s">
        <v>1505</v>
      </c>
      <c r="J20" s="15">
        <v>23266806</v>
      </c>
      <c r="K20" s="15" t="s">
        <v>38</v>
      </c>
      <c r="L20" s="15" t="s">
        <v>40</v>
      </c>
      <c r="M20" s="16">
        <v>239900</v>
      </c>
      <c r="N20" s="9">
        <v>0.95</v>
      </c>
      <c r="O20" s="8">
        <f t="shared" si="0"/>
        <v>11995</v>
      </c>
      <c r="P20" s="6" t="s">
        <v>15</v>
      </c>
    </row>
    <row r="21" spans="1:16" x14ac:dyDescent="0.25">
      <c r="A21" s="6" t="s">
        <v>3920</v>
      </c>
      <c r="B21" s="7">
        <f t="shared" si="1"/>
        <v>46114</v>
      </c>
      <c r="C21" s="7">
        <f t="shared" si="2"/>
        <v>46120</v>
      </c>
      <c r="D21" s="6">
        <v>3280</v>
      </c>
      <c r="E21" s="6">
        <v>337</v>
      </c>
      <c r="F21" s="6">
        <v>4</v>
      </c>
      <c r="G21" s="15">
        <v>1</v>
      </c>
      <c r="H21" s="15"/>
      <c r="I21" s="15" t="s">
        <v>1505</v>
      </c>
      <c r="J21" s="15">
        <v>23266815</v>
      </c>
      <c r="K21" s="15" t="s">
        <v>38</v>
      </c>
      <c r="L21" s="15" t="s">
        <v>41</v>
      </c>
      <c r="M21" s="16">
        <v>239900</v>
      </c>
      <c r="N21" s="9">
        <v>0.95</v>
      </c>
      <c r="O21" s="8">
        <f t="shared" si="0"/>
        <v>11995</v>
      </c>
      <c r="P21" s="6" t="s">
        <v>15</v>
      </c>
    </row>
    <row r="22" spans="1:16" x14ac:dyDescent="0.25">
      <c r="A22" s="6" t="s">
        <v>3920</v>
      </c>
      <c r="B22" s="7">
        <f t="shared" si="1"/>
        <v>46114</v>
      </c>
      <c r="C22" s="7">
        <f t="shared" si="2"/>
        <v>46120</v>
      </c>
      <c r="D22" s="6">
        <v>3280</v>
      </c>
      <c r="E22" s="6">
        <v>337</v>
      </c>
      <c r="F22" s="6">
        <v>4</v>
      </c>
      <c r="G22" s="15">
        <v>1</v>
      </c>
      <c r="H22" s="15"/>
      <c r="I22" s="15" t="s">
        <v>1505</v>
      </c>
      <c r="J22" s="15">
        <v>23266824</v>
      </c>
      <c r="K22" s="15" t="s">
        <v>38</v>
      </c>
      <c r="L22" s="15" t="s">
        <v>42</v>
      </c>
      <c r="M22" s="16">
        <v>239900</v>
      </c>
      <c r="N22" s="9">
        <v>0.95</v>
      </c>
      <c r="O22" s="8">
        <f t="shared" si="0"/>
        <v>11995</v>
      </c>
      <c r="P22" s="6" t="s">
        <v>15</v>
      </c>
    </row>
    <row r="23" spans="1:16" x14ac:dyDescent="0.25">
      <c r="A23" s="6" t="s">
        <v>3920</v>
      </c>
      <c r="B23" s="7">
        <f t="shared" si="1"/>
        <v>46114</v>
      </c>
      <c r="C23" s="7">
        <f t="shared" si="2"/>
        <v>46120</v>
      </c>
      <c r="D23" s="6">
        <v>3280</v>
      </c>
      <c r="E23" s="6">
        <v>337</v>
      </c>
      <c r="F23" s="6">
        <v>4</v>
      </c>
      <c r="G23" s="15">
        <v>1</v>
      </c>
      <c r="H23" s="15"/>
      <c r="I23" s="15" t="s">
        <v>1505</v>
      </c>
      <c r="J23" s="15">
        <v>23266833</v>
      </c>
      <c r="K23" s="15" t="s">
        <v>38</v>
      </c>
      <c r="L23" s="15" t="s">
        <v>43</v>
      </c>
      <c r="M23" s="16">
        <v>239900</v>
      </c>
      <c r="N23" s="9">
        <v>0.95</v>
      </c>
      <c r="O23" s="8">
        <f t="shared" si="0"/>
        <v>11995</v>
      </c>
      <c r="P23" s="6" t="s">
        <v>15</v>
      </c>
    </row>
    <row r="24" spans="1:16" x14ac:dyDescent="0.25">
      <c r="A24" s="6" t="s">
        <v>3920</v>
      </c>
      <c r="B24" s="7">
        <f t="shared" si="1"/>
        <v>46114</v>
      </c>
      <c r="C24" s="7">
        <f t="shared" si="2"/>
        <v>46120</v>
      </c>
      <c r="D24" s="6">
        <v>3280</v>
      </c>
      <c r="E24" s="6">
        <v>337</v>
      </c>
      <c r="F24" s="6">
        <v>4</v>
      </c>
      <c r="G24" s="15">
        <v>1</v>
      </c>
      <c r="H24" s="15"/>
      <c r="I24" s="15" t="s">
        <v>1505</v>
      </c>
      <c r="J24" s="15">
        <v>23306165</v>
      </c>
      <c r="K24" s="15" t="s">
        <v>44</v>
      </c>
      <c r="L24" s="15" t="s">
        <v>45</v>
      </c>
      <c r="M24" s="16">
        <v>199900</v>
      </c>
      <c r="N24" s="9">
        <v>0.95</v>
      </c>
      <c r="O24" s="8">
        <f t="shared" si="0"/>
        <v>9995</v>
      </c>
      <c r="P24" s="6" t="s">
        <v>15</v>
      </c>
    </row>
    <row r="25" spans="1:16" x14ac:dyDescent="0.25">
      <c r="A25" s="6" t="s">
        <v>3920</v>
      </c>
      <c r="B25" s="7">
        <f t="shared" si="1"/>
        <v>46114</v>
      </c>
      <c r="C25" s="7">
        <f t="shared" si="2"/>
        <v>46120</v>
      </c>
      <c r="D25" s="6">
        <v>3280</v>
      </c>
      <c r="E25" s="6">
        <v>337</v>
      </c>
      <c r="F25" s="6">
        <v>4</v>
      </c>
      <c r="G25" s="15">
        <v>1</v>
      </c>
      <c r="H25" s="15"/>
      <c r="I25" s="15" t="s">
        <v>1505</v>
      </c>
      <c r="J25" s="15">
        <v>23306174</v>
      </c>
      <c r="K25" s="15" t="s">
        <v>44</v>
      </c>
      <c r="L25" s="15" t="s">
        <v>46</v>
      </c>
      <c r="M25" s="16">
        <v>199900</v>
      </c>
      <c r="N25" s="9">
        <v>0.95</v>
      </c>
      <c r="O25" s="8">
        <f t="shared" si="0"/>
        <v>9995</v>
      </c>
      <c r="P25" s="6" t="s">
        <v>15</v>
      </c>
    </row>
    <row r="26" spans="1:16" x14ac:dyDescent="0.25">
      <c r="A26" s="6" t="s">
        <v>3920</v>
      </c>
      <c r="B26" s="7">
        <f t="shared" si="1"/>
        <v>46114</v>
      </c>
      <c r="C26" s="7">
        <f t="shared" si="2"/>
        <v>46120</v>
      </c>
      <c r="D26" s="6">
        <v>3280</v>
      </c>
      <c r="E26" s="6">
        <v>337</v>
      </c>
      <c r="F26" s="6">
        <v>4</v>
      </c>
      <c r="G26" s="15">
        <v>1</v>
      </c>
      <c r="H26" s="15"/>
      <c r="I26" s="15" t="s">
        <v>1505</v>
      </c>
      <c r="J26" s="15">
        <v>23306183</v>
      </c>
      <c r="K26" s="15" t="s">
        <v>44</v>
      </c>
      <c r="L26" s="15" t="s">
        <v>47</v>
      </c>
      <c r="M26" s="16">
        <v>199900</v>
      </c>
      <c r="N26" s="9">
        <v>0.95</v>
      </c>
      <c r="O26" s="8">
        <f t="shared" si="0"/>
        <v>9995</v>
      </c>
      <c r="P26" s="6" t="s">
        <v>15</v>
      </c>
    </row>
    <row r="27" spans="1:16" x14ac:dyDescent="0.25">
      <c r="A27" s="6" t="s">
        <v>3920</v>
      </c>
      <c r="B27" s="7">
        <f t="shared" si="1"/>
        <v>46114</v>
      </c>
      <c r="C27" s="7">
        <f t="shared" si="2"/>
        <v>46120</v>
      </c>
      <c r="D27" s="6">
        <v>3280</v>
      </c>
      <c r="E27" s="6">
        <v>337</v>
      </c>
      <c r="F27" s="6">
        <v>4</v>
      </c>
      <c r="G27" s="15">
        <v>1</v>
      </c>
      <c r="H27" s="15"/>
      <c r="I27" s="15" t="s">
        <v>1505</v>
      </c>
      <c r="J27" s="15">
        <v>23306192</v>
      </c>
      <c r="K27" s="15" t="s">
        <v>44</v>
      </c>
      <c r="L27" s="15" t="s">
        <v>48</v>
      </c>
      <c r="M27" s="16">
        <v>209900</v>
      </c>
      <c r="N27" s="9">
        <v>0.95</v>
      </c>
      <c r="O27" s="8">
        <f t="shared" si="0"/>
        <v>10495</v>
      </c>
      <c r="P27" s="6" t="s">
        <v>15</v>
      </c>
    </row>
    <row r="28" spans="1:16" x14ac:dyDescent="0.25">
      <c r="A28" s="6" t="s">
        <v>3920</v>
      </c>
      <c r="B28" s="7">
        <f t="shared" si="1"/>
        <v>46114</v>
      </c>
      <c r="C28" s="7">
        <f t="shared" si="2"/>
        <v>46120</v>
      </c>
      <c r="D28" s="6">
        <v>3280</v>
      </c>
      <c r="E28" s="6">
        <v>337</v>
      </c>
      <c r="F28" s="6">
        <v>4</v>
      </c>
      <c r="G28" s="15">
        <v>1</v>
      </c>
      <c r="H28" s="15"/>
      <c r="I28" s="15" t="s">
        <v>1505</v>
      </c>
      <c r="J28" s="15">
        <v>23330307</v>
      </c>
      <c r="K28" s="15" t="s">
        <v>49</v>
      </c>
      <c r="L28" s="15" t="s">
        <v>50</v>
      </c>
      <c r="M28" s="16">
        <v>279900</v>
      </c>
      <c r="N28" s="9">
        <v>0.95</v>
      </c>
      <c r="O28" s="8">
        <f t="shared" si="0"/>
        <v>13995</v>
      </c>
      <c r="P28" s="6" t="s">
        <v>15</v>
      </c>
    </row>
    <row r="29" spans="1:16" x14ac:dyDescent="0.25">
      <c r="A29" s="6" t="s">
        <v>3920</v>
      </c>
      <c r="B29" s="7">
        <f t="shared" si="1"/>
        <v>46114</v>
      </c>
      <c r="C29" s="7">
        <f t="shared" si="2"/>
        <v>46120</v>
      </c>
      <c r="D29" s="6">
        <v>3280</v>
      </c>
      <c r="E29" s="6">
        <v>337</v>
      </c>
      <c r="F29" s="6">
        <v>4</v>
      </c>
      <c r="G29" s="15">
        <v>1</v>
      </c>
      <c r="H29" s="15"/>
      <c r="I29" s="15" t="s">
        <v>1505</v>
      </c>
      <c r="J29" s="15">
        <v>23330316</v>
      </c>
      <c r="K29" s="15" t="s">
        <v>49</v>
      </c>
      <c r="L29" s="15" t="s">
        <v>51</v>
      </c>
      <c r="M29" s="16">
        <v>279900</v>
      </c>
      <c r="N29" s="9">
        <v>0.95</v>
      </c>
      <c r="O29" s="8">
        <f t="shared" si="0"/>
        <v>13995</v>
      </c>
      <c r="P29" s="6" t="s">
        <v>15</v>
      </c>
    </row>
    <row r="30" spans="1:16" x14ac:dyDescent="0.25">
      <c r="A30" s="6" t="s">
        <v>3920</v>
      </c>
      <c r="B30" s="7">
        <f t="shared" si="1"/>
        <v>46114</v>
      </c>
      <c r="C30" s="7">
        <f t="shared" si="2"/>
        <v>46120</v>
      </c>
      <c r="D30" s="6">
        <v>3280</v>
      </c>
      <c r="E30" s="6">
        <v>337</v>
      </c>
      <c r="F30" s="6">
        <v>4</v>
      </c>
      <c r="G30" s="15">
        <v>1</v>
      </c>
      <c r="H30" s="15"/>
      <c r="I30" s="15" t="s">
        <v>1505</v>
      </c>
      <c r="J30" s="15">
        <v>23330325</v>
      </c>
      <c r="K30" s="15" t="s">
        <v>49</v>
      </c>
      <c r="L30" s="15" t="s">
        <v>52</v>
      </c>
      <c r="M30" s="16">
        <v>289900</v>
      </c>
      <c r="N30" s="9">
        <v>0.95</v>
      </c>
      <c r="O30" s="8">
        <f t="shared" si="0"/>
        <v>14495</v>
      </c>
      <c r="P30" s="6" t="s">
        <v>15</v>
      </c>
    </row>
    <row r="31" spans="1:16" x14ac:dyDescent="0.25">
      <c r="A31" s="6" t="s">
        <v>3920</v>
      </c>
      <c r="B31" s="7">
        <f t="shared" si="1"/>
        <v>46114</v>
      </c>
      <c r="C31" s="7">
        <f t="shared" si="2"/>
        <v>46120</v>
      </c>
      <c r="D31" s="6">
        <v>3280</v>
      </c>
      <c r="E31" s="6">
        <v>337</v>
      </c>
      <c r="F31" s="6">
        <v>4</v>
      </c>
      <c r="G31" s="15">
        <v>1</v>
      </c>
      <c r="H31" s="15"/>
      <c r="I31" s="15" t="s">
        <v>1505</v>
      </c>
      <c r="J31" s="15">
        <v>23330334</v>
      </c>
      <c r="K31" s="15" t="s">
        <v>49</v>
      </c>
      <c r="L31" s="15" t="s">
        <v>53</v>
      </c>
      <c r="M31" s="16">
        <v>289900</v>
      </c>
      <c r="N31" s="9">
        <v>0.95</v>
      </c>
      <c r="O31" s="8">
        <f t="shared" si="0"/>
        <v>14495</v>
      </c>
      <c r="P31" s="6" t="s">
        <v>15</v>
      </c>
    </row>
    <row r="32" spans="1:16" x14ac:dyDescent="0.25">
      <c r="A32" s="6" t="s">
        <v>3920</v>
      </c>
      <c r="B32" s="7">
        <f t="shared" si="1"/>
        <v>46114</v>
      </c>
      <c r="C32" s="7">
        <f t="shared" si="2"/>
        <v>46120</v>
      </c>
      <c r="D32" s="6">
        <v>3280</v>
      </c>
      <c r="E32" s="6">
        <v>337</v>
      </c>
      <c r="F32" s="6">
        <v>4</v>
      </c>
      <c r="G32" s="15">
        <v>1</v>
      </c>
      <c r="H32" s="15"/>
      <c r="I32" s="15" t="s">
        <v>1505</v>
      </c>
      <c r="J32" s="15">
        <v>23330343</v>
      </c>
      <c r="K32" s="15" t="s">
        <v>49</v>
      </c>
      <c r="L32" s="15" t="s">
        <v>54</v>
      </c>
      <c r="M32" s="16">
        <v>299900</v>
      </c>
      <c r="N32" s="9">
        <v>0.95</v>
      </c>
      <c r="O32" s="8">
        <f t="shared" si="0"/>
        <v>14995</v>
      </c>
      <c r="P32" s="6" t="s">
        <v>15</v>
      </c>
    </row>
    <row r="33" spans="1:16" x14ac:dyDescent="0.25">
      <c r="A33" s="6" t="s">
        <v>3920</v>
      </c>
      <c r="B33" s="7">
        <f t="shared" si="1"/>
        <v>46114</v>
      </c>
      <c r="C33" s="7">
        <f t="shared" si="2"/>
        <v>46120</v>
      </c>
      <c r="D33" s="6">
        <v>3280</v>
      </c>
      <c r="E33" s="6">
        <v>337</v>
      </c>
      <c r="F33" s="6">
        <v>4</v>
      </c>
      <c r="G33" s="15">
        <v>1</v>
      </c>
      <c r="H33" s="15"/>
      <c r="I33" s="15" t="s">
        <v>1505</v>
      </c>
      <c r="J33" s="15">
        <v>23330352</v>
      </c>
      <c r="K33" s="15" t="s">
        <v>49</v>
      </c>
      <c r="L33" s="15" t="s">
        <v>55</v>
      </c>
      <c r="M33" s="16">
        <v>299900</v>
      </c>
      <c r="N33" s="9">
        <v>0.95</v>
      </c>
      <c r="O33" s="8">
        <f t="shared" si="0"/>
        <v>14995</v>
      </c>
      <c r="P33" s="6" t="s">
        <v>15</v>
      </c>
    </row>
    <row r="34" spans="1:16" x14ac:dyDescent="0.25">
      <c r="A34" s="6" t="s">
        <v>3920</v>
      </c>
      <c r="B34" s="7">
        <f t="shared" si="1"/>
        <v>46114</v>
      </c>
      <c r="C34" s="7">
        <f t="shared" si="2"/>
        <v>46120</v>
      </c>
      <c r="D34" s="6">
        <v>3280</v>
      </c>
      <c r="E34" s="6">
        <v>337</v>
      </c>
      <c r="F34" s="6">
        <v>4</v>
      </c>
      <c r="G34" s="15">
        <v>1</v>
      </c>
      <c r="H34" s="15"/>
      <c r="I34" s="15" t="s">
        <v>1505</v>
      </c>
      <c r="J34" s="15">
        <v>23267574</v>
      </c>
      <c r="K34" s="15" t="s">
        <v>56</v>
      </c>
      <c r="L34" s="15" t="s">
        <v>57</v>
      </c>
      <c r="M34" s="16">
        <v>189900</v>
      </c>
      <c r="N34" s="9">
        <v>0.95</v>
      </c>
      <c r="O34" s="8">
        <f t="shared" si="0"/>
        <v>9495</v>
      </c>
      <c r="P34" s="6" t="s">
        <v>15</v>
      </c>
    </row>
    <row r="35" spans="1:16" x14ac:dyDescent="0.25">
      <c r="A35" s="6" t="s">
        <v>3920</v>
      </c>
      <c r="B35" s="7">
        <f t="shared" si="1"/>
        <v>46114</v>
      </c>
      <c r="C35" s="7">
        <f t="shared" si="2"/>
        <v>46120</v>
      </c>
      <c r="D35" s="6">
        <v>3280</v>
      </c>
      <c r="E35" s="6">
        <v>337</v>
      </c>
      <c r="F35" s="6">
        <v>4</v>
      </c>
      <c r="G35" s="15">
        <v>1</v>
      </c>
      <c r="H35" s="15"/>
      <c r="I35" s="15" t="s">
        <v>1505</v>
      </c>
      <c r="J35" s="15">
        <v>23267618</v>
      </c>
      <c r="K35" s="15" t="s">
        <v>56</v>
      </c>
      <c r="L35" s="15" t="s">
        <v>58</v>
      </c>
      <c r="M35" s="16">
        <v>199900</v>
      </c>
      <c r="N35" s="9">
        <v>0.95</v>
      </c>
      <c r="O35" s="8">
        <f t="shared" si="0"/>
        <v>9995</v>
      </c>
      <c r="P35" s="6" t="s">
        <v>15</v>
      </c>
    </row>
    <row r="36" spans="1:16" x14ac:dyDescent="0.25">
      <c r="A36" s="6" t="s">
        <v>3920</v>
      </c>
      <c r="B36" s="7">
        <f t="shared" si="1"/>
        <v>46114</v>
      </c>
      <c r="C36" s="7">
        <f t="shared" si="2"/>
        <v>46120</v>
      </c>
      <c r="D36" s="6">
        <v>3280</v>
      </c>
      <c r="E36" s="6">
        <v>337</v>
      </c>
      <c r="F36" s="6">
        <v>4</v>
      </c>
      <c r="G36" s="15">
        <v>1</v>
      </c>
      <c r="H36" s="15"/>
      <c r="I36" s="15" t="s">
        <v>1505</v>
      </c>
      <c r="J36" s="15">
        <v>23267592</v>
      </c>
      <c r="K36" s="15" t="s">
        <v>56</v>
      </c>
      <c r="L36" s="15" t="s">
        <v>59</v>
      </c>
      <c r="M36" s="16">
        <v>189900</v>
      </c>
      <c r="N36" s="9">
        <v>0.95</v>
      </c>
      <c r="O36" s="8">
        <f t="shared" si="0"/>
        <v>9495</v>
      </c>
      <c r="P36" s="6" t="s">
        <v>15</v>
      </c>
    </row>
    <row r="37" spans="1:16" x14ac:dyDescent="0.25">
      <c r="A37" s="6" t="s">
        <v>3920</v>
      </c>
      <c r="B37" s="7">
        <f t="shared" si="1"/>
        <v>46114</v>
      </c>
      <c r="C37" s="7">
        <f t="shared" si="2"/>
        <v>46120</v>
      </c>
      <c r="D37" s="6">
        <v>3280</v>
      </c>
      <c r="E37" s="6">
        <v>337</v>
      </c>
      <c r="F37" s="6">
        <v>4</v>
      </c>
      <c r="G37" s="15">
        <v>1</v>
      </c>
      <c r="H37" s="15"/>
      <c r="I37" s="15" t="s">
        <v>1505</v>
      </c>
      <c r="J37" s="15">
        <v>23267627</v>
      </c>
      <c r="K37" s="15" t="s">
        <v>56</v>
      </c>
      <c r="L37" s="15" t="s">
        <v>60</v>
      </c>
      <c r="M37" s="16">
        <v>199900</v>
      </c>
      <c r="N37" s="9">
        <v>0.95</v>
      </c>
      <c r="O37" s="8">
        <f t="shared" si="0"/>
        <v>9995</v>
      </c>
      <c r="P37" s="6" t="s">
        <v>15</v>
      </c>
    </row>
    <row r="38" spans="1:16" x14ac:dyDescent="0.25">
      <c r="A38" s="6" t="s">
        <v>3920</v>
      </c>
      <c r="B38" s="7">
        <f t="shared" si="1"/>
        <v>46114</v>
      </c>
      <c r="C38" s="7">
        <f t="shared" si="2"/>
        <v>46120</v>
      </c>
      <c r="D38" s="6">
        <v>3280</v>
      </c>
      <c r="E38" s="6">
        <v>337</v>
      </c>
      <c r="F38" s="6">
        <v>4</v>
      </c>
      <c r="G38" s="15">
        <v>1</v>
      </c>
      <c r="H38" s="15"/>
      <c r="I38" s="15" t="s">
        <v>1505</v>
      </c>
      <c r="J38" s="15">
        <v>23267583</v>
      </c>
      <c r="K38" s="15" t="s">
        <v>56</v>
      </c>
      <c r="L38" s="15" t="s">
        <v>61</v>
      </c>
      <c r="M38" s="16">
        <v>189900</v>
      </c>
      <c r="N38" s="9">
        <v>0.95</v>
      </c>
      <c r="O38" s="8">
        <f t="shared" si="0"/>
        <v>9495</v>
      </c>
      <c r="P38" s="6" t="s">
        <v>15</v>
      </c>
    </row>
    <row r="39" spans="1:16" x14ac:dyDescent="0.25">
      <c r="A39" s="6" t="s">
        <v>3920</v>
      </c>
      <c r="B39" s="7">
        <f t="shared" si="1"/>
        <v>46114</v>
      </c>
      <c r="C39" s="7">
        <f t="shared" si="2"/>
        <v>46120</v>
      </c>
      <c r="D39" s="6">
        <v>3280</v>
      </c>
      <c r="E39" s="6">
        <v>337</v>
      </c>
      <c r="F39" s="6">
        <v>4</v>
      </c>
      <c r="G39" s="15">
        <v>1</v>
      </c>
      <c r="H39" s="15"/>
      <c r="I39" s="15" t="s">
        <v>1505</v>
      </c>
      <c r="J39" s="15">
        <v>23267609</v>
      </c>
      <c r="K39" s="15" t="s">
        <v>56</v>
      </c>
      <c r="L39" s="15" t="s">
        <v>62</v>
      </c>
      <c r="M39" s="16">
        <v>199900</v>
      </c>
      <c r="N39" s="9">
        <v>0.95</v>
      </c>
      <c r="O39" s="8">
        <f t="shared" si="0"/>
        <v>9995</v>
      </c>
      <c r="P39" s="6" t="s">
        <v>15</v>
      </c>
    </row>
    <row r="40" spans="1:16" x14ac:dyDescent="0.25">
      <c r="A40" s="6" t="s">
        <v>3920</v>
      </c>
      <c r="B40" s="7">
        <f t="shared" si="1"/>
        <v>46114</v>
      </c>
      <c r="C40" s="7">
        <f t="shared" si="2"/>
        <v>46120</v>
      </c>
      <c r="D40" s="6">
        <v>3280</v>
      </c>
      <c r="E40" s="6">
        <v>337</v>
      </c>
      <c r="F40" s="6">
        <v>4</v>
      </c>
      <c r="G40" s="15">
        <v>1</v>
      </c>
      <c r="H40" s="15"/>
      <c r="I40" s="15" t="s">
        <v>1505</v>
      </c>
      <c r="J40" s="15">
        <v>23251349</v>
      </c>
      <c r="K40" s="15" t="s">
        <v>22</v>
      </c>
      <c r="L40" s="15" t="s">
        <v>63</v>
      </c>
      <c r="M40" s="16">
        <v>219900</v>
      </c>
      <c r="N40" s="9">
        <v>0.95</v>
      </c>
      <c r="O40" s="8">
        <f t="shared" si="0"/>
        <v>10995</v>
      </c>
      <c r="P40" s="6" t="s">
        <v>15</v>
      </c>
    </row>
    <row r="41" spans="1:16" x14ac:dyDescent="0.25">
      <c r="A41" s="6" t="s">
        <v>3920</v>
      </c>
      <c r="B41" s="7">
        <f t="shared" si="1"/>
        <v>46114</v>
      </c>
      <c r="C41" s="7">
        <f t="shared" si="2"/>
        <v>46120</v>
      </c>
      <c r="D41" s="6">
        <v>3280</v>
      </c>
      <c r="E41" s="6">
        <v>337</v>
      </c>
      <c r="F41" s="6">
        <v>4</v>
      </c>
      <c r="G41" s="15">
        <v>1</v>
      </c>
      <c r="H41" s="15"/>
      <c r="I41" s="15" t="s">
        <v>1505</v>
      </c>
      <c r="J41" s="15">
        <v>23251303</v>
      </c>
      <c r="K41" s="15" t="s">
        <v>22</v>
      </c>
      <c r="L41" s="15" t="s">
        <v>64</v>
      </c>
      <c r="M41" s="16">
        <v>209900</v>
      </c>
      <c r="N41" s="9">
        <v>0.95</v>
      </c>
      <c r="O41" s="8">
        <f t="shared" si="0"/>
        <v>10495</v>
      </c>
      <c r="P41" s="6" t="s">
        <v>15</v>
      </c>
    </row>
    <row r="42" spans="1:16" x14ac:dyDescent="0.25">
      <c r="A42" s="6" t="s">
        <v>3920</v>
      </c>
      <c r="B42" s="7">
        <f t="shared" si="1"/>
        <v>46114</v>
      </c>
      <c r="C42" s="7">
        <f t="shared" si="2"/>
        <v>46120</v>
      </c>
      <c r="D42" s="6">
        <v>3280</v>
      </c>
      <c r="E42" s="6">
        <v>337</v>
      </c>
      <c r="F42" s="6">
        <v>4</v>
      </c>
      <c r="G42" s="15">
        <v>1</v>
      </c>
      <c r="H42" s="15"/>
      <c r="I42" s="15" t="s">
        <v>1505</v>
      </c>
      <c r="J42" s="15">
        <v>23306218</v>
      </c>
      <c r="K42" s="15" t="s">
        <v>44</v>
      </c>
      <c r="L42" s="15" t="s">
        <v>65</v>
      </c>
      <c r="M42" s="16">
        <v>209900</v>
      </c>
      <c r="N42" s="9">
        <v>0.95</v>
      </c>
      <c r="O42" s="8">
        <f t="shared" si="0"/>
        <v>10495</v>
      </c>
      <c r="P42" s="6" t="s">
        <v>15</v>
      </c>
    </row>
    <row r="43" spans="1:16" x14ac:dyDescent="0.25">
      <c r="A43" s="6" t="s">
        <v>3920</v>
      </c>
      <c r="B43" s="7">
        <f t="shared" si="1"/>
        <v>46114</v>
      </c>
      <c r="C43" s="7">
        <f t="shared" si="2"/>
        <v>46120</v>
      </c>
      <c r="D43" s="6">
        <v>3280</v>
      </c>
      <c r="E43" s="6">
        <v>337</v>
      </c>
      <c r="F43" s="6">
        <v>4</v>
      </c>
      <c r="G43" s="15">
        <v>1</v>
      </c>
      <c r="H43" s="15"/>
      <c r="I43" s="15" t="s">
        <v>1505</v>
      </c>
      <c r="J43" s="15">
        <v>23306209</v>
      </c>
      <c r="K43" s="15" t="s">
        <v>44</v>
      </c>
      <c r="L43" s="15" t="s">
        <v>66</v>
      </c>
      <c r="M43" s="16">
        <v>209900</v>
      </c>
      <c r="N43" s="9">
        <v>0.95</v>
      </c>
      <c r="O43" s="8">
        <f t="shared" si="0"/>
        <v>10495</v>
      </c>
      <c r="P43" s="6" t="s">
        <v>15</v>
      </c>
    </row>
    <row r="44" spans="1:16" x14ac:dyDescent="0.25">
      <c r="A44" s="6" t="s">
        <v>3920</v>
      </c>
      <c r="B44" s="7">
        <f t="shared" si="1"/>
        <v>46114</v>
      </c>
      <c r="C44" s="7">
        <f t="shared" si="2"/>
        <v>46120</v>
      </c>
      <c r="D44" s="6">
        <v>3280</v>
      </c>
      <c r="E44" s="6">
        <v>337</v>
      </c>
      <c r="F44" s="6">
        <v>4</v>
      </c>
      <c r="G44" s="15">
        <v>1</v>
      </c>
      <c r="H44" s="15"/>
      <c r="I44" s="15" t="s">
        <v>1505</v>
      </c>
      <c r="J44" s="15">
        <v>23251296</v>
      </c>
      <c r="K44" s="15" t="s">
        <v>22</v>
      </c>
      <c r="L44" s="15" t="s">
        <v>67</v>
      </c>
      <c r="M44" s="16">
        <v>209900</v>
      </c>
      <c r="N44" s="9">
        <v>0.95</v>
      </c>
      <c r="O44" s="8">
        <f t="shared" si="0"/>
        <v>10495</v>
      </c>
      <c r="P44" s="6" t="s">
        <v>15</v>
      </c>
    </row>
    <row r="45" spans="1:16" x14ac:dyDescent="0.25">
      <c r="A45" s="6" t="s">
        <v>3920</v>
      </c>
      <c r="B45" s="7">
        <f t="shared" si="1"/>
        <v>46114</v>
      </c>
      <c r="C45" s="7">
        <f t="shared" si="2"/>
        <v>46120</v>
      </c>
      <c r="D45" s="6">
        <v>3280</v>
      </c>
      <c r="E45" s="6">
        <v>337</v>
      </c>
      <c r="F45" s="6">
        <v>4</v>
      </c>
      <c r="G45" s="15">
        <v>1</v>
      </c>
      <c r="H45" s="15"/>
      <c r="I45" s="15" t="s">
        <v>1505</v>
      </c>
      <c r="J45" s="15">
        <v>23254051</v>
      </c>
      <c r="K45" s="15" t="s">
        <v>16</v>
      </c>
      <c r="L45" s="15" t="s">
        <v>68</v>
      </c>
      <c r="M45" s="16">
        <v>189900</v>
      </c>
      <c r="N45" s="9">
        <v>0.95</v>
      </c>
      <c r="O45" s="8">
        <f t="shared" si="0"/>
        <v>9495</v>
      </c>
      <c r="P45" s="6" t="s">
        <v>15</v>
      </c>
    </row>
    <row r="46" spans="1:16" x14ac:dyDescent="0.25">
      <c r="A46" s="6" t="s">
        <v>3920</v>
      </c>
      <c r="B46" s="7">
        <f t="shared" si="1"/>
        <v>46114</v>
      </c>
      <c r="C46" s="7">
        <f t="shared" si="2"/>
        <v>46120</v>
      </c>
      <c r="D46" s="6">
        <v>3280</v>
      </c>
      <c r="E46" s="6">
        <v>337</v>
      </c>
      <c r="F46" s="6">
        <v>4</v>
      </c>
      <c r="G46" s="15">
        <v>1</v>
      </c>
      <c r="H46" s="15"/>
      <c r="I46" s="15" t="s">
        <v>1505</v>
      </c>
      <c r="J46" s="15">
        <v>23254060</v>
      </c>
      <c r="K46" s="15" t="s">
        <v>16</v>
      </c>
      <c r="L46" s="15" t="s">
        <v>69</v>
      </c>
      <c r="M46" s="16">
        <v>189900</v>
      </c>
      <c r="N46" s="9">
        <v>0.95</v>
      </c>
      <c r="O46" s="8">
        <f t="shared" si="0"/>
        <v>9495</v>
      </c>
      <c r="P46" s="6" t="s">
        <v>15</v>
      </c>
    </row>
    <row r="47" spans="1:16" x14ac:dyDescent="0.25">
      <c r="A47" s="6" t="s">
        <v>3920</v>
      </c>
      <c r="B47" s="7">
        <f t="shared" si="1"/>
        <v>46114</v>
      </c>
      <c r="C47" s="7">
        <f t="shared" si="2"/>
        <v>46120</v>
      </c>
      <c r="D47" s="6">
        <v>3280</v>
      </c>
      <c r="E47" s="6">
        <v>337</v>
      </c>
      <c r="F47" s="6">
        <v>4</v>
      </c>
      <c r="G47" s="15">
        <v>1</v>
      </c>
      <c r="H47" s="15"/>
      <c r="I47" s="15" t="s">
        <v>1505</v>
      </c>
      <c r="J47" s="15">
        <v>23266842</v>
      </c>
      <c r="K47" s="15" t="s">
        <v>38</v>
      </c>
      <c r="L47" s="15" t="s">
        <v>70</v>
      </c>
      <c r="M47" s="16">
        <v>239900</v>
      </c>
      <c r="N47" s="9">
        <v>0.95</v>
      </c>
      <c r="O47" s="8">
        <f t="shared" si="0"/>
        <v>11995</v>
      </c>
      <c r="P47" s="6" t="s">
        <v>15</v>
      </c>
    </row>
    <row r="48" spans="1:16" x14ac:dyDescent="0.25">
      <c r="A48" s="6" t="s">
        <v>3920</v>
      </c>
      <c r="B48" s="7">
        <f t="shared" si="1"/>
        <v>46114</v>
      </c>
      <c r="C48" s="7">
        <f t="shared" si="2"/>
        <v>46120</v>
      </c>
      <c r="D48" s="6">
        <v>3280</v>
      </c>
      <c r="E48" s="6">
        <v>337</v>
      </c>
      <c r="F48" s="6">
        <v>4</v>
      </c>
      <c r="G48" s="15">
        <v>1</v>
      </c>
      <c r="H48" s="15"/>
      <c r="I48" s="15" t="s">
        <v>1505</v>
      </c>
      <c r="J48" s="15">
        <v>23266691</v>
      </c>
      <c r="K48" s="15" t="s">
        <v>32</v>
      </c>
      <c r="L48" s="15" t="s">
        <v>71</v>
      </c>
      <c r="M48" s="16">
        <v>239900</v>
      </c>
      <c r="N48" s="9">
        <v>0.95</v>
      </c>
      <c r="O48" s="8">
        <f t="shared" si="0"/>
        <v>11995</v>
      </c>
      <c r="P48" s="6" t="s">
        <v>15</v>
      </c>
    </row>
    <row r="49" spans="1:16" x14ac:dyDescent="0.25">
      <c r="A49" s="6" t="s">
        <v>3920</v>
      </c>
      <c r="B49" s="7">
        <f t="shared" si="1"/>
        <v>46114</v>
      </c>
      <c r="C49" s="7">
        <f t="shared" si="2"/>
        <v>46120</v>
      </c>
      <c r="D49" s="6">
        <v>3280</v>
      </c>
      <c r="E49" s="6">
        <v>337</v>
      </c>
      <c r="F49" s="6">
        <v>4</v>
      </c>
      <c r="G49" s="15">
        <v>1</v>
      </c>
      <c r="H49" s="15"/>
      <c r="I49" s="15" t="s">
        <v>1505</v>
      </c>
      <c r="J49" s="15">
        <v>23251312</v>
      </c>
      <c r="K49" s="15" t="s">
        <v>22</v>
      </c>
      <c r="L49" s="15" t="s">
        <v>72</v>
      </c>
      <c r="M49" s="16">
        <v>209900</v>
      </c>
      <c r="N49" s="9">
        <v>0.95</v>
      </c>
      <c r="O49" s="8">
        <f t="shared" si="0"/>
        <v>10495</v>
      </c>
      <c r="P49" s="6" t="s">
        <v>15</v>
      </c>
    </row>
    <row r="50" spans="1:16" x14ac:dyDescent="0.25">
      <c r="A50" s="6" t="s">
        <v>3920</v>
      </c>
      <c r="B50" s="7">
        <f t="shared" si="1"/>
        <v>46114</v>
      </c>
      <c r="C50" s="7">
        <f t="shared" si="2"/>
        <v>46120</v>
      </c>
      <c r="D50" s="6">
        <v>3280</v>
      </c>
      <c r="E50" s="6">
        <v>337</v>
      </c>
      <c r="F50" s="6">
        <v>4</v>
      </c>
      <c r="G50" s="15">
        <v>1</v>
      </c>
      <c r="H50" s="15"/>
      <c r="I50" s="15" t="s">
        <v>1505</v>
      </c>
      <c r="J50" s="15">
        <v>23254042</v>
      </c>
      <c r="K50" s="15" t="s">
        <v>16</v>
      </c>
      <c r="L50" s="15" t="s">
        <v>73</v>
      </c>
      <c r="M50" s="16">
        <v>189900</v>
      </c>
      <c r="N50" s="9">
        <v>0.95</v>
      </c>
      <c r="O50" s="8">
        <f t="shared" si="0"/>
        <v>9495</v>
      </c>
      <c r="P50" s="6" t="s">
        <v>15</v>
      </c>
    </row>
    <row r="51" spans="1:16" x14ac:dyDescent="0.25">
      <c r="A51" s="6" t="s">
        <v>3920</v>
      </c>
      <c r="B51" s="7">
        <f t="shared" si="1"/>
        <v>46114</v>
      </c>
      <c r="C51" s="7">
        <f t="shared" si="2"/>
        <v>46120</v>
      </c>
      <c r="D51" s="6">
        <v>3280</v>
      </c>
      <c r="E51" s="6">
        <v>337</v>
      </c>
      <c r="F51" s="6">
        <v>4</v>
      </c>
      <c r="G51" s="15">
        <v>1</v>
      </c>
      <c r="H51" s="15"/>
      <c r="I51" s="15" t="s">
        <v>1505</v>
      </c>
      <c r="J51" s="15">
        <v>23267912</v>
      </c>
      <c r="K51" s="15" t="s">
        <v>74</v>
      </c>
      <c r="L51" s="15" t="s">
        <v>75</v>
      </c>
      <c r="M51" s="16">
        <v>219900</v>
      </c>
      <c r="N51" s="9">
        <v>0.95</v>
      </c>
      <c r="O51" s="8">
        <f t="shared" si="0"/>
        <v>10995</v>
      </c>
      <c r="P51" s="6" t="s">
        <v>15</v>
      </c>
    </row>
    <row r="52" spans="1:16" x14ac:dyDescent="0.25">
      <c r="A52" s="6" t="s">
        <v>3920</v>
      </c>
      <c r="B52" s="7">
        <f t="shared" si="1"/>
        <v>46114</v>
      </c>
      <c r="C52" s="7">
        <f t="shared" si="2"/>
        <v>46120</v>
      </c>
      <c r="D52" s="6">
        <v>3280</v>
      </c>
      <c r="E52" s="6">
        <v>337</v>
      </c>
      <c r="F52" s="6">
        <v>4</v>
      </c>
      <c r="G52" s="15">
        <v>1</v>
      </c>
      <c r="H52" s="15"/>
      <c r="I52" s="15" t="s">
        <v>1505</v>
      </c>
      <c r="J52" s="15">
        <v>23267896</v>
      </c>
      <c r="K52" s="15" t="s">
        <v>74</v>
      </c>
      <c r="L52" s="15" t="s">
        <v>76</v>
      </c>
      <c r="M52" s="16">
        <v>209900</v>
      </c>
      <c r="N52" s="9">
        <v>0.95</v>
      </c>
      <c r="O52" s="8">
        <f t="shared" si="0"/>
        <v>10495</v>
      </c>
      <c r="P52" s="6" t="s">
        <v>15</v>
      </c>
    </row>
    <row r="53" spans="1:16" x14ac:dyDescent="0.25">
      <c r="A53" s="6" t="s">
        <v>3920</v>
      </c>
      <c r="B53" s="7">
        <f t="shared" si="1"/>
        <v>46114</v>
      </c>
      <c r="C53" s="7">
        <f t="shared" si="2"/>
        <v>46120</v>
      </c>
      <c r="D53" s="6">
        <v>3280</v>
      </c>
      <c r="E53" s="6">
        <v>337</v>
      </c>
      <c r="F53" s="6">
        <v>4</v>
      </c>
      <c r="G53" s="15">
        <v>1</v>
      </c>
      <c r="H53" s="15"/>
      <c r="I53" s="15" t="s">
        <v>1505</v>
      </c>
      <c r="J53" s="15">
        <v>23267887</v>
      </c>
      <c r="K53" s="15" t="s">
        <v>74</v>
      </c>
      <c r="L53" s="15" t="s">
        <v>77</v>
      </c>
      <c r="M53" s="16">
        <v>209900</v>
      </c>
      <c r="N53" s="9">
        <v>0.95</v>
      </c>
      <c r="O53" s="8">
        <f t="shared" si="0"/>
        <v>10495</v>
      </c>
      <c r="P53" s="6" t="s">
        <v>15</v>
      </c>
    </row>
    <row r="54" spans="1:16" x14ac:dyDescent="0.25">
      <c r="A54" s="6" t="s">
        <v>3920</v>
      </c>
      <c r="B54" s="7">
        <f t="shared" si="1"/>
        <v>46114</v>
      </c>
      <c r="C54" s="7">
        <f t="shared" si="2"/>
        <v>46120</v>
      </c>
      <c r="D54" s="6">
        <v>3280</v>
      </c>
      <c r="E54" s="6">
        <v>337</v>
      </c>
      <c r="F54" s="6">
        <v>4</v>
      </c>
      <c r="G54" s="15">
        <v>1</v>
      </c>
      <c r="H54" s="15"/>
      <c r="I54" s="15" t="s">
        <v>1505</v>
      </c>
      <c r="J54" s="15">
        <v>23267903</v>
      </c>
      <c r="K54" s="15" t="s">
        <v>74</v>
      </c>
      <c r="L54" s="15" t="s">
        <v>78</v>
      </c>
      <c r="M54" s="16">
        <v>209900</v>
      </c>
      <c r="N54" s="9">
        <v>0.95</v>
      </c>
      <c r="O54" s="8">
        <f t="shared" si="0"/>
        <v>10495</v>
      </c>
      <c r="P54" s="6" t="s">
        <v>15</v>
      </c>
    </row>
    <row r="55" spans="1:16" x14ac:dyDescent="0.25">
      <c r="A55" s="6" t="s">
        <v>3920</v>
      </c>
      <c r="B55" s="7">
        <f t="shared" si="1"/>
        <v>46114</v>
      </c>
      <c r="C55" s="7">
        <f t="shared" si="2"/>
        <v>46120</v>
      </c>
      <c r="D55" s="6">
        <v>3280</v>
      </c>
      <c r="E55" s="6">
        <v>337</v>
      </c>
      <c r="F55" s="6">
        <v>4</v>
      </c>
      <c r="G55" s="15">
        <v>1</v>
      </c>
      <c r="H55" s="15"/>
      <c r="I55" s="15" t="s">
        <v>1505</v>
      </c>
      <c r="J55" s="15">
        <v>23267921</v>
      </c>
      <c r="K55" s="15" t="s">
        <v>74</v>
      </c>
      <c r="L55" s="15" t="s">
        <v>79</v>
      </c>
      <c r="M55" s="16">
        <v>219900</v>
      </c>
      <c r="N55" s="9">
        <v>0.95</v>
      </c>
      <c r="O55" s="8">
        <f t="shared" si="0"/>
        <v>10995</v>
      </c>
      <c r="P55" s="6" t="s">
        <v>15</v>
      </c>
    </row>
    <row r="56" spans="1:16" x14ac:dyDescent="0.25">
      <c r="A56" s="6" t="s">
        <v>3920</v>
      </c>
      <c r="B56" s="7">
        <f t="shared" si="1"/>
        <v>46114</v>
      </c>
      <c r="C56" s="7">
        <f t="shared" si="2"/>
        <v>46120</v>
      </c>
      <c r="D56" s="6">
        <v>3280</v>
      </c>
      <c r="E56" s="6">
        <v>337</v>
      </c>
      <c r="F56" s="6">
        <v>4</v>
      </c>
      <c r="G56" s="15">
        <v>1</v>
      </c>
      <c r="H56" s="15"/>
      <c r="I56" s="15" t="s">
        <v>1505</v>
      </c>
      <c r="J56" s="15">
        <v>23251750</v>
      </c>
      <c r="K56" s="15" t="s">
        <v>80</v>
      </c>
      <c r="L56" s="15" t="s">
        <v>81</v>
      </c>
      <c r="M56" s="16">
        <v>199900</v>
      </c>
      <c r="N56" s="9">
        <v>0.95</v>
      </c>
      <c r="O56" s="8">
        <f t="shared" si="0"/>
        <v>9995</v>
      </c>
      <c r="P56" s="6" t="s">
        <v>15</v>
      </c>
    </row>
    <row r="57" spans="1:16" x14ac:dyDescent="0.25">
      <c r="A57" s="6" t="s">
        <v>3920</v>
      </c>
      <c r="B57" s="7">
        <f t="shared" si="1"/>
        <v>46114</v>
      </c>
      <c r="C57" s="7">
        <f t="shared" si="2"/>
        <v>46120</v>
      </c>
      <c r="D57" s="6">
        <v>3280</v>
      </c>
      <c r="E57" s="6">
        <v>337</v>
      </c>
      <c r="F57" s="6">
        <v>4</v>
      </c>
      <c r="G57" s="15">
        <v>1</v>
      </c>
      <c r="H57" s="15"/>
      <c r="I57" s="15" t="s">
        <v>1505</v>
      </c>
      <c r="J57" s="15">
        <v>23251769</v>
      </c>
      <c r="K57" s="15" t="s">
        <v>80</v>
      </c>
      <c r="L57" s="15" t="s">
        <v>82</v>
      </c>
      <c r="M57" s="16">
        <v>199900</v>
      </c>
      <c r="N57" s="9">
        <v>0.95</v>
      </c>
      <c r="O57" s="8">
        <f t="shared" si="0"/>
        <v>9995</v>
      </c>
      <c r="P57" s="6" t="s">
        <v>15</v>
      </c>
    </row>
    <row r="58" spans="1:16" x14ac:dyDescent="0.25">
      <c r="A58" s="6" t="s">
        <v>3920</v>
      </c>
      <c r="B58" s="7">
        <f t="shared" si="1"/>
        <v>46114</v>
      </c>
      <c r="C58" s="7">
        <f t="shared" si="2"/>
        <v>46120</v>
      </c>
      <c r="D58" s="6">
        <v>3280</v>
      </c>
      <c r="E58" s="6">
        <v>337</v>
      </c>
      <c r="F58" s="6">
        <v>4</v>
      </c>
      <c r="G58" s="15">
        <v>1</v>
      </c>
      <c r="H58" s="15"/>
      <c r="I58" s="15" t="s">
        <v>1505</v>
      </c>
      <c r="J58" s="15">
        <v>23251778</v>
      </c>
      <c r="K58" s="15" t="s">
        <v>80</v>
      </c>
      <c r="L58" s="15" t="s">
        <v>83</v>
      </c>
      <c r="M58" s="16">
        <v>199900</v>
      </c>
      <c r="N58" s="9">
        <v>0.95</v>
      </c>
      <c r="O58" s="8">
        <f t="shared" si="0"/>
        <v>9995</v>
      </c>
      <c r="P58" s="6" t="s">
        <v>15</v>
      </c>
    </row>
    <row r="59" spans="1:16" x14ac:dyDescent="0.25">
      <c r="A59" s="6" t="s">
        <v>3920</v>
      </c>
      <c r="B59" s="7">
        <f t="shared" si="1"/>
        <v>46114</v>
      </c>
      <c r="C59" s="7">
        <f t="shared" si="2"/>
        <v>46120</v>
      </c>
      <c r="D59" s="6">
        <v>3280</v>
      </c>
      <c r="E59" s="6">
        <v>337</v>
      </c>
      <c r="F59" s="6">
        <v>4</v>
      </c>
      <c r="G59" s="15">
        <v>1</v>
      </c>
      <c r="H59" s="15"/>
      <c r="I59" s="15" t="s">
        <v>1505</v>
      </c>
      <c r="J59" s="15">
        <v>23251787</v>
      </c>
      <c r="K59" s="15" t="s">
        <v>80</v>
      </c>
      <c r="L59" s="15" t="s">
        <v>84</v>
      </c>
      <c r="M59" s="16">
        <v>209900</v>
      </c>
      <c r="N59" s="9">
        <v>0.95</v>
      </c>
      <c r="O59" s="8">
        <f t="shared" si="0"/>
        <v>10495</v>
      </c>
      <c r="P59" s="6" t="s">
        <v>15</v>
      </c>
    </row>
    <row r="60" spans="1:16" x14ac:dyDescent="0.25">
      <c r="A60" s="6" t="s">
        <v>3920</v>
      </c>
      <c r="B60" s="7">
        <f t="shared" si="1"/>
        <v>46114</v>
      </c>
      <c r="C60" s="7">
        <f t="shared" si="2"/>
        <v>46120</v>
      </c>
      <c r="D60" s="6">
        <v>3280</v>
      </c>
      <c r="E60" s="6">
        <v>337</v>
      </c>
      <c r="F60" s="6">
        <v>4</v>
      </c>
      <c r="G60" s="15">
        <v>1</v>
      </c>
      <c r="H60" s="15"/>
      <c r="I60" s="15" t="s">
        <v>1505</v>
      </c>
      <c r="J60" s="15">
        <v>23251796</v>
      </c>
      <c r="K60" s="15" t="s">
        <v>80</v>
      </c>
      <c r="L60" s="15" t="s">
        <v>85</v>
      </c>
      <c r="M60" s="16">
        <v>209900</v>
      </c>
      <c r="N60" s="9">
        <v>0.95</v>
      </c>
      <c r="O60" s="8">
        <f t="shared" si="0"/>
        <v>10495</v>
      </c>
      <c r="P60" s="6" t="s">
        <v>15</v>
      </c>
    </row>
    <row r="61" spans="1:16" x14ac:dyDescent="0.25">
      <c r="A61" s="6" t="s">
        <v>3920</v>
      </c>
      <c r="B61" s="7">
        <f t="shared" si="1"/>
        <v>46114</v>
      </c>
      <c r="C61" s="7">
        <f t="shared" si="2"/>
        <v>46120</v>
      </c>
      <c r="D61" s="6">
        <v>3280</v>
      </c>
      <c r="E61" s="6">
        <v>337</v>
      </c>
      <c r="F61" s="6">
        <v>4</v>
      </c>
      <c r="G61" s="15">
        <v>1</v>
      </c>
      <c r="H61" s="15"/>
      <c r="I61" s="15" t="s">
        <v>1505</v>
      </c>
      <c r="J61" s="15">
        <v>23251803</v>
      </c>
      <c r="K61" s="15" t="s">
        <v>80</v>
      </c>
      <c r="L61" s="15" t="s">
        <v>86</v>
      </c>
      <c r="M61" s="16">
        <v>209900</v>
      </c>
      <c r="N61" s="9">
        <v>0.95</v>
      </c>
      <c r="O61" s="8">
        <f t="shared" si="0"/>
        <v>10495</v>
      </c>
      <c r="P61" s="6" t="s">
        <v>15</v>
      </c>
    </row>
    <row r="62" spans="1:16" x14ac:dyDescent="0.25">
      <c r="A62" s="6" t="s">
        <v>3920</v>
      </c>
      <c r="B62" s="7">
        <f t="shared" si="1"/>
        <v>46114</v>
      </c>
      <c r="C62" s="7">
        <f t="shared" si="2"/>
        <v>46120</v>
      </c>
      <c r="D62" s="6">
        <v>3280</v>
      </c>
      <c r="E62" s="6">
        <v>337</v>
      </c>
      <c r="F62" s="6">
        <v>4</v>
      </c>
      <c r="G62" s="15">
        <v>1</v>
      </c>
      <c r="H62" s="15"/>
      <c r="I62" s="15" t="s">
        <v>1505</v>
      </c>
      <c r="J62" s="15">
        <v>23253249</v>
      </c>
      <c r="K62" s="15" t="s">
        <v>87</v>
      </c>
      <c r="L62" s="15" t="s">
        <v>88</v>
      </c>
      <c r="M62" s="16">
        <v>209900</v>
      </c>
      <c r="N62" s="9">
        <v>0.95</v>
      </c>
      <c r="O62" s="8">
        <f t="shared" si="0"/>
        <v>10495</v>
      </c>
      <c r="P62" s="6" t="s">
        <v>15</v>
      </c>
    </row>
    <row r="63" spans="1:16" x14ac:dyDescent="0.25">
      <c r="A63" s="6" t="s">
        <v>3920</v>
      </c>
      <c r="B63" s="7">
        <f t="shared" si="1"/>
        <v>46114</v>
      </c>
      <c r="C63" s="7">
        <f t="shared" si="2"/>
        <v>46120</v>
      </c>
      <c r="D63" s="6">
        <v>3280</v>
      </c>
      <c r="E63" s="6">
        <v>337</v>
      </c>
      <c r="F63" s="6">
        <v>4</v>
      </c>
      <c r="G63" s="15">
        <v>1</v>
      </c>
      <c r="H63" s="15"/>
      <c r="I63" s="15" t="s">
        <v>1505</v>
      </c>
      <c r="J63" s="15">
        <v>23273021</v>
      </c>
      <c r="K63" s="15" t="s">
        <v>89</v>
      </c>
      <c r="L63" s="15" t="s">
        <v>90</v>
      </c>
      <c r="M63" s="16">
        <v>189900</v>
      </c>
      <c r="N63" s="9">
        <v>0.95</v>
      </c>
      <c r="O63" s="8">
        <f t="shared" si="0"/>
        <v>9495</v>
      </c>
      <c r="P63" s="6" t="s">
        <v>15</v>
      </c>
    </row>
    <row r="64" spans="1:16" x14ac:dyDescent="0.25">
      <c r="A64" s="6" t="s">
        <v>3920</v>
      </c>
      <c r="B64" s="7">
        <f t="shared" si="1"/>
        <v>46114</v>
      </c>
      <c r="C64" s="7">
        <f t="shared" si="2"/>
        <v>46120</v>
      </c>
      <c r="D64" s="6">
        <v>3280</v>
      </c>
      <c r="E64" s="6">
        <v>337</v>
      </c>
      <c r="F64" s="6">
        <v>4</v>
      </c>
      <c r="G64" s="15">
        <v>1</v>
      </c>
      <c r="H64" s="15"/>
      <c r="I64" s="15" t="s">
        <v>1505</v>
      </c>
      <c r="J64" s="15">
        <v>23273030</v>
      </c>
      <c r="K64" s="15" t="s">
        <v>89</v>
      </c>
      <c r="L64" s="15" t="s">
        <v>91</v>
      </c>
      <c r="M64" s="16">
        <v>189900</v>
      </c>
      <c r="N64" s="9">
        <v>0.95</v>
      </c>
      <c r="O64" s="8">
        <f t="shared" si="0"/>
        <v>9495</v>
      </c>
      <c r="P64" s="6" t="s">
        <v>15</v>
      </c>
    </row>
    <row r="65" spans="1:16" x14ac:dyDescent="0.25">
      <c r="A65" s="6" t="s">
        <v>3920</v>
      </c>
      <c r="B65" s="7">
        <f t="shared" si="1"/>
        <v>46114</v>
      </c>
      <c r="C65" s="7">
        <f t="shared" si="2"/>
        <v>46120</v>
      </c>
      <c r="D65" s="6">
        <v>3280</v>
      </c>
      <c r="E65" s="6">
        <v>337</v>
      </c>
      <c r="F65" s="6">
        <v>4</v>
      </c>
      <c r="G65" s="15">
        <v>1</v>
      </c>
      <c r="H65" s="15"/>
      <c r="I65" s="15" t="s">
        <v>1505</v>
      </c>
      <c r="J65" s="15">
        <v>23273049</v>
      </c>
      <c r="K65" s="15" t="s">
        <v>89</v>
      </c>
      <c r="L65" s="15" t="s">
        <v>92</v>
      </c>
      <c r="M65" s="16">
        <v>189900</v>
      </c>
      <c r="N65" s="9">
        <v>0.95</v>
      </c>
      <c r="O65" s="8">
        <f t="shared" si="0"/>
        <v>9495</v>
      </c>
      <c r="P65" s="6" t="s">
        <v>15</v>
      </c>
    </row>
    <row r="66" spans="1:16" x14ac:dyDescent="0.25">
      <c r="A66" s="6" t="s">
        <v>3920</v>
      </c>
      <c r="B66" s="7">
        <f t="shared" si="1"/>
        <v>46114</v>
      </c>
      <c r="C66" s="7">
        <f t="shared" si="2"/>
        <v>46120</v>
      </c>
      <c r="D66" s="6">
        <v>3280</v>
      </c>
      <c r="E66" s="6">
        <v>337</v>
      </c>
      <c r="F66" s="6">
        <v>4</v>
      </c>
      <c r="G66" s="15">
        <v>1</v>
      </c>
      <c r="H66" s="15"/>
      <c r="I66" s="15" t="s">
        <v>1505</v>
      </c>
      <c r="J66" s="15">
        <v>23273058</v>
      </c>
      <c r="K66" s="15" t="s">
        <v>89</v>
      </c>
      <c r="L66" s="15" t="s">
        <v>93</v>
      </c>
      <c r="M66" s="16">
        <v>199900</v>
      </c>
      <c r="N66" s="9">
        <v>0.95</v>
      </c>
      <c r="O66" s="8">
        <f t="shared" ref="O66:O129" si="3">M66-((95*M66)/100)</f>
        <v>9995</v>
      </c>
      <c r="P66" s="6" t="s">
        <v>15</v>
      </c>
    </row>
    <row r="67" spans="1:16" x14ac:dyDescent="0.25">
      <c r="A67" s="6" t="s">
        <v>3920</v>
      </c>
      <c r="B67" s="7">
        <f t="shared" si="1"/>
        <v>46114</v>
      </c>
      <c r="C67" s="7">
        <f t="shared" si="2"/>
        <v>46120</v>
      </c>
      <c r="D67" s="6">
        <v>3280</v>
      </c>
      <c r="E67" s="6">
        <v>337</v>
      </c>
      <c r="F67" s="6">
        <v>4</v>
      </c>
      <c r="G67" s="15">
        <v>1</v>
      </c>
      <c r="H67" s="15"/>
      <c r="I67" s="15" t="s">
        <v>1505</v>
      </c>
      <c r="J67" s="15">
        <v>23273067</v>
      </c>
      <c r="K67" s="15" t="s">
        <v>89</v>
      </c>
      <c r="L67" s="15" t="s">
        <v>94</v>
      </c>
      <c r="M67" s="16">
        <v>199900</v>
      </c>
      <c r="N67" s="9">
        <v>0.95</v>
      </c>
      <c r="O67" s="8">
        <f t="shared" si="3"/>
        <v>9995</v>
      </c>
      <c r="P67" s="6" t="s">
        <v>15</v>
      </c>
    </row>
    <row r="68" spans="1:16" x14ac:dyDescent="0.25">
      <c r="A68" s="6" t="s">
        <v>3920</v>
      </c>
      <c r="B68" s="7">
        <f t="shared" ref="B68:B131" si="4">B67</f>
        <v>46114</v>
      </c>
      <c r="C68" s="7">
        <f t="shared" ref="C68:C131" si="5">C67</f>
        <v>46120</v>
      </c>
      <c r="D68" s="6">
        <v>3280</v>
      </c>
      <c r="E68" s="6">
        <v>337</v>
      </c>
      <c r="F68" s="6">
        <v>4</v>
      </c>
      <c r="G68" s="15">
        <v>1</v>
      </c>
      <c r="H68" s="15"/>
      <c r="I68" s="15" t="s">
        <v>1505</v>
      </c>
      <c r="J68" s="15">
        <v>23273076</v>
      </c>
      <c r="K68" s="15" t="s">
        <v>89</v>
      </c>
      <c r="L68" s="15" t="s">
        <v>95</v>
      </c>
      <c r="M68" s="16">
        <v>199900</v>
      </c>
      <c r="N68" s="9">
        <v>0.95</v>
      </c>
      <c r="O68" s="8">
        <f t="shared" si="3"/>
        <v>9995</v>
      </c>
      <c r="P68" s="6" t="s">
        <v>15</v>
      </c>
    </row>
    <row r="69" spans="1:16" x14ac:dyDescent="0.25">
      <c r="A69" s="6" t="s">
        <v>3920</v>
      </c>
      <c r="B69" s="7">
        <f t="shared" si="4"/>
        <v>46114</v>
      </c>
      <c r="C69" s="7">
        <f t="shared" si="5"/>
        <v>46120</v>
      </c>
      <c r="D69" s="6">
        <v>3280</v>
      </c>
      <c r="E69" s="6">
        <v>337</v>
      </c>
      <c r="F69" s="6">
        <v>4</v>
      </c>
      <c r="G69" s="15">
        <v>1</v>
      </c>
      <c r="H69" s="15"/>
      <c r="I69" s="15" t="s">
        <v>1505</v>
      </c>
      <c r="J69" s="15">
        <v>23273272</v>
      </c>
      <c r="K69" s="15" t="s">
        <v>96</v>
      </c>
      <c r="L69" s="15" t="s">
        <v>97</v>
      </c>
      <c r="M69" s="16">
        <v>189900</v>
      </c>
      <c r="N69" s="9">
        <v>0.95</v>
      </c>
      <c r="O69" s="8">
        <f t="shared" si="3"/>
        <v>9495</v>
      </c>
      <c r="P69" s="6" t="s">
        <v>15</v>
      </c>
    </row>
    <row r="70" spans="1:16" x14ac:dyDescent="0.25">
      <c r="A70" s="6" t="s">
        <v>3920</v>
      </c>
      <c r="B70" s="7">
        <f t="shared" si="4"/>
        <v>46114</v>
      </c>
      <c r="C70" s="7">
        <f t="shared" si="5"/>
        <v>46120</v>
      </c>
      <c r="D70" s="6">
        <v>3280</v>
      </c>
      <c r="E70" s="6">
        <v>337</v>
      </c>
      <c r="F70" s="6">
        <v>4</v>
      </c>
      <c r="G70" s="15">
        <v>1</v>
      </c>
      <c r="H70" s="15"/>
      <c r="I70" s="15" t="s">
        <v>1505</v>
      </c>
      <c r="J70" s="15">
        <v>23273281</v>
      </c>
      <c r="K70" s="15" t="s">
        <v>96</v>
      </c>
      <c r="L70" s="15" t="s">
        <v>98</v>
      </c>
      <c r="M70" s="16">
        <v>189900</v>
      </c>
      <c r="N70" s="9">
        <v>0.95</v>
      </c>
      <c r="O70" s="8">
        <f t="shared" si="3"/>
        <v>9495</v>
      </c>
      <c r="P70" s="6" t="s">
        <v>15</v>
      </c>
    </row>
    <row r="71" spans="1:16" x14ac:dyDescent="0.25">
      <c r="A71" s="6" t="s">
        <v>3920</v>
      </c>
      <c r="B71" s="7">
        <f t="shared" si="4"/>
        <v>46114</v>
      </c>
      <c r="C71" s="7">
        <f t="shared" si="5"/>
        <v>46120</v>
      </c>
      <c r="D71" s="6">
        <v>3280</v>
      </c>
      <c r="E71" s="6">
        <v>337</v>
      </c>
      <c r="F71" s="6">
        <v>4</v>
      </c>
      <c r="G71" s="15">
        <v>1</v>
      </c>
      <c r="H71" s="15"/>
      <c r="I71" s="15" t="s">
        <v>1505</v>
      </c>
      <c r="J71" s="15">
        <v>23273307</v>
      </c>
      <c r="K71" s="15" t="s">
        <v>96</v>
      </c>
      <c r="L71" s="15" t="s">
        <v>99</v>
      </c>
      <c r="M71" s="16">
        <v>199900</v>
      </c>
      <c r="N71" s="9">
        <v>0.95</v>
      </c>
      <c r="O71" s="8">
        <f t="shared" si="3"/>
        <v>9995</v>
      </c>
      <c r="P71" s="6" t="s">
        <v>15</v>
      </c>
    </row>
    <row r="72" spans="1:16" x14ac:dyDescent="0.25">
      <c r="A72" s="6" t="s">
        <v>3920</v>
      </c>
      <c r="B72" s="7">
        <f t="shared" si="4"/>
        <v>46114</v>
      </c>
      <c r="C72" s="7">
        <f t="shared" si="5"/>
        <v>46120</v>
      </c>
      <c r="D72" s="6">
        <v>3280</v>
      </c>
      <c r="E72" s="6">
        <v>337</v>
      </c>
      <c r="F72" s="6">
        <v>4</v>
      </c>
      <c r="G72" s="15">
        <v>1</v>
      </c>
      <c r="H72" s="15"/>
      <c r="I72" s="15" t="s">
        <v>1505</v>
      </c>
      <c r="J72" s="15">
        <v>23273316</v>
      </c>
      <c r="K72" s="15" t="s">
        <v>96</v>
      </c>
      <c r="L72" s="15" t="s">
        <v>100</v>
      </c>
      <c r="M72" s="16">
        <v>199900</v>
      </c>
      <c r="N72" s="9">
        <v>0.95</v>
      </c>
      <c r="O72" s="8">
        <f t="shared" si="3"/>
        <v>9995</v>
      </c>
      <c r="P72" s="6" t="s">
        <v>15</v>
      </c>
    </row>
    <row r="73" spans="1:16" x14ac:dyDescent="0.25">
      <c r="A73" s="6" t="s">
        <v>3920</v>
      </c>
      <c r="B73" s="7">
        <f t="shared" si="4"/>
        <v>46114</v>
      </c>
      <c r="C73" s="7">
        <f t="shared" si="5"/>
        <v>46120</v>
      </c>
      <c r="D73" s="6">
        <v>3280</v>
      </c>
      <c r="E73" s="6">
        <v>337</v>
      </c>
      <c r="F73" s="6">
        <v>4</v>
      </c>
      <c r="G73" s="15">
        <v>1</v>
      </c>
      <c r="H73" s="15"/>
      <c r="I73" s="15" t="s">
        <v>1505</v>
      </c>
      <c r="J73" s="15">
        <v>23273325</v>
      </c>
      <c r="K73" s="15" t="s">
        <v>96</v>
      </c>
      <c r="L73" s="15" t="s">
        <v>101</v>
      </c>
      <c r="M73" s="16">
        <v>199900</v>
      </c>
      <c r="N73" s="9">
        <v>0.95</v>
      </c>
      <c r="O73" s="8">
        <f t="shared" si="3"/>
        <v>9995</v>
      </c>
      <c r="P73" s="6" t="s">
        <v>15</v>
      </c>
    </row>
    <row r="74" spans="1:16" x14ac:dyDescent="0.25">
      <c r="A74" s="6" t="s">
        <v>3920</v>
      </c>
      <c r="B74" s="7">
        <f t="shared" si="4"/>
        <v>46114</v>
      </c>
      <c r="C74" s="7">
        <f t="shared" si="5"/>
        <v>46120</v>
      </c>
      <c r="D74" s="6">
        <v>3280</v>
      </c>
      <c r="E74" s="6">
        <v>337</v>
      </c>
      <c r="F74" s="6">
        <v>4</v>
      </c>
      <c r="G74" s="15">
        <v>1</v>
      </c>
      <c r="H74" s="15"/>
      <c r="I74" s="15" t="s">
        <v>1505</v>
      </c>
      <c r="J74" s="15">
        <v>23253025</v>
      </c>
      <c r="K74" s="15" t="s">
        <v>102</v>
      </c>
      <c r="L74" s="15" t="s">
        <v>103</v>
      </c>
      <c r="M74" s="16">
        <v>199900</v>
      </c>
      <c r="N74" s="9">
        <v>0.95</v>
      </c>
      <c r="O74" s="8">
        <f t="shared" si="3"/>
        <v>9995</v>
      </c>
      <c r="P74" s="6" t="s">
        <v>15</v>
      </c>
    </row>
    <row r="75" spans="1:16" x14ac:dyDescent="0.25">
      <c r="A75" s="6" t="s">
        <v>3920</v>
      </c>
      <c r="B75" s="7">
        <f t="shared" si="4"/>
        <v>46114</v>
      </c>
      <c r="C75" s="7">
        <f t="shared" si="5"/>
        <v>46120</v>
      </c>
      <c r="D75" s="6">
        <v>3280</v>
      </c>
      <c r="E75" s="6">
        <v>337</v>
      </c>
      <c r="F75" s="6">
        <v>4</v>
      </c>
      <c r="G75" s="15">
        <v>1</v>
      </c>
      <c r="H75" s="15"/>
      <c r="I75" s="15" t="s">
        <v>1505</v>
      </c>
      <c r="J75" s="15">
        <v>23253070</v>
      </c>
      <c r="K75" s="15" t="s">
        <v>102</v>
      </c>
      <c r="L75" s="15" t="s">
        <v>104</v>
      </c>
      <c r="M75" s="16">
        <v>209900</v>
      </c>
      <c r="N75" s="9">
        <v>0.95</v>
      </c>
      <c r="O75" s="8">
        <f t="shared" si="3"/>
        <v>10495</v>
      </c>
      <c r="P75" s="6" t="s">
        <v>15</v>
      </c>
    </row>
    <row r="76" spans="1:16" x14ac:dyDescent="0.25">
      <c r="A76" s="6" t="s">
        <v>3920</v>
      </c>
      <c r="B76" s="7">
        <f t="shared" si="4"/>
        <v>46114</v>
      </c>
      <c r="C76" s="7">
        <f t="shared" si="5"/>
        <v>46120</v>
      </c>
      <c r="D76" s="6">
        <v>3280</v>
      </c>
      <c r="E76" s="6">
        <v>337</v>
      </c>
      <c r="F76" s="6">
        <v>4</v>
      </c>
      <c r="G76" s="15">
        <v>1</v>
      </c>
      <c r="H76" s="15"/>
      <c r="I76" s="15" t="s">
        <v>1505</v>
      </c>
      <c r="J76" s="15">
        <v>23253203</v>
      </c>
      <c r="K76" s="15" t="s">
        <v>87</v>
      </c>
      <c r="L76" s="15" t="s">
        <v>105</v>
      </c>
      <c r="M76" s="16">
        <v>199900</v>
      </c>
      <c r="N76" s="9">
        <v>0.95</v>
      </c>
      <c r="O76" s="8">
        <f t="shared" si="3"/>
        <v>9995</v>
      </c>
      <c r="P76" s="6" t="s">
        <v>15</v>
      </c>
    </row>
    <row r="77" spans="1:16" x14ac:dyDescent="0.25">
      <c r="A77" s="6" t="s">
        <v>3920</v>
      </c>
      <c r="B77" s="7">
        <f t="shared" si="4"/>
        <v>46114</v>
      </c>
      <c r="C77" s="7">
        <f t="shared" si="5"/>
        <v>46120</v>
      </c>
      <c r="D77" s="6">
        <v>3280</v>
      </c>
      <c r="E77" s="6">
        <v>337</v>
      </c>
      <c r="F77" s="6">
        <v>4</v>
      </c>
      <c r="G77" s="15">
        <v>1</v>
      </c>
      <c r="H77" s="15"/>
      <c r="I77" s="15" t="s">
        <v>1505</v>
      </c>
      <c r="J77" s="15">
        <v>23252213</v>
      </c>
      <c r="K77" s="15" t="s">
        <v>106</v>
      </c>
      <c r="L77" s="15" t="s">
        <v>107</v>
      </c>
      <c r="M77" s="16">
        <v>219900</v>
      </c>
      <c r="N77" s="9">
        <v>0.95</v>
      </c>
      <c r="O77" s="8">
        <f t="shared" si="3"/>
        <v>10995</v>
      </c>
      <c r="P77" s="6" t="s">
        <v>15</v>
      </c>
    </row>
    <row r="78" spans="1:16" x14ac:dyDescent="0.25">
      <c r="A78" s="6" t="s">
        <v>3920</v>
      </c>
      <c r="B78" s="7">
        <f t="shared" si="4"/>
        <v>46114</v>
      </c>
      <c r="C78" s="7">
        <f t="shared" si="5"/>
        <v>46120</v>
      </c>
      <c r="D78" s="6">
        <v>3280</v>
      </c>
      <c r="E78" s="6">
        <v>337</v>
      </c>
      <c r="F78" s="6">
        <v>4</v>
      </c>
      <c r="G78" s="15">
        <v>1</v>
      </c>
      <c r="H78" s="15"/>
      <c r="I78" s="15" t="s">
        <v>1505</v>
      </c>
      <c r="J78" s="15">
        <v>23253043</v>
      </c>
      <c r="K78" s="15" t="s">
        <v>102</v>
      </c>
      <c r="L78" s="15" t="s">
        <v>108</v>
      </c>
      <c r="M78" s="16">
        <v>199900</v>
      </c>
      <c r="N78" s="9">
        <v>0.95</v>
      </c>
      <c r="O78" s="8">
        <f t="shared" si="3"/>
        <v>9995</v>
      </c>
      <c r="P78" s="6" t="s">
        <v>15</v>
      </c>
    </row>
    <row r="79" spans="1:16" x14ac:dyDescent="0.25">
      <c r="A79" s="6" t="s">
        <v>3920</v>
      </c>
      <c r="B79" s="7">
        <f t="shared" si="4"/>
        <v>46114</v>
      </c>
      <c r="C79" s="7">
        <f t="shared" si="5"/>
        <v>46120</v>
      </c>
      <c r="D79" s="6">
        <v>3280</v>
      </c>
      <c r="E79" s="6">
        <v>337</v>
      </c>
      <c r="F79" s="6">
        <v>4</v>
      </c>
      <c r="G79" s="15">
        <v>1</v>
      </c>
      <c r="H79" s="15"/>
      <c r="I79" s="15" t="s">
        <v>1505</v>
      </c>
      <c r="J79" s="15">
        <v>23252231</v>
      </c>
      <c r="K79" s="15" t="s">
        <v>106</v>
      </c>
      <c r="L79" s="15" t="s">
        <v>109</v>
      </c>
      <c r="M79" s="16">
        <v>219900</v>
      </c>
      <c r="N79" s="9">
        <v>0.95</v>
      </c>
      <c r="O79" s="8">
        <f t="shared" si="3"/>
        <v>10995</v>
      </c>
      <c r="P79" s="6" t="s">
        <v>15</v>
      </c>
    </row>
    <row r="80" spans="1:16" x14ac:dyDescent="0.25">
      <c r="A80" s="6" t="s">
        <v>3920</v>
      </c>
      <c r="B80" s="7">
        <f t="shared" si="4"/>
        <v>46114</v>
      </c>
      <c r="C80" s="7">
        <f t="shared" si="5"/>
        <v>46120</v>
      </c>
      <c r="D80" s="6">
        <v>3280</v>
      </c>
      <c r="E80" s="6">
        <v>337</v>
      </c>
      <c r="F80" s="6">
        <v>4</v>
      </c>
      <c r="G80" s="15">
        <v>1</v>
      </c>
      <c r="H80" s="15"/>
      <c r="I80" s="15" t="s">
        <v>1505</v>
      </c>
      <c r="J80" s="15">
        <v>23273290</v>
      </c>
      <c r="K80" s="15" t="s">
        <v>96</v>
      </c>
      <c r="L80" s="15" t="s">
        <v>110</v>
      </c>
      <c r="M80" s="16">
        <v>189900</v>
      </c>
      <c r="N80" s="9">
        <v>0.95</v>
      </c>
      <c r="O80" s="8">
        <f t="shared" si="3"/>
        <v>9495</v>
      </c>
      <c r="P80" s="6" t="s">
        <v>15</v>
      </c>
    </row>
    <row r="81" spans="1:16" x14ac:dyDescent="0.25">
      <c r="A81" s="6" t="s">
        <v>3920</v>
      </c>
      <c r="B81" s="7">
        <f t="shared" si="4"/>
        <v>46114</v>
      </c>
      <c r="C81" s="7">
        <f t="shared" si="5"/>
        <v>46120</v>
      </c>
      <c r="D81" s="6">
        <v>3280</v>
      </c>
      <c r="E81" s="6">
        <v>337</v>
      </c>
      <c r="F81" s="6">
        <v>4</v>
      </c>
      <c r="G81" s="15">
        <v>1</v>
      </c>
      <c r="H81" s="15"/>
      <c r="I81" s="15" t="s">
        <v>1505</v>
      </c>
      <c r="J81" s="15">
        <v>23252222</v>
      </c>
      <c r="K81" s="15" t="s">
        <v>106</v>
      </c>
      <c r="L81" s="15" t="s">
        <v>111</v>
      </c>
      <c r="M81" s="16">
        <v>219900</v>
      </c>
      <c r="N81" s="9">
        <v>0.95</v>
      </c>
      <c r="O81" s="8">
        <f t="shared" si="3"/>
        <v>10995</v>
      </c>
      <c r="P81" s="6" t="s">
        <v>15</v>
      </c>
    </row>
    <row r="82" spans="1:16" x14ac:dyDescent="0.25">
      <c r="A82" s="6" t="s">
        <v>3920</v>
      </c>
      <c r="B82" s="7">
        <f t="shared" si="4"/>
        <v>46114</v>
      </c>
      <c r="C82" s="7">
        <f t="shared" si="5"/>
        <v>46120</v>
      </c>
      <c r="D82" s="6">
        <v>3280</v>
      </c>
      <c r="E82" s="6">
        <v>337</v>
      </c>
      <c r="F82" s="6">
        <v>4</v>
      </c>
      <c r="G82" s="15">
        <v>1</v>
      </c>
      <c r="H82" s="15"/>
      <c r="I82" s="15" t="s">
        <v>1505</v>
      </c>
      <c r="J82" s="15">
        <v>23252204</v>
      </c>
      <c r="K82" s="15" t="s">
        <v>106</v>
      </c>
      <c r="L82" s="15" t="s">
        <v>112</v>
      </c>
      <c r="M82" s="16">
        <v>209900</v>
      </c>
      <c r="N82" s="9">
        <v>0.95</v>
      </c>
      <c r="O82" s="8">
        <f t="shared" si="3"/>
        <v>10495</v>
      </c>
      <c r="P82" s="6" t="s">
        <v>15</v>
      </c>
    </row>
    <row r="83" spans="1:16" x14ac:dyDescent="0.25">
      <c r="A83" s="6" t="s">
        <v>3920</v>
      </c>
      <c r="B83" s="7">
        <f t="shared" si="4"/>
        <v>46114</v>
      </c>
      <c r="C83" s="7">
        <f t="shared" si="5"/>
        <v>46120</v>
      </c>
      <c r="D83" s="6">
        <v>3280</v>
      </c>
      <c r="E83" s="6">
        <v>337</v>
      </c>
      <c r="F83" s="6">
        <v>4</v>
      </c>
      <c r="G83" s="15">
        <v>1</v>
      </c>
      <c r="H83" s="15"/>
      <c r="I83" s="15" t="s">
        <v>1505</v>
      </c>
      <c r="J83" s="15">
        <v>23253230</v>
      </c>
      <c r="K83" s="15" t="s">
        <v>87</v>
      </c>
      <c r="L83" s="15" t="s">
        <v>113</v>
      </c>
      <c r="M83" s="16">
        <v>209900</v>
      </c>
      <c r="N83" s="9">
        <v>0.95</v>
      </c>
      <c r="O83" s="8">
        <f t="shared" si="3"/>
        <v>10495</v>
      </c>
      <c r="P83" s="6" t="s">
        <v>15</v>
      </c>
    </row>
    <row r="84" spans="1:16" x14ac:dyDescent="0.25">
      <c r="A84" s="6" t="s">
        <v>3920</v>
      </c>
      <c r="B84" s="7">
        <f t="shared" si="4"/>
        <v>46114</v>
      </c>
      <c r="C84" s="7">
        <f t="shared" si="5"/>
        <v>46120</v>
      </c>
      <c r="D84" s="6">
        <v>3280</v>
      </c>
      <c r="E84" s="6">
        <v>337</v>
      </c>
      <c r="F84" s="6">
        <v>4</v>
      </c>
      <c r="G84" s="15">
        <v>1</v>
      </c>
      <c r="H84" s="15"/>
      <c r="I84" s="15" t="s">
        <v>1505</v>
      </c>
      <c r="J84" s="15">
        <v>23253034</v>
      </c>
      <c r="K84" s="15" t="s">
        <v>102</v>
      </c>
      <c r="L84" s="15" t="s">
        <v>114</v>
      </c>
      <c r="M84" s="16">
        <v>199900</v>
      </c>
      <c r="N84" s="9">
        <v>0.95</v>
      </c>
      <c r="O84" s="8">
        <f t="shared" si="3"/>
        <v>9995</v>
      </c>
      <c r="P84" s="6" t="s">
        <v>15</v>
      </c>
    </row>
    <row r="85" spans="1:16" x14ac:dyDescent="0.25">
      <c r="A85" s="6" t="s">
        <v>3920</v>
      </c>
      <c r="B85" s="7">
        <f t="shared" si="4"/>
        <v>46114</v>
      </c>
      <c r="C85" s="7">
        <f t="shared" si="5"/>
        <v>46120</v>
      </c>
      <c r="D85" s="6">
        <v>3280</v>
      </c>
      <c r="E85" s="6">
        <v>337</v>
      </c>
      <c r="F85" s="6">
        <v>4</v>
      </c>
      <c r="G85" s="15">
        <v>1</v>
      </c>
      <c r="H85" s="15"/>
      <c r="I85" s="15" t="s">
        <v>1505</v>
      </c>
      <c r="J85" s="15">
        <v>23253061</v>
      </c>
      <c r="K85" s="15" t="s">
        <v>102</v>
      </c>
      <c r="L85" s="15" t="s">
        <v>115</v>
      </c>
      <c r="M85" s="16">
        <v>209900</v>
      </c>
      <c r="N85" s="9">
        <v>0.95</v>
      </c>
      <c r="O85" s="8">
        <f t="shared" si="3"/>
        <v>10495</v>
      </c>
      <c r="P85" s="6" t="s">
        <v>15</v>
      </c>
    </row>
    <row r="86" spans="1:16" x14ac:dyDescent="0.25">
      <c r="A86" s="6" t="s">
        <v>3920</v>
      </c>
      <c r="B86" s="7">
        <f t="shared" si="4"/>
        <v>46114</v>
      </c>
      <c r="C86" s="7">
        <f t="shared" si="5"/>
        <v>46120</v>
      </c>
      <c r="D86" s="6">
        <v>3280</v>
      </c>
      <c r="E86" s="6">
        <v>337</v>
      </c>
      <c r="F86" s="6">
        <v>4</v>
      </c>
      <c r="G86" s="15">
        <v>1</v>
      </c>
      <c r="H86" s="15"/>
      <c r="I86" s="15" t="s">
        <v>1505</v>
      </c>
      <c r="J86" s="15">
        <v>23253052</v>
      </c>
      <c r="K86" s="15" t="s">
        <v>102</v>
      </c>
      <c r="L86" s="15" t="s">
        <v>116</v>
      </c>
      <c r="M86" s="16">
        <v>209900</v>
      </c>
      <c r="N86" s="9">
        <v>0.95</v>
      </c>
      <c r="O86" s="8">
        <f t="shared" si="3"/>
        <v>10495</v>
      </c>
      <c r="P86" s="6" t="s">
        <v>15</v>
      </c>
    </row>
    <row r="87" spans="1:16" x14ac:dyDescent="0.25">
      <c r="A87" s="6" t="s">
        <v>3920</v>
      </c>
      <c r="B87" s="7">
        <f t="shared" si="4"/>
        <v>46114</v>
      </c>
      <c r="C87" s="7">
        <f t="shared" si="5"/>
        <v>46120</v>
      </c>
      <c r="D87" s="6">
        <v>3280</v>
      </c>
      <c r="E87" s="6">
        <v>337</v>
      </c>
      <c r="F87" s="6">
        <v>4</v>
      </c>
      <c r="G87" s="15">
        <v>1</v>
      </c>
      <c r="H87" s="15"/>
      <c r="I87" s="15" t="s">
        <v>1505</v>
      </c>
      <c r="J87" s="15">
        <v>23253258</v>
      </c>
      <c r="K87" s="15" t="s">
        <v>87</v>
      </c>
      <c r="L87" s="15" t="s">
        <v>117</v>
      </c>
      <c r="M87" s="16">
        <v>209900</v>
      </c>
      <c r="N87" s="9">
        <v>0.95</v>
      </c>
      <c r="O87" s="8">
        <f t="shared" si="3"/>
        <v>10495</v>
      </c>
      <c r="P87" s="6" t="s">
        <v>15</v>
      </c>
    </row>
    <row r="88" spans="1:16" x14ac:dyDescent="0.25">
      <c r="A88" s="6" t="s">
        <v>3920</v>
      </c>
      <c r="B88" s="7">
        <f t="shared" si="4"/>
        <v>46114</v>
      </c>
      <c r="C88" s="7">
        <f t="shared" si="5"/>
        <v>46120</v>
      </c>
      <c r="D88" s="6">
        <v>3280</v>
      </c>
      <c r="E88" s="6">
        <v>337</v>
      </c>
      <c r="F88" s="6">
        <v>4</v>
      </c>
      <c r="G88" s="15">
        <v>1</v>
      </c>
      <c r="H88" s="15"/>
      <c r="I88" s="15" t="s">
        <v>1505</v>
      </c>
      <c r="J88" s="15">
        <v>23253212</v>
      </c>
      <c r="K88" s="15" t="s">
        <v>87</v>
      </c>
      <c r="L88" s="15" t="s">
        <v>118</v>
      </c>
      <c r="M88" s="16">
        <v>199900</v>
      </c>
      <c r="N88" s="9">
        <v>0.95</v>
      </c>
      <c r="O88" s="8">
        <f t="shared" si="3"/>
        <v>9995</v>
      </c>
      <c r="P88" s="6" t="s">
        <v>15</v>
      </c>
    </row>
    <row r="89" spans="1:16" x14ac:dyDescent="0.25">
      <c r="A89" s="6" t="s">
        <v>3920</v>
      </c>
      <c r="B89" s="7">
        <f t="shared" si="4"/>
        <v>46114</v>
      </c>
      <c r="C89" s="7">
        <f t="shared" si="5"/>
        <v>46120</v>
      </c>
      <c r="D89" s="6">
        <v>3280</v>
      </c>
      <c r="E89" s="6">
        <v>337</v>
      </c>
      <c r="F89" s="6">
        <v>4</v>
      </c>
      <c r="G89" s="15">
        <v>1</v>
      </c>
      <c r="H89" s="15"/>
      <c r="I89" s="15" t="s">
        <v>1505</v>
      </c>
      <c r="J89" s="15">
        <v>23267930</v>
      </c>
      <c r="K89" s="15" t="s">
        <v>74</v>
      </c>
      <c r="L89" s="15" t="s">
        <v>119</v>
      </c>
      <c r="M89" s="16">
        <v>219900</v>
      </c>
      <c r="N89" s="9">
        <v>0.95</v>
      </c>
      <c r="O89" s="8">
        <f t="shared" si="3"/>
        <v>10995</v>
      </c>
      <c r="P89" s="6" t="s">
        <v>15</v>
      </c>
    </row>
    <row r="90" spans="1:16" x14ac:dyDescent="0.25">
      <c r="A90" s="6" t="s">
        <v>3920</v>
      </c>
      <c r="B90" s="7">
        <f t="shared" si="4"/>
        <v>46114</v>
      </c>
      <c r="C90" s="7">
        <f t="shared" si="5"/>
        <v>46120</v>
      </c>
      <c r="D90" s="6">
        <v>3280</v>
      </c>
      <c r="E90" s="6">
        <v>337</v>
      </c>
      <c r="F90" s="6">
        <v>4</v>
      </c>
      <c r="G90" s="15">
        <v>1</v>
      </c>
      <c r="H90" s="15"/>
      <c r="I90" s="15" t="s">
        <v>1505</v>
      </c>
      <c r="J90" s="15">
        <v>23253221</v>
      </c>
      <c r="K90" s="15" t="s">
        <v>87</v>
      </c>
      <c r="L90" s="15" t="s">
        <v>120</v>
      </c>
      <c r="M90" s="16">
        <v>199900</v>
      </c>
      <c r="N90" s="9">
        <v>0.95</v>
      </c>
      <c r="O90" s="8">
        <f t="shared" si="3"/>
        <v>9995</v>
      </c>
      <c r="P90" s="6" t="s">
        <v>15</v>
      </c>
    </row>
    <row r="91" spans="1:16" x14ac:dyDescent="0.25">
      <c r="A91" s="6" t="s">
        <v>3920</v>
      </c>
      <c r="B91" s="7">
        <f t="shared" si="4"/>
        <v>46114</v>
      </c>
      <c r="C91" s="7">
        <f t="shared" si="5"/>
        <v>46120</v>
      </c>
      <c r="D91" s="6">
        <v>3280</v>
      </c>
      <c r="E91" s="6">
        <v>337</v>
      </c>
      <c r="F91" s="6">
        <v>4</v>
      </c>
      <c r="G91" s="15">
        <v>1</v>
      </c>
      <c r="H91" s="15"/>
      <c r="I91" s="15" t="s">
        <v>1505</v>
      </c>
      <c r="J91" s="15">
        <v>23252197</v>
      </c>
      <c r="K91" s="15" t="s">
        <v>106</v>
      </c>
      <c r="L91" s="15" t="s">
        <v>121</v>
      </c>
      <c r="M91" s="16">
        <v>209900</v>
      </c>
      <c r="N91" s="9">
        <v>0.95</v>
      </c>
      <c r="O91" s="8">
        <f t="shared" si="3"/>
        <v>10495</v>
      </c>
      <c r="P91" s="6" t="s">
        <v>15</v>
      </c>
    </row>
    <row r="92" spans="1:16" x14ac:dyDescent="0.25">
      <c r="A92" s="6" t="s">
        <v>3920</v>
      </c>
      <c r="B92" s="7">
        <f t="shared" si="4"/>
        <v>46114</v>
      </c>
      <c r="C92" s="7">
        <f t="shared" si="5"/>
        <v>46120</v>
      </c>
      <c r="D92" s="6">
        <v>3280</v>
      </c>
      <c r="E92" s="6">
        <v>337</v>
      </c>
      <c r="F92" s="6">
        <v>4</v>
      </c>
      <c r="G92" s="15">
        <v>1</v>
      </c>
      <c r="H92" s="15"/>
      <c r="I92" s="15" t="s">
        <v>1505</v>
      </c>
      <c r="J92" s="15">
        <v>23252188</v>
      </c>
      <c r="K92" s="15" t="s">
        <v>106</v>
      </c>
      <c r="L92" s="15" t="s">
        <v>122</v>
      </c>
      <c r="M92" s="16">
        <v>209900</v>
      </c>
      <c r="N92" s="9">
        <v>0.95</v>
      </c>
      <c r="O92" s="8">
        <f t="shared" si="3"/>
        <v>10495</v>
      </c>
      <c r="P92" s="6" t="s">
        <v>15</v>
      </c>
    </row>
    <row r="93" spans="1:16" x14ac:dyDescent="0.25">
      <c r="A93" s="6" t="s">
        <v>3920</v>
      </c>
      <c r="B93" s="7">
        <f t="shared" si="4"/>
        <v>46114</v>
      </c>
      <c r="C93" s="7">
        <f t="shared" si="5"/>
        <v>46120</v>
      </c>
      <c r="D93" s="6">
        <v>3280</v>
      </c>
      <c r="E93" s="6">
        <v>337</v>
      </c>
      <c r="F93" s="6">
        <v>4</v>
      </c>
      <c r="G93" s="15">
        <v>1</v>
      </c>
      <c r="H93" s="15"/>
      <c r="I93" s="15" t="s">
        <v>1505</v>
      </c>
      <c r="J93" s="15">
        <v>23387382</v>
      </c>
      <c r="K93" s="15" t="s">
        <v>123</v>
      </c>
      <c r="L93" s="15" t="s">
        <v>124</v>
      </c>
      <c r="M93" s="16">
        <v>229900</v>
      </c>
      <c r="N93" s="9">
        <v>0.95</v>
      </c>
      <c r="O93" s="8">
        <f t="shared" si="3"/>
        <v>11495</v>
      </c>
      <c r="P93" s="6" t="s">
        <v>15</v>
      </c>
    </row>
    <row r="94" spans="1:16" x14ac:dyDescent="0.25">
      <c r="A94" s="6" t="s">
        <v>3920</v>
      </c>
      <c r="B94" s="7">
        <f t="shared" si="4"/>
        <v>46114</v>
      </c>
      <c r="C94" s="7">
        <f t="shared" si="5"/>
        <v>46120</v>
      </c>
      <c r="D94" s="6">
        <v>3280</v>
      </c>
      <c r="E94" s="6">
        <v>337</v>
      </c>
      <c r="F94" s="6">
        <v>4</v>
      </c>
      <c r="G94" s="15">
        <v>1</v>
      </c>
      <c r="H94" s="15"/>
      <c r="I94" s="15" t="s">
        <v>1505</v>
      </c>
      <c r="J94" s="15">
        <v>23387391</v>
      </c>
      <c r="K94" s="15" t="s">
        <v>123</v>
      </c>
      <c r="L94" s="15" t="s">
        <v>125</v>
      </c>
      <c r="M94" s="16">
        <v>229900</v>
      </c>
      <c r="N94" s="9">
        <v>0.95</v>
      </c>
      <c r="O94" s="8">
        <f t="shared" si="3"/>
        <v>11495</v>
      </c>
      <c r="P94" s="6" t="s">
        <v>15</v>
      </c>
    </row>
    <row r="95" spans="1:16" x14ac:dyDescent="0.25">
      <c r="A95" s="6" t="s">
        <v>3920</v>
      </c>
      <c r="B95" s="7">
        <f t="shared" si="4"/>
        <v>46114</v>
      </c>
      <c r="C95" s="7">
        <f t="shared" si="5"/>
        <v>46120</v>
      </c>
      <c r="D95" s="6">
        <v>3280</v>
      </c>
      <c r="E95" s="6">
        <v>337</v>
      </c>
      <c r="F95" s="6">
        <v>4</v>
      </c>
      <c r="G95" s="15">
        <v>1</v>
      </c>
      <c r="H95" s="15"/>
      <c r="I95" s="15" t="s">
        <v>1505</v>
      </c>
      <c r="J95" s="15">
        <v>23431869</v>
      </c>
      <c r="K95" s="15" t="s">
        <v>126</v>
      </c>
      <c r="L95" s="15" t="s">
        <v>127</v>
      </c>
      <c r="M95" s="16">
        <v>199900</v>
      </c>
      <c r="N95" s="9">
        <v>0.95</v>
      </c>
      <c r="O95" s="8">
        <f t="shared" si="3"/>
        <v>9995</v>
      </c>
      <c r="P95" s="6" t="s">
        <v>15</v>
      </c>
    </row>
    <row r="96" spans="1:16" x14ac:dyDescent="0.25">
      <c r="A96" s="6" t="s">
        <v>3920</v>
      </c>
      <c r="B96" s="7">
        <f t="shared" si="4"/>
        <v>46114</v>
      </c>
      <c r="C96" s="7">
        <f t="shared" si="5"/>
        <v>46120</v>
      </c>
      <c r="D96" s="6">
        <v>3280</v>
      </c>
      <c r="E96" s="6">
        <v>337</v>
      </c>
      <c r="F96" s="6">
        <v>4</v>
      </c>
      <c r="G96" s="15">
        <v>1</v>
      </c>
      <c r="H96" s="15"/>
      <c r="I96" s="15" t="s">
        <v>1505</v>
      </c>
      <c r="J96" s="15">
        <v>23431878</v>
      </c>
      <c r="K96" s="15" t="s">
        <v>126</v>
      </c>
      <c r="L96" s="15" t="s">
        <v>128</v>
      </c>
      <c r="M96" s="16">
        <v>199900</v>
      </c>
      <c r="N96" s="9">
        <v>0.95</v>
      </c>
      <c r="O96" s="8">
        <f t="shared" si="3"/>
        <v>9995</v>
      </c>
      <c r="P96" s="6" t="s">
        <v>15</v>
      </c>
    </row>
    <row r="97" spans="1:16" x14ac:dyDescent="0.25">
      <c r="A97" s="6" t="s">
        <v>3920</v>
      </c>
      <c r="B97" s="7">
        <f t="shared" si="4"/>
        <v>46114</v>
      </c>
      <c r="C97" s="7">
        <f t="shared" si="5"/>
        <v>46120</v>
      </c>
      <c r="D97" s="6">
        <v>3280</v>
      </c>
      <c r="E97" s="6">
        <v>337</v>
      </c>
      <c r="F97" s="6">
        <v>4</v>
      </c>
      <c r="G97" s="15">
        <v>1</v>
      </c>
      <c r="H97" s="15"/>
      <c r="I97" s="15" t="s">
        <v>1505</v>
      </c>
      <c r="J97" s="15">
        <v>23434884</v>
      </c>
      <c r="K97" s="15" t="s">
        <v>129</v>
      </c>
      <c r="L97" s="15" t="s">
        <v>130</v>
      </c>
      <c r="M97" s="16">
        <v>209900</v>
      </c>
      <c r="N97" s="9">
        <v>0.95</v>
      </c>
      <c r="O97" s="8">
        <f t="shared" si="3"/>
        <v>10495</v>
      </c>
      <c r="P97" s="6" t="s">
        <v>15</v>
      </c>
    </row>
    <row r="98" spans="1:16" x14ac:dyDescent="0.25">
      <c r="A98" s="6" t="s">
        <v>3920</v>
      </c>
      <c r="B98" s="7">
        <f t="shared" si="4"/>
        <v>46114</v>
      </c>
      <c r="C98" s="7">
        <f t="shared" si="5"/>
        <v>46120</v>
      </c>
      <c r="D98" s="6">
        <v>3280</v>
      </c>
      <c r="E98" s="6">
        <v>337</v>
      </c>
      <c r="F98" s="6">
        <v>4</v>
      </c>
      <c r="G98" s="15">
        <v>1</v>
      </c>
      <c r="H98" s="15"/>
      <c r="I98" s="15" t="s">
        <v>1505</v>
      </c>
      <c r="J98" s="15">
        <v>23434893</v>
      </c>
      <c r="K98" s="15" t="s">
        <v>129</v>
      </c>
      <c r="L98" s="15" t="s">
        <v>131</v>
      </c>
      <c r="M98" s="16">
        <v>209900</v>
      </c>
      <c r="N98" s="9">
        <v>0.95</v>
      </c>
      <c r="O98" s="8">
        <f t="shared" si="3"/>
        <v>10495</v>
      </c>
      <c r="P98" s="6" t="s">
        <v>15</v>
      </c>
    </row>
    <row r="99" spans="1:16" x14ac:dyDescent="0.25">
      <c r="A99" s="6" t="s">
        <v>3920</v>
      </c>
      <c r="B99" s="7">
        <f t="shared" si="4"/>
        <v>46114</v>
      </c>
      <c r="C99" s="7">
        <f t="shared" si="5"/>
        <v>46120</v>
      </c>
      <c r="D99" s="6">
        <v>3280</v>
      </c>
      <c r="E99" s="6">
        <v>337</v>
      </c>
      <c r="F99" s="6">
        <v>4</v>
      </c>
      <c r="G99" s="15">
        <v>1</v>
      </c>
      <c r="H99" s="15"/>
      <c r="I99" s="15" t="s">
        <v>1505</v>
      </c>
      <c r="J99" s="15">
        <v>23434900</v>
      </c>
      <c r="K99" s="15" t="s">
        <v>129</v>
      </c>
      <c r="L99" s="15" t="s">
        <v>132</v>
      </c>
      <c r="M99" s="16">
        <v>209900</v>
      </c>
      <c r="N99" s="9">
        <v>0.95</v>
      </c>
      <c r="O99" s="8">
        <f t="shared" si="3"/>
        <v>10495</v>
      </c>
      <c r="P99" s="6" t="s">
        <v>15</v>
      </c>
    </row>
    <row r="100" spans="1:16" x14ac:dyDescent="0.25">
      <c r="A100" s="6" t="s">
        <v>3920</v>
      </c>
      <c r="B100" s="7">
        <f t="shared" si="4"/>
        <v>46114</v>
      </c>
      <c r="C100" s="7">
        <f t="shared" si="5"/>
        <v>46120</v>
      </c>
      <c r="D100" s="6">
        <v>3280</v>
      </c>
      <c r="E100" s="6">
        <v>337</v>
      </c>
      <c r="F100" s="6">
        <v>4</v>
      </c>
      <c r="G100" s="15">
        <v>1</v>
      </c>
      <c r="H100" s="15"/>
      <c r="I100" s="15" t="s">
        <v>1505</v>
      </c>
      <c r="J100" s="15">
        <v>23434937</v>
      </c>
      <c r="K100" s="15" t="s">
        <v>129</v>
      </c>
      <c r="L100" s="15" t="s">
        <v>133</v>
      </c>
      <c r="M100" s="16">
        <v>219900</v>
      </c>
      <c r="N100" s="9">
        <v>0.95</v>
      </c>
      <c r="O100" s="8">
        <f t="shared" si="3"/>
        <v>10995</v>
      </c>
      <c r="P100" s="6" t="s">
        <v>15</v>
      </c>
    </row>
    <row r="101" spans="1:16" x14ac:dyDescent="0.25">
      <c r="A101" s="6" t="s">
        <v>3920</v>
      </c>
      <c r="B101" s="7">
        <f t="shared" si="4"/>
        <v>46114</v>
      </c>
      <c r="C101" s="7">
        <f t="shared" si="5"/>
        <v>46120</v>
      </c>
      <c r="D101" s="6">
        <v>3280</v>
      </c>
      <c r="E101" s="6">
        <v>337</v>
      </c>
      <c r="F101" s="6">
        <v>4</v>
      </c>
      <c r="G101" s="15">
        <v>1</v>
      </c>
      <c r="H101" s="15"/>
      <c r="I101" s="15" t="s">
        <v>1505</v>
      </c>
      <c r="J101" s="15">
        <v>23439192</v>
      </c>
      <c r="K101" s="15" t="s">
        <v>134</v>
      </c>
      <c r="L101" s="15" t="s">
        <v>135</v>
      </c>
      <c r="M101" s="16">
        <v>219900</v>
      </c>
      <c r="N101" s="9">
        <v>0.95</v>
      </c>
      <c r="O101" s="8">
        <f t="shared" si="3"/>
        <v>10995</v>
      </c>
      <c r="P101" s="6" t="s">
        <v>15</v>
      </c>
    </row>
    <row r="102" spans="1:16" x14ac:dyDescent="0.25">
      <c r="A102" s="6" t="s">
        <v>3920</v>
      </c>
      <c r="B102" s="7">
        <f t="shared" si="4"/>
        <v>46114</v>
      </c>
      <c r="C102" s="7">
        <f t="shared" si="5"/>
        <v>46120</v>
      </c>
      <c r="D102" s="6">
        <v>3280</v>
      </c>
      <c r="E102" s="6">
        <v>337</v>
      </c>
      <c r="F102" s="6">
        <v>4</v>
      </c>
      <c r="G102" s="15">
        <v>1</v>
      </c>
      <c r="H102" s="15"/>
      <c r="I102" s="15" t="s">
        <v>1505</v>
      </c>
      <c r="J102" s="15">
        <v>23439209</v>
      </c>
      <c r="K102" s="15" t="s">
        <v>134</v>
      </c>
      <c r="L102" s="15" t="s">
        <v>136</v>
      </c>
      <c r="M102" s="16">
        <v>219900</v>
      </c>
      <c r="N102" s="9">
        <v>0.95</v>
      </c>
      <c r="O102" s="8">
        <f t="shared" si="3"/>
        <v>10995</v>
      </c>
      <c r="P102" s="6" t="s">
        <v>15</v>
      </c>
    </row>
    <row r="103" spans="1:16" x14ac:dyDescent="0.25">
      <c r="A103" s="6" t="s">
        <v>3920</v>
      </c>
      <c r="B103" s="7">
        <f t="shared" si="4"/>
        <v>46114</v>
      </c>
      <c r="C103" s="7">
        <f t="shared" si="5"/>
        <v>46120</v>
      </c>
      <c r="D103" s="6">
        <v>3280</v>
      </c>
      <c r="E103" s="6">
        <v>337</v>
      </c>
      <c r="F103" s="6">
        <v>4</v>
      </c>
      <c r="G103" s="15">
        <v>1</v>
      </c>
      <c r="H103" s="15"/>
      <c r="I103" s="15" t="s">
        <v>1505</v>
      </c>
      <c r="J103" s="15">
        <v>23439218</v>
      </c>
      <c r="K103" s="15" t="s">
        <v>134</v>
      </c>
      <c r="L103" s="15" t="s">
        <v>137</v>
      </c>
      <c r="M103" s="16">
        <v>219900</v>
      </c>
      <c r="N103" s="9">
        <v>0.95</v>
      </c>
      <c r="O103" s="8">
        <f t="shared" si="3"/>
        <v>10995</v>
      </c>
      <c r="P103" s="6" t="s">
        <v>15</v>
      </c>
    </row>
    <row r="104" spans="1:16" x14ac:dyDescent="0.25">
      <c r="A104" s="6" t="s">
        <v>3920</v>
      </c>
      <c r="B104" s="7">
        <f t="shared" si="4"/>
        <v>46114</v>
      </c>
      <c r="C104" s="7">
        <f t="shared" si="5"/>
        <v>46120</v>
      </c>
      <c r="D104" s="6">
        <v>3280</v>
      </c>
      <c r="E104" s="6">
        <v>337</v>
      </c>
      <c r="F104" s="6">
        <v>4</v>
      </c>
      <c r="G104" s="15">
        <v>1</v>
      </c>
      <c r="H104" s="15"/>
      <c r="I104" s="15" t="s">
        <v>1505</v>
      </c>
      <c r="J104" s="15">
        <v>23439227</v>
      </c>
      <c r="K104" s="15" t="s">
        <v>134</v>
      </c>
      <c r="L104" s="15" t="s">
        <v>138</v>
      </c>
      <c r="M104" s="16">
        <v>219900</v>
      </c>
      <c r="N104" s="9">
        <v>0.95</v>
      </c>
      <c r="O104" s="8">
        <f t="shared" si="3"/>
        <v>10995</v>
      </c>
      <c r="P104" s="6" t="s">
        <v>15</v>
      </c>
    </row>
    <row r="105" spans="1:16" x14ac:dyDescent="0.25">
      <c r="A105" s="6" t="s">
        <v>3920</v>
      </c>
      <c r="B105" s="7">
        <f t="shared" si="4"/>
        <v>46114</v>
      </c>
      <c r="C105" s="7">
        <f t="shared" si="5"/>
        <v>46120</v>
      </c>
      <c r="D105" s="6">
        <v>3280</v>
      </c>
      <c r="E105" s="6">
        <v>337</v>
      </c>
      <c r="F105" s="6">
        <v>4</v>
      </c>
      <c r="G105" s="15">
        <v>1</v>
      </c>
      <c r="H105" s="15"/>
      <c r="I105" s="15" t="s">
        <v>1505</v>
      </c>
      <c r="J105" s="15">
        <v>23570076</v>
      </c>
      <c r="K105" s="15" t="s">
        <v>139</v>
      </c>
      <c r="L105" s="15" t="s">
        <v>140</v>
      </c>
      <c r="M105" s="16">
        <v>209900</v>
      </c>
      <c r="N105" s="9">
        <v>0.95</v>
      </c>
      <c r="O105" s="8">
        <f t="shared" si="3"/>
        <v>10495</v>
      </c>
      <c r="P105" s="6" t="s">
        <v>15</v>
      </c>
    </row>
    <row r="106" spans="1:16" x14ac:dyDescent="0.25">
      <c r="A106" s="6" t="s">
        <v>3920</v>
      </c>
      <c r="B106" s="7">
        <f t="shared" si="4"/>
        <v>46114</v>
      </c>
      <c r="C106" s="7">
        <f t="shared" si="5"/>
        <v>46120</v>
      </c>
      <c r="D106" s="6">
        <v>3280</v>
      </c>
      <c r="E106" s="6">
        <v>337</v>
      </c>
      <c r="F106" s="6">
        <v>4</v>
      </c>
      <c r="G106" s="15">
        <v>1</v>
      </c>
      <c r="H106" s="15"/>
      <c r="I106" s="15" t="s">
        <v>1505</v>
      </c>
      <c r="J106" s="15">
        <v>23570085</v>
      </c>
      <c r="K106" s="15" t="s">
        <v>139</v>
      </c>
      <c r="L106" s="15" t="s">
        <v>141</v>
      </c>
      <c r="M106" s="16">
        <v>209900</v>
      </c>
      <c r="N106" s="9">
        <v>0.95</v>
      </c>
      <c r="O106" s="8">
        <f t="shared" si="3"/>
        <v>10495</v>
      </c>
      <c r="P106" s="6" t="s">
        <v>15</v>
      </c>
    </row>
    <row r="107" spans="1:16" x14ac:dyDescent="0.25">
      <c r="A107" s="6" t="s">
        <v>3920</v>
      </c>
      <c r="B107" s="7">
        <f t="shared" si="4"/>
        <v>46114</v>
      </c>
      <c r="C107" s="7">
        <f t="shared" si="5"/>
        <v>46120</v>
      </c>
      <c r="D107" s="6">
        <v>3280</v>
      </c>
      <c r="E107" s="6">
        <v>337</v>
      </c>
      <c r="F107" s="6">
        <v>4</v>
      </c>
      <c r="G107" s="15">
        <v>1</v>
      </c>
      <c r="H107" s="15"/>
      <c r="I107" s="15" t="s">
        <v>1505</v>
      </c>
      <c r="J107" s="15">
        <v>23570094</v>
      </c>
      <c r="K107" s="15" t="s">
        <v>139</v>
      </c>
      <c r="L107" s="15" t="s">
        <v>142</v>
      </c>
      <c r="M107" s="16">
        <v>209900</v>
      </c>
      <c r="N107" s="9">
        <v>0.95</v>
      </c>
      <c r="O107" s="8">
        <f t="shared" si="3"/>
        <v>10495</v>
      </c>
      <c r="P107" s="6" t="s">
        <v>15</v>
      </c>
    </row>
    <row r="108" spans="1:16" x14ac:dyDescent="0.25">
      <c r="A108" s="6" t="s">
        <v>3920</v>
      </c>
      <c r="B108" s="7">
        <f t="shared" si="4"/>
        <v>46114</v>
      </c>
      <c r="C108" s="7">
        <f t="shared" si="5"/>
        <v>46120</v>
      </c>
      <c r="D108" s="6">
        <v>3280</v>
      </c>
      <c r="E108" s="6">
        <v>337</v>
      </c>
      <c r="F108" s="6">
        <v>4</v>
      </c>
      <c r="G108" s="15">
        <v>1</v>
      </c>
      <c r="H108" s="15"/>
      <c r="I108" s="15" t="s">
        <v>1505</v>
      </c>
      <c r="J108" s="15">
        <v>23570101</v>
      </c>
      <c r="K108" s="15" t="s">
        <v>139</v>
      </c>
      <c r="L108" s="15" t="s">
        <v>143</v>
      </c>
      <c r="M108" s="16">
        <v>219900</v>
      </c>
      <c r="N108" s="9">
        <v>0.95</v>
      </c>
      <c r="O108" s="8">
        <f t="shared" si="3"/>
        <v>10995</v>
      </c>
      <c r="P108" s="6" t="s">
        <v>15</v>
      </c>
    </row>
    <row r="109" spans="1:16" x14ac:dyDescent="0.25">
      <c r="A109" s="6" t="s">
        <v>3920</v>
      </c>
      <c r="B109" s="7">
        <f t="shared" si="4"/>
        <v>46114</v>
      </c>
      <c r="C109" s="7">
        <f t="shared" si="5"/>
        <v>46120</v>
      </c>
      <c r="D109" s="6">
        <v>3280</v>
      </c>
      <c r="E109" s="6">
        <v>337</v>
      </c>
      <c r="F109" s="6">
        <v>4</v>
      </c>
      <c r="G109" s="15">
        <v>1</v>
      </c>
      <c r="H109" s="15"/>
      <c r="I109" s="15" t="s">
        <v>1505</v>
      </c>
      <c r="J109" s="15">
        <v>23570110</v>
      </c>
      <c r="K109" s="15" t="s">
        <v>139</v>
      </c>
      <c r="L109" s="15" t="s">
        <v>144</v>
      </c>
      <c r="M109" s="16">
        <v>219900</v>
      </c>
      <c r="N109" s="9">
        <v>0.95</v>
      </c>
      <c r="O109" s="8">
        <f t="shared" si="3"/>
        <v>10995</v>
      </c>
      <c r="P109" s="6" t="s">
        <v>15</v>
      </c>
    </row>
    <row r="110" spans="1:16" x14ac:dyDescent="0.25">
      <c r="A110" s="6" t="s">
        <v>3920</v>
      </c>
      <c r="B110" s="7">
        <f t="shared" si="4"/>
        <v>46114</v>
      </c>
      <c r="C110" s="7">
        <f t="shared" si="5"/>
        <v>46120</v>
      </c>
      <c r="D110" s="6">
        <v>3280</v>
      </c>
      <c r="E110" s="6">
        <v>337</v>
      </c>
      <c r="F110" s="6">
        <v>4</v>
      </c>
      <c r="G110" s="15">
        <v>1</v>
      </c>
      <c r="H110" s="15"/>
      <c r="I110" s="15" t="s">
        <v>1505</v>
      </c>
      <c r="J110" s="15">
        <v>23570129</v>
      </c>
      <c r="K110" s="15" t="s">
        <v>139</v>
      </c>
      <c r="L110" s="15" t="s">
        <v>145</v>
      </c>
      <c r="M110" s="16">
        <v>219900</v>
      </c>
      <c r="N110" s="9">
        <v>0.95</v>
      </c>
      <c r="O110" s="8">
        <f t="shared" si="3"/>
        <v>10995</v>
      </c>
      <c r="P110" s="6" t="s">
        <v>15</v>
      </c>
    </row>
    <row r="111" spans="1:16" x14ac:dyDescent="0.25">
      <c r="A111" s="6" t="s">
        <v>3920</v>
      </c>
      <c r="B111" s="7">
        <f t="shared" si="4"/>
        <v>46114</v>
      </c>
      <c r="C111" s="7">
        <f t="shared" si="5"/>
        <v>46120</v>
      </c>
      <c r="D111" s="6">
        <v>3280</v>
      </c>
      <c r="E111" s="6">
        <v>337</v>
      </c>
      <c r="F111" s="6">
        <v>4</v>
      </c>
      <c r="G111" s="15">
        <v>1</v>
      </c>
      <c r="H111" s="15"/>
      <c r="I111" s="15" t="s">
        <v>1505</v>
      </c>
      <c r="J111" s="15">
        <v>23610568</v>
      </c>
      <c r="K111" s="15" t="s">
        <v>146</v>
      </c>
      <c r="L111" s="15" t="s">
        <v>147</v>
      </c>
      <c r="M111" s="16">
        <v>299900</v>
      </c>
      <c r="N111" s="9">
        <v>0.95</v>
      </c>
      <c r="O111" s="8">
        <f t="shared" si="3"/>
        <v>14995</v>
      </c>
      <c r="P111" s="6" t="s">
        <v>15</v>
      </c>
    </row>
    <row r="112" spans="1:16" x14ac:dyDescent="0.25">
      <c r="A112" s="6" t="s">
        <v>3920</v>
      </c>
      <c r="B112" s="7">
        <f t="shared" si="4"/>
        <v>46114</v>
      </c>
      <c r="C112" s="7">
        <f t="shared" si="5"/>
        <v>46120</v>
      </c>
      <c r="D112" s="6">
        <v>3280</v>
      </c>
      <c r="E112" s="6">
        <v>337</v>
      </c>
      <c r="F112" s="6">
        <v>4</v>
      </c>
      <c r="G112" s="15">
        <v>1</v>
      </c>
      <c r="H112" s="15"/>
      <c r="I112" s="15" t="s">
        <v>1505</v>
      </c>
      <c r="J112" s="15">
        <v>23610577</v>
      </c>
      <c r="K112" s="15" t="s">
        <v>146</v>
      </c>
      <c r="L112" s="15" t="s">
        <v>148</v>
      </c>
      <c r="M112" s="16">
        <v>299900</v>
      </c>
      <c r="N112" s="9">
        <v>0.95</v>
      </c>
      <c r="O112" s="8">
        <f t="shared" si="3"/>
        <v>14995</v>
      </c>
      <c r="P112" s="6" t="s">
        <v>15</v>
      </c>
    </row>
    <row r="113" spans="1:16" x14ac:dyDescent="0.25">
      <c r="A113" s="6" t="s">
        <v>3920</v>
      </c>
      <c r="B113" s="7">
        <f t="shared" si="4"/>
        <v>46114</v>
      </c>
      <c r="C113" s="7">
        <f t="shared" si="5"/>
        <v>46120</v>
      </c>
      <c r="D113" s="6">
        <v>3280</v>
      </c>
      <c r="E113" s="6">
        <v>337</v>
      </c>
      <c r="F113" s="6">
        <v>4</v>
      </c>
      <c r="G113" s="15">
        <v>1</v>
      </c>
      <c r="H113" s="15"/>
      <c r="I113" s="15" t="s">
        <v>1505</v>
      </c>
      <c r="J113" s="15">
        <v>23387195</v>
      </c>
      <c r="K113" s="15" t="s">
        <v>149</v>
      </c>
      <c r="L113" s="15" t="s">
        <v>150</v>
      </c>
      <c r="M113" s="16">
        <v>189900</v>
      </c>
      <c r="N113" s="9">
        <v>0.95</v>
      </c>
      <c r="O113" s="8">
        <f t="shared" si="3"/>
        <v>9495</v>
      </c>
      <c r="P113" s="6" t="s">
        <v>15</v>
      </c>
    </row>
    <row r="114" spans="1:16" x14ac:dyDescent="0.25">
      <c r="A114" s="6" t="s">
        <v>3920</v>
      </c>
      <c r="B114" s="7">
        <f t="shared" si="4"/>
        <v>46114</v>
      </c>
      <c r="C114" s="7">
        <f t="shared" si="5"/>
        <v>46120</v>
      </c>
      <c r="D114" s="6">
        <v>3280</v>
      </c>
      <c r="E114" s="6">
        <v>337</v>
      </c>
      <c r="F114" s="6">
        <v>4</v>
      </c>
      <c r="G114" s="15">
        <v>1</v>
      </c>
      <c r="H114" s="15"/>
      <c r="I114" s="15" t="s">
        <v>1505</v>
      </c>
      <c r="J114" s="15">
        <v>23387346</v>
      </c>
      <c r="K114" s="15" t="s">
        <v>151</v>
      </c>
      <c r="L114" s="15" t="s">
        <v>152</v>
      </c>
      <c r="M114" s="16">
        <v>229900</v>
      </c>
      <c r="N114" s="9">
        <v>0.95</v>
      </c>
      <c r="O114" s="8">
        <f t="shared" si="3"/>
        <v>11495</v>
      </c>
      <c r="P114" s="6" t="s">
        <v>15</v>
      </c>
    </row>
    <row r="115" spans="1:16" x14ac:dyDescent="0.25">
      <c r="A115" s="6" t="s">
        <v>3920</v>
      </c>
      <c r="B115" s="7">
        <f t="shared" si="4"/>
        <v>46114</v>
      </c>
      <c r="C115" s="7">
        <f t="shared" si="5"/>
        <v>46120</v>
      </c>
      <c r="D115" s="6">
        <v>3280</v>
      </c>
      <c r="E115" s="6">
        <v>337</v>
      </c>
      <c r="F115" s="6">
        <v>4</v>
      </c>
      <c r="G115" s="15">
        <v>1</v>
      </c>
      <c r="H115" s="15"/>
      <c r="I115" s="15" t="s">
        <v>1505</v>
      </c>
      <c r="J115" s="15">
        <v>23387373</v>
      </c>
      <c r="K115" s="15" t="s">
        <v>151</v>
      </c>
      <c r="L115" s="15" t="s">
        <v>153</v>
      </c>
      <c r="M115" s="16">
        <v>229900</v>
      </c>
      <c r="N115" s="9">
        <v>0.95</v>
      </c>
      <c r="O115" s="8">
        <f t="shared" si="3"/>
        <v>11495</v>
      </c>
      <c r="P115" s="6" t="s">
        <v>15</v>
      </c>
    </row>
    <row r="116" spans="1:16" x14ac:dyDescent="0.25">
      <c r="A116" s="6" t="s">
        <v>3920</v>
      </c>
      <c r="B116" s="7">
        <f t="shared" si="4"/>
        <v>46114</v>
      </c>
      <c r="C116" s="7">
        <f t="shared" si="5"/>
        <v>46120</v>
      </c>
      <c r="D116" s="6">
        <v>3280</v>
      </c>
      <c r="E116" s="6">
        <v>337</v>
      </c>
      <c r="F116" s="6">
        <v>4</v>
      </c>
      <c r="G116" s="15">
        <v>1</v>
      </c>
      <c r="H116" s="15"/>
      <c r="I116" s="15" t="s">
        <v>1505</v>
      </c>
      <c r="J116" s="15">
        <v>23387168</v>
      </c>
      <c r="K116" s="15" t="s">
        <v>149</v>
      </c>
      <c r="L116" s="15" t="s">
        <v>154</v>
      </c>
      <c r="M116" s="16">
        <v>179900</v>
      </c>
      <c r="N116" s="9">
        <v>0.95</v>
      </c>
      <c r="O116" s="8">
        <f t="shared" si="3"/>
        <v>8995</v>
      </c>
      <c r="P116" s="6" t="s">
        <v>15</v>
      </c>
    </row>
    <row r="117" spans="1:16" x14ac:dyDescent="0.25">
      <c r="A117" s="6" t="s">
        <v>3920</v>
      </c>
      <c r="B117" s="7">
        <f t="shared" si="4"/>
        <v>46114</v>
      </c>
      <c r="C117" s="7">
        <f t="shared" si="5"/>
        <v>46120</v>
      </c>
      <c r="D117" s="6">
        <v>3280</v>
      </c>
      <c r="E117" s="6">
        <v>337</v>
      </c>
      <c r="F117" s="6">
        <v>4</v>
      </c>
      <c r="G117" s="15">
        <v>1</v>
      </c>
      <c r="H117" s="15"/>
      <c r="I117" s="15" t="s">
        <v>1505</v>
      </c>
      <c r="J117" s="15">
        <v>23387417</v>
      </c>
      <c r="K117" s="15" t="s">
        <v>123</v>
      </c>
      <c r="L117" s="15" t="s">
        <v>155</v>
      </c>
      <c r="M117" s="16">
        <v>229900</v>
      </c>
      <c r="N117" s="9">
        <v>0.95</v>
      </c>
      <c r="O117" s="8">
        <f t="shared" si="3"/>
        <v>11495</v>
      </c>
      <c r="P117" s="6" t="s">
        <v>15</v>
      </c>
    </row>
    <row r="118" spans="1:16" x14ac:dyDescent="0.25">
      <c r="A118" s="6" t="s">
        <v>3920</v>
      </c>
      <c r="B118" s="7">
        <f t="shared" si="4"/>
        <v>46114</v>
      </c>
      <c r="C118" s="7">
        <f t="shared" si="5"/>
        <v>46120</v>
      </c>
      <c r="D118" s="6">
        <v>3280</v>
      </c>
      <c r="E118" s="6">
        <v>337</v>
      </c>
      <c r="F118" s="6">
        <v>4</v>
      </c>
      <c r="G118" s="15">
        <v>1</v>
      </c>
      <c r="H118" s="15"/>
      <c r="I118" s="15" t="s">
        <v>1505</v>
      </c>
      <c r="J118" s="15">
        <v>23434928</v>
      </c>
      <c r="K118" s="15" t="s">
        <v>129</v>
      </c>
      <c r="L118" s="15" t="s">
        <v>156</v>
      </c>
      <c r="M118" s="16">
        <v>219900</v>
      </c>
      <c r="N118" s="9">
        <v>0.95</v>
      </c>
      <c r="O118" s="8">
        <f t="shared" si="3"/>
        <v>10995</v>
      </c>
      <c r="P118" s="6" t="s">
        <v>15</v>
      </c>
    </row>
    <row r="119" spans="1:16" x14ac:dyDescent="0.25">
      <c r="A119" s="6" t="s">
        <v>3920</v>
      </c>
      <c r="B119" s="7">
        <f t="shared" si="4"/>
        <v>46114</v>
      </c>
      <c r="C119" s="7">
        <f t="shared" si="5"/>
        <v>46120</v>
      </c>
      <c r="D119" s="6">
        <v>3280</v>
      </c>
      <c r="E119" s="6">
        <v>337</v>
      </c>
      <c r="F119" s="6">
        <v>4</v>
      </c>
      <c r="G119" s="15">
        <v>1</v>
      </c>
      <c r="H119" s="15"/>
      <c r="I119" s="15" t="s">
        <v>1505</v>
      </c>
      <c r="J119" s="15">
        <v>23434919</v>
      </c>
      <c r="K119" s="15" t="s">
        <v>129</v>
      </c>
      <c r="L119" s="15" t="s">
        <v>157</v>
      </c>
      <c r="M119" s="16">
        <v>219900</v>
      </c>
      <c r="N119" s="9">
        <v>0.95</v>
      </c>
      <c r="O119" s="8">
        <f t="shared" si="3"/>
        <v>10995</v>
      </c>
      <c r="P119" s="6" t="s">
        <v>15</v>
      </c>
    </row>
    <row r="120" spans="1:16" x14ac:dyDescent="0.25">
      <c r="A120" s="6" t="s">
        <v>3920</v>
      </c>
      <c r="B120" s="7">
        <f t="shared" si="4"/>
        <v>46114</v>
      </c>
      <c r="C120" s="7">
        <f t="shared" si="5"/>
        <v>46120</v>
      </c>
      <c r="D120" s="6">
        <v>3280</v>
      </c>
      <c r="E120" s="6">
        <v>337</v>
      </c>
      <c r="F120" s="6">
        <v>4</v>
      </c>
      <c r="G120" s="15">
        <v>1</v>
      </c>
      <c r="H120" s="15"/>
      <c r="I120" s="15" t="s">
        <v>1505</v>
      </c>
      <c r="J120" s="15">
        <v>23387211</v>
      </c>
      <c r="K120" s="15" t="s">
        <v>149</v>
      </c>
      <c r="L120" s="15" t="s">
        <v>158</v>
      </c>
      <c r="M120" s="16">
        <v>189900</v>
      </c>
      <c r="N120" s="9">
        <v>0.95</v>
      </c>
      <c r="O120" s="8">
        <f t="shared" si="3"/>
        <v>9495</v>
      </c>
      <c r="P120" s="6" t="s">
        <v>15</v>
      </c>
    </row>
    <row r="121" spans="1:16" x14ac:dyDescent="0.25">
      <c r="A121" s="6" t="s">
        <v>3920</v>
      </c>
      <c r="B121" s="7">
        <f t="shared" si="4"/>
        <v>46114</v>
      </c>
      <c r="C121" s="7">
        <f t="shared" si="5"/>
        <v>46120</v>
      </c>
      <c r="D121" s="6">
        <v>3280</v>
      </c>
      <c r="E121" s="6">
        <v>337</v>
      </c>
      <c r="F121" s="6">
        <v>4</v>
      </c>
      <c r="G121" s="15">
        <v>1</v>
      </c>
      <c r="H121" s="15"/>
      <c r="I121" s="15" t="s">
        <v>1505</v>
      </c>
      <c r="J121" s="15">
        <v>23387408</v>
      </c>
      <c r="K121" s="15" t="s">
        <v>123</v>
      </c>
      <c r="L121" s="15" t="s">
        <v>159</v>
      </c>
      <c r="M121" s="16">
        <v>229900</v>
      </c>
      <c r="N121" s="9">
        <v>0.95</v>
      </c>
      <c r="O121" s="8">
        <f t="shared" si="3"/>
        <v>11495</v>
      </c>
      <c r="P121" s="6" t="s">
        <v>15</v>
      </c>
    </row>
    <row r="122" spans="1:16" x14ac:dyDescent="0.25">
      <c r="A122" s="6" t="s">
        <v>3920</v>
      </c>
      <c r="B122" s="7">
        <f t="shared" si="4"/>
        <v>46114</v>
      </c>
      <c r="C122" s="7">
        <f t="shared" si="5"/>
        <v>46120</v>
      </c>
      <c r="D122" s="6">
        <v>3280</v>
      </c>
      <c r="E122" s="6">
        <v>337</v>
      </c>
      <c r="F122" s="6">
        <v>4</v>
      </c>
      <c r="G122" s="15">
        <v>1</v>
      </c>
      <c r="H122" s="15"/>
      <c r="I122" s="15" t="s">
        <v>1505</v>
      </c>
      <c r="J122" s="15">
        <v>23387177</v>
      </c>
      <c r="K122" s="15" t="s">
        <v>149</v>
      </c>
      <c r="L122" s="15" t="s">
        <v>160</v>
      </c>
      <c r="M122" s="16">
        <v>179900</v>
      </c>
      <c r="N122" s="9">
        <v>0.95</v>
      </c>
      <c r="O122" s="8">
        <f t="shared" si="3"/>
        <v>8995</v>
      </c>
      <c r="P122" s="6" t="s">
        <v>15</v>
      </c>
    </row>
    <row r="123" spans="1:16" x14ac:dyDescent="0.25">
      <c r="A123" s="6" t="s">
        <v>3920</v>
      </c>
      <c r="B123" s="7">
        <f t="shared" si="4"/>
        <v>46114</v>
      </c>
      <c r="C123" s="7">
        <f t="shared" si="5"/>
        <v>46120</v>
      </c>
      <c r="D123" s="6">
        <v>3280</v>
      </c>
      <c r="E123" s="6">
        <v>337</v>
      </c>
      <c r="F123" s="6">
        <v>4</v>
      </c>
      <c r="G123" s="15">
        <v>1</v>
      </c>
      <c r="H123" s="15"/>
      <c r="I123" s="15" t="s">
        <v>1505</v>
      </c>
      <c r="J123" s="15">
        <v>23387186</v>
      </c>
      <c r="K123" s="15" t="s">
        <v>149</v>
      </c>
      <c r="L123" s="15" t="s">
        <v>161</v>
      </c>
      <c r="M123" s="16">
        <v>179900</v>
      </c>
      <c r="N123" s="9">
        <v>0.95</v>
      </c>
      <c r="O123" s="8">
        <f t="shared" si="3"/>
        <v>8995</v>
      </c>
      <c r="P123" s="6" t="s">
        <v>15</v>
      </c>
    </row>
    <row r="124" spans="1:16" x14ac:dyDescent="0.25">
      <c r="A124" s="6" t="s">
        <v>3920</v>
      </c>
      <c r="B124" s="7">
        <f t="shared" si="4"/>
        <v>46114</v>
      </c>
      <c r="C124" s="7">
        <f t="shared" si="5"/>
        <v>46120</v>
      </c>
      <c r="D124" s="6">
        <v>3280</v>
      </c>
      <c r="E124" s="6">
        <v>337</v>
      </c>
      <c r="F124" s="6">
        <v>4</v>
      </c>
      <c r="G124" s="15">
        <v>1</v>
      </c>
      <c r="H124" s="15"/>
      <c r="I124" s="15" t="s">
        <v>1505</v>
      </c>
      <c r="J124" s="15">
        <v>23387355</v>
      </c>
      <c r="K124" s="15" t="s">
        <v>151</v>
      </c>
      <c r="L124" s="15" t="s">
        <v>162</v>
      </c>
      <c r="M124" s="16">
        <v>229900</v>
      </c>
      <c r="N124" s="9">
        <v>0.95</v>
      </c>
      <c r="O124" s="8">
        <f t="shared" si="3"/>
        <v>11495</v>
      </c>
      <c r="P124" s="6" t="s">
        <v>15</v>
      </c>
    </row>
    <row r="125" spans="1:16" x14ac:dyDescent="0.25">
      <c r="A125" s="6" t="s">
        <v>3920</v>
      </c>
      <c r="B125" s="7">
        <f t="shared" si="4"/>
        <v>46114</v>
      </c>
      <c r="C125" s="7">
        <f t="shared" si="5"/>
        <v>46120</v>
      </c>
      <c r="D125" s="6">
        <v>3280</v>
      </c>
      <c r="E125" s="6">
        <v>337</v>
      </c>
      <c r="F125" s="6">
        <v>4</v>
      </c>
      <c r="G125" s="15">
        <v>1</v>
      </c>
      <c r="H125" s="15"/>
      <c r="I125" s="15" t="s">
        <v>1505</v>
      </c>
      <c r="J125" s="15">
        <v>23431850</v>
      </c>
      <c r="K125" s="15" t="s">
        <v>126</v>
      </c>
      <c r="L125" s="15" t="s">
        <v>163</v>
      </c>
      <c r="M125" s="16">
        <v>199900</v>
      </c>
      <c r="N125" s="9">
        <v>0.95</v>
      </c>
      <c r="O125" s="8">
        <f t="shared" si="3"/>
        <v>9995</v>
      </c>
      <c r="P125" s="6" t="s">
        <v>15</v>
      </c>
    </row>
    <row r="126" spans="1:16" x14ac:dyDescent="0.25">
      <c r="A126" s="6" t="s">
        <v>3920</v>
      </c>
      <c r="B126" s="7">
        <f t="shared" si="4"/>
        <v>46114</v>
      </c>
      <c r="C126" s="7">
        <f t="shared" si="5"/>
        <v>46120</v>
      </c>
      <c r="D126" s="6">
        <v>3280</v>
      </c>
      <c r="E126" s="6">
        <v>337</v>
      </c>
      <c r="F126" s="6">
        <v>4</v>
      </c>
      <c r="G126" s="15">
        <v>1</v>
      </c>
      <c r="H126" s="15"/>
      <c r="I126" s="15" t="s">
        <v>1505</v>
      </c>
      <c r="J126" s="15">
        <v>23387202</v>
      </c>
      <c r="K126" s="15" t="s">
        <v>149</v>
      </c>
      <c r="L126" s="15" t="s">
        <v>164</v>
      </c>
      <c r="M126" s="16">
        <v>189900</v>
      </c>
      <c r="N126" s="9">
        <v>0.95</v>
      </c>
      <c r="O126" s="8">
        <f t="shared" si="3"/>
        <v>9495</v>
      </c>
      <c r="P126" s="6" t="s">
        <v>15</v>
      </c>
    </row>
    <row r="127" spans="1:16" x14ac:dyDescent="0.25">
      <c r="A127" s="6" t="s">
        <v>3920</v>
      </c>
      <c r="B127" s="7">
        <f t="shared" si="4"/>
        <v>46114</v>
      </c>
      <c r="C127" s="7">
        <f t="shared" si="5"/>
        <v>46120</v>
      </c>
      <c r="D127" s="6">
        <v>3280</v>
      </c>
      <c r="E127" s="6">
        <v>337</v>
      </c>
      <c r="F127" s="6">
        <v>4</v>
      </c>
      <c r="G127" s="15">
        <v>1</v>
      </c>
      <c r="H127" s="15"/>
      <c r="I127" s="15" t="s">
        <v>1505</v>
      </c>
      <c r="J127" s="15">
        <v>23610586</v>
      </c>
      <c r="K127" s="15" t="s">
        <v>146</v>
      </c>
      <c r="L127" s="15" t="s">
        <v>165</v>
      </c>
      <c r="M127" s="16">
        <v>299900</v>
      </c>
      <c r="N127" s="9">
        <v>0.95</v>
      </c>
      <c r="O127" s="8">
        <f t="shared" si="3"/>
        <v>14995</v>
      </c>
      <c r="P127" s="6" t="s">
        <v>15</v>
      </c>
    </row>
    <row r="128" spans="1:16" x14ac:dyDescent="0.25">
      <c r="A128" s="6" t="s">
        <v>3920</v>
      </c>
      <c r="B128" s="7">
        <f t="shared" si="4"/>
        <v>46114</v>
      </c>
      <c r="C128" s="7">
        <f t="shared" si="5"/>
        <v>46120</v>
      </c>
      <c r="D128" s="6">
        <v>3280</v>
      </c>
      <c r="E128" s="6">
        <v>337</v>
      </c>
      <c r="F128" s="6">
        <v>4</v>
      </c>
      <c r="G128" s="15">
        <v>1</v>
      </c>
      <c r="H128" s="15"/>
      <c r="I128" s="15" t="s">
        <v>1505</v>
      </c>
      <c r="J128" s="15">
        <v>23610595</v>
      </c>
      <c r="K128" s="15" t="s">
        <v>146</v>
      </c>
      <c r="L128" s="15" t="s">
        <v>166</v>
      </c>
      <c r="M128" s="16">
        <v>299900</v>
      </c>
      <c r="N128" s="9">
        <v>0.95</v>
      </c>
      <c r="O128" s="8">
        <f t="shared" si="3"/>
        <v>14995</v>
      </c>
      <c r="P128" s="6" t="s">
        <v>15</v>
      </c>
    </row>
    <row r="129" spans="1:16" x14ac:dyDescent="0.25">
      <c r="A129" s="6" t="s">
        <v>3920</v>
      </c>
      <c r="B129" s="7">
        <f t="shared" si="4"/>
        <v>46114</v>
      </c>
      <c r="C129" s="7">
        <f t="shared" si="5"/>
        <v>46120</v>
      </c>
      <c r="D129" s="6">
        <v>3280</v>
      </c>
      <c r="E129" s="6">
        <v>337</v>
      </c>
      <c r="F129" s="6">
        <v>4</v>
      </c>
      <c r="G129" s="15">
        <v>1</v>
      </c>
      <c r="H129" s="15"/>
      <c r="I129" s="15" t="s">
        <v>1505</v>
      </c>
      <c r="J129" s="15">
        <v>23387266</v>
      </c>
      <c r="K129" s="15" t="s">
        <v>126</v>
      </c>
      <c r="L129" s="15" t="s">
        <v>167</v>
      </c>
      <c r="M129" s="16">
        <v>209900</v>
      </c>
      <c r="N129" s="9">
        <v>0.95</v>
      </c>
      <c r="O129" s="8">
        <f t="shared" si="3"/>
        <v>10495</v>
      </c>
      <c r="P129" s="6" t="s">
        <v>15</v>
      </c>
    </row>
    <row r="130" spans="1:16" x14ac:dyDescent="0.25">
      <c r="A130" s="6" t="s">
        <v>3920</v>
      </c>
      <c r="B130" s="7">
        <f t="shared" si="4"/>
        <v>46114</v>
      </c>
      <c r="C130" s="7">
        <f t="shared" si="5"/>
        <v>46120</v>
      </c>
      <c r="D130" s="6">
        <v>3280</v>
      </c>
      <c r="E130" s="6">
        <v>337</v>
      </c>
      <c r="F130" s="6">
        <v>4</v>
      </c>
      <c r="G130" s="15">
        <v>1</v>
      </c>
      <c r="H130" s="15"/>
      <c r="I130" s="15" t="s">
        <v>1505</v>
      </c>
      <c r="J130" s="15">
        <v>23387364</v>
      </c>
      <c r="K130" s="15" t="s">
        <v>151</v>
      </c>
      <c r="L130" s="15" t="s">
        <v>168</v>
      </c>
      <c r="M130" s="16">
        <v>229900</v>
      </c>
      <c r="N130" s="9">
        <v>0.95</v>
      </c>
      <c r="O130" s="8">
        <f t="shared" ref="O130:O193" si="6">M130-((95*M130)/100)</f>
        <v>11495</v>
      </c>
      <c r="P130" s="6" t="s">
        <v>15</v>
      </c>
    </row>
    <row r="131" spans="1:16" x14ac:dyDescent="0.25">
      <c r="A131" s="6" t="s">
        <v>3920</v>
      </c>
      <c r="B131" s="7">
        <f t="shared" si="4"/>
        <v>46114</v>
      </c>
      <c r="C131" s="7">
        <f t="shared" si="5"/>
        <v>46120</v>
      </c>
      <c r="D131" s="6">
        <v>3280</v>
      </c>
      <c r="E131" s="6">
        <v>337</v>
      </c>
      <c r="F131" s="6">
        <v>4</v>
      </c>
      <c r="G131" s="15">
        <v>1</v>
      </c>
      <c r="H131" s="15"/>
      <c r="I131" s="15" t="s">
        <v>1505</v>
      </c>
      <c r="J131" s="15">
        <v>23387275</v>
      </c>
      <c r="K131" s="15" t="s">
        <v>126</v>
      </c>
      <c r="L131" s="15" t="s">
        <v>169</v>
      </c>
      <c r="M131" s="16">
        <v>209900</v>
      </c>
      <c r="N131" s="9">
        <v>0.95</v>
      </c>
      <c r="O131" s="8">
        <f t="shared" si="6"/>
        <v>10495</v>
      </c>
      <c r="P131" s="6" t="s">
        <v>15</v>
      </c>
    </row>
    <row r="132" spans="1:16" x14ac:dyDescent="0.25">
      <c r="A132" s="6" t="s">
        <v>3920</v>
      </c>
      <c r="B132" s="7">
        <f t="shared" ref="B132:B195" si="7">B131</f>
        <v>46114</v>
      </c>
      <c r="C132" s="7">
        <f t="shared" ref="C132:C195" si="8">C131</f>
        <v>46120</v>
      </c>
      <c r="D132" s="6">
        <v>3280</v>
      </c>
      <c r="E132" s="6">
        <v>337</v>
      </c>
      <c r="F132" s="6">
        <v>4</v>
      </c>
      <c r="G132" s="15">
        <v>1</v>
      </c>
      <c r="H132" s="15"/>
      <c r="I132" s="15" t="s">
        <v>1505</v>
      </c>
      <c r="J132" s="15">
        <v>23387257</v>
      </c>
      <c r="K132" s="15" t="s">
        <v>126</v>
      </c>
      <c r="L132" s="15" t="s">
        <v>170</v>
      </c>
      <c r="M132" s="16">
        <v>209900</v>
      </c>
      <c r="N132" s="9">
        <v>0.95</v>
      </c>
      <c r="O132" s="8">
        <f t="shared" si="6"/>
        <v>10495</v>
      </c>
      <c r="P132" s="6" t="s">
        <v>15</v>
      </c>
    </row>
    <row r="133" spans="1:16" x14ac:dyDescent="0.25">
      <c r="A133" s="6" t="s">
        <v>3920</v>
      </c>
      <c r="B133" s="7">
        <f t="shared" si="7"/>
        <v>46114</v>
      </c>
      <c r="C133" s="7">
        <f t="shared" si="8"/>
        <v>46120</v>
      </c>
      <c r="D133" s="6">
        <v>3280</v>
      </c>
      <c r="E133" s="6">
        <v>337</v>
      </c>
      <c r="F133" s="6">
        <v>4</v>
      </c>
      <c r="G133" s="15">
        <v>1</v>
      </c>
      <c r="H133" s="15"/>
      <c r="I133" s="15" t="s">
        <v>1505</v>
      </c>
      <c r="J133" s="15">
        <v>23392223</v>
      </c>
      <c r="K133" s="15" t="s">
        <v>171</v>
      </c>
      <c r="L133" s="15" t="s">
        <v>172</v>
      </c>
      <c r="M133" s="16">
        <v>179900</v>
      </c>
      <c r="N133" s="9">
        <v>0.95</v>
      </c>
      <c r="O133" s="8">
        <f t="shared" si="6"/>
        <v>8995</v>
      </c>
      <c r="P133" s="6" t="s">
        <v>15</v>
      </c>
    </row>
    <row r="134" spans="1:16" x14ac:dyDescent="0.25">
      <c r="A134" s="6" t="s">
        <v>3920</v>
      </c>
      <c r="B134" s="7">
        <f t="shared" si="7"/>
        <v>46114</v>
      </c>
      <c r="C134" s="7">
        <f t="shared" si="8"/>
        <v>46120</v>
      </c>
      <c r="D134" s="6">
        <v>3280</v>
      </c>
      <c r="E134" s="6">
        <v>337</v>
      </c>
      <c r="F134" s="6">
        <v>4</v>
      </c>
      <c r="G134" s="15">
        <v>1</v>
      </c>
      <c r="H134" s="15"/>
      <c r="I134" s="15" t="s">
        <v>1505</v>
      </c>
      <c r="J134" s="15">
        <v>23392232</v>
      </c>
      <c r="K134" s="15" t="s">
        <v>171</v>
      </c>
      <c r="L134" s="15" t="s">
        <v>173</v>
      </c>
      <c r="M134" s="16">
        <v>179900</v>
      </c>
      <c r="N134" s="9">
        <v>0.95</v>
      </c>
      <c r="O134" s="8">
        <f t="shared" si="6"/>
        <v>8995</v>
      </c>
      <c r="P134" s="6" t="s">
        <v>15</v>
      </c>
    </row>
    <row r="135" spans="1:16" x14ac:dyDescent="0.25">
      <c r="A135" s="6" t="s">
        <v>3920</v>
      </c>
      <c r="B135" s="7">
        <f t="shared" si="7"/>
        <v>46114</v>
      </c>
      <c r="C135" s="7">
        <f t="shared" si="8"/>
        <v>46120</v>
      </c>
      <c r="D135" s="6">
        <v>3280</v>
      </c>
      <c r="E135" s="6">
        <v>337</v>
      </c>
      <c r="F135" s="6">
        <v>4</v>
      </c>
      <c r="G135" s="15">
        <v>1</v>
      </c>
      <c r="H135" s="15"/>
      <c r="I135" s="15" t="s">
        <v>1505</v>
      </c>
      <c r="J135" s="15">
        <v>23392241</v>
      </c>
      <c r="K135" s="15" t="s">
        <v>171</v>
      </c>
      <c r="L135" s="15" t="s">
        <v>174</v>
      </c>
      <c r="M135" s="16">
        <v>179900</v>
      </c>
      <c r="N135" s="9">
        <v>0.95</v>
      </c>
      <c r="O135" s="8">
        <f t="shared" si="6"/>
        <v>8995</v>
      </c>
      <c r="P135" s="6" t="s">
        <v>15</v>
      </c>
    </row>
    <row r="136" spans="1:16" x14ac:dyDescent="0.25">
      <c r="A136" s="6" t="s">
        <v>3920</v>
      </c>
      <c r="B136" s="7">
        <f t="shared" si="7"/>
        <v>46114</v>
      </c>
      <c r="C136" s="7">
        <f t="shared" si="8"/>
        <v>46120</v>
      </c>
      <c r="D136" s="6">
        <v>3280</v>
      </c>
      <c r="E136" s="6">
        <v>337</v>
      </c>
      <c r="F136" s="6">
        <v>4</v>
      </c>
      <c r="G136" s="15">
        <v>1</v>
      </c>
      <c r="H136" s="15"/>
      <c r="I136" s="15" t="s">
        <v>1505</v>
      </c>
      <c r="J136" s="15">
        <v>23392250</v>
      </c>
      <c r="K136" s="15" t="s">
        <v>171</v>
      </c>
      <c r="L136" s="15" t="s">
        <v>175</v>
      </c>
      <c r="M136" s="16">
        <v>189900</v>
      </c>
      <c r="N136" s="9">
        <v>0.95</v>
      </c>
      <c r="O136" s="8">
        <f t="shared" si="6"/>
        <v>9495</v>
      </c>
      <c r="P136" s="6" t="s">
        <v>15</v>
      </c>
    </row>
    <row r="137" spans="1:16" x14ac:dyDescent="0.25">
      <c r="A137" s="6" t="s">
        <v>3920</v>
      </c>
      <c r="B137" s="7">
        <f t="shared" si="7"/>
        <v>46114</v>
      </c>
      <c r="C137" s="7">
        <f t="shared" si="8"/>
        <v>46120</v>
      </c>
      <c r="D137" s="6">
        <v>3280</v>
      </c>
      <c r="E137" s="6">
        <v>337</v>
      </c>
      <c r="F137" s="6">
        <v>4</v>
      </c>
      <c r="G137" s="15">
        <v>1</v>
      </c>
      <c r="H137" s="15"/>
      <c r="I137" s="15" t="s">
        <v>1505</v>
      </c>
      <c r="J137" s="15">
        <v>23392269</v>
      </c>
      <c r="K137" s="15" t="s">
        <v>171</v>
      </c>
      <c r="L137" s="15" t="s">
        <v>176</v>
      </c>
      <c r="M137" s="16">
        <v>189900</v>
      </c>
      <c r="N137" s="9">
        <v>0.95</v>
      </c>
      <c r="O137" s="8">
        <f t="shared" si="6"/>
        <v>9495</v>
      </c>
      <c r="P137" s="6" t="s">
        <v>15</v>
      </c>
    </row>
    <row r="138" spans="1:16" x14ac:dyDescent="0.25">
      <c r="A138" s="6" t="s">
        <v>3920</v>
      </c>
      <c r="B138" s="7">
        <f t="shared" si="7"/>
        <v>46114</v>
      </c>
      <c r="C138" s="7">
        <f t="shared" si="8"/>
        <v>46120</v>
      </c>
      <c r="D138" s="6">
        <v>3280</v>
      </c>
      <c r="E138" s="6">
        <v>337</v>
      </c>
      <c r="F138" s="6">
        <v>4</v>
      </c>
      <c r="G138" s="15">
        <v>1</v>
      </c>
      <c r="H138" s="15"/>
      <c r="I138" s="15" t="s">
        <v>1505</v>
      </c>
      <c r="J138" s="15">
        <v>23392278</v>
      </c>
      <c r="K138" s="15" t="s">
        <v>171</v>
      </c>
      <c r="L138" s="15" t="s">
        <v>177</v>
      </c>
      <c r="M138" s="16">
        <v>189900</v>
      </c>
      <c r="N138" s="9">
        <v>0.95</v>
      </c>
      <c r="O138" s="8">
        <f t="shared" si="6"/>
        <v>9495</v>
      </c>
      <c r="P138" s="6" t="s">
        <v>15</v>
      </c>
    </row>
    <row r="139" spans="1:16" x14ac:dyDescent="0.25">
      <c r="A139" s="6" t="s">
        <v>3920</v>
      </c>
      <c r="B139" s="7">
        <f t="shared" si="7"/>
        <v>46114</v>
      </c>
      <c r="C139" s="7">
        <f t="shared" si="8"/>
        <v>46120</v>
      </c>
      <c r="D139" s="6">
        <v>3280</v>
      </c>
      <c r="E139" s="6">
        <v>337</v>
      </c>
      <c r="F139" s="6">
        <v>4</v>
      </c>
      <c r="G139" s="15">
        <v>1</v>
      </c>
      <c r="H139" s="15"/>
      <c r="I139" s="15" t="s">
        <v>1505</v>
      </c>
      <c r="J139" s="15">
        <v>23392901</v>
      </c>
      <c r="K139" s="15" t="s">
        <v>178</v>
      </c>
      <c r="L139" s="15" t="s">
        <v>179</v>
      </c>
      <c r="M139" s="16">
        <v>209900</v>
      </c>
      <c r="N139" s="9">
        <v>0.95</v>
      </c>
      <c r="O139" s="8">
        <f t="shared" si="6"/>
        <v>10495</v>
      </c>
      <c r="P139" s="6" t="s">
        <v>15</v>
      </c>
    </row>
    <row r="140" spans="1:16" x14ac:dyDescent="0.25">
      <c r="A140" s="6" t="s">
        <v>3920</v>
      </c>
      <c r="B140" s="7">
        <f t="shared" si="7"/>
        <v>46114</v>
      </c>
      <c r="C140" s="7">
        <f t="shared" si="8"/>
        <v>46120</v>
      </c>
      <c r="D140" s="6">
        <v>3280</v>
      </c>
      <c r="E140" s="6">
        <v>337</v>
      </c>
      <c r="F140" s="6">
        <v>4</v>
      </c>
      <c r="G140" s="15">
        <v>1</v>
      </c>
      <c r="H140" s="15"/>
      <c r="I140" s="15" t="s">
        <v>1505</v>
      </c>
      <c r="J140" s="15">
        <v>23392910</v>
      </c>
      <c r="K140" s="15" t="s">
        <v>178</v>
      </c>
      <c r="L140" s="15" t="s">
        <v>180</v>
      </c>
      <c r="M140" s="16">
        <v>209900</v>
      </c>
      <c r="N140" s="9">
        <v>0.95</v>
      </c>
      <c r="O140" s="8">
        <f t="shared" si="6"/>
        <v>10495</v>
      </c>
      <c r="P140" s="6" t="s">
        <v>15</v>
      </c>
    </row>
    <row r="141" spans="1:16" x14ac:dyDescent="0.25">
      <c r="A141" s="6" t="s">
        <v>3920</v>
      </c>
      <c r="B141" s="7">
        <f t="shared" si="7"/>
        <v>46114</v>
      </c>
      <c r="C141" s="7">
        <f t="shared" si="8"/>
        <v>46120</v>
      </c>
      <c r="D141" s="6">
        <v>3280</v>
      </c>
      <c r="E141" s="6">
        <v>337</v>
      </c>
      <c r="F141" s="6">
        <v>4</v>
      </c>
      <c r="G141" s="15">
        <v>1</v>
      </c>
      <c r="H141" s="15"/>
      <c r="I141" s="15" t="s">
        <v>1505</v>
      </c>
      <c r="J141" s="15">
        <v>23392929</v>
      </c>
      <c r="K141" s="15" t="s">
        <v>178</v>
      </c>
      <c r="L141" s="15" t="s">
        <v>181</v>
      </c>
      <c r="M141" s="16">
        <v>209900</v>
      </c>
      <c r="N141" s="9">
        <v>0.95</v>
      </c>
      <c r="O141" s="8">
        <f t="shared" si="6"/>
        <v>10495</v>
      </c>
      <c r="P141" s="6" t="s">
        <v>15</v>
      </c>
    </row>
    <row r="142" spans="1:16" x14ac:dyDescent="0.25">
      <c r="A142" s="6" t="s">
        <v>3920</v>
      </c>
      <c r="B142" s="7">
        <f t="shared" si="7"/>
        <v>46114</v>
      </c>
      <c r="C142" s="7">
        <f t="shared" si="8"/>
        <v>46120</v>
      </c>
      <c r="D142" s="6">
        <v>3280</v>
      </c>
      <c r="E142" s="6">
        <v>337</v>
      </c>
      <c r="F142" s="6">
        <v>4</v>
      </c>
      <c r="G142" s="15">
        <v>1</v>
      </c>
      <c r="H142" s="15"/>
      <c r="I142" s="15" t="s">
        <v>1505</v>
      </c>
      <c r="J142" s="15">
        <v>23392938</v>
      </c>
      <c r="K142" s="15" t="s">
        <v>178</v>
      </c>
      <c r="L142" s="15" t="s">
        <v>182</v>
      </c>
      <c r="M142" s="16">
        <v>219900</v>
      </c>
      <c r="N142" s="9">
        <v>0.95</v>
      </c>
      <c r="O142" s="8">
        <f t="shared" si="6"/>
        <v>10995</v>
      </c>
      <c r="P142" s="6" t="s">
        <v>15</v>
      </c>
    </row>
    <row r="143" spans="1:16" x14ac:dyDescent="0.25">
      <c r="A143" s="6" t="s">
        <v>3920</v>
      </c>
      <c r="B143" s="7">
        <f t="shared" si="7"/>
        <v>46114</v>
      </c>
      <c r="C143" s="7">
        <f t="shared" si="8"/>
        <v>46120</v>
      </c>
      <c r="D143" s="6">
        <v>3280</v>
      </c>
      <c r="E143" s="6">
        <v>337</v>
      </c>
      <c r="F143" s="6">
        <v>4</v>
      </c>
      <c r="G143" s="15">
        <v>1</v>
      </c>
      <c r="H143" s="15"/>
      <c r="I143" s="15" t="s">
        <v>1505</v>
      </c>
      <c r="J143" s="15">
        <v>23392947</v>
      </c>
      <c r="K143" s="15" t="s">
        <v>178</v>
      </c>
      <c r="L143" s="15" t="s">
        <v>183</v>
      </c>
      <c r="M143" s="16">
        <v>219900</v>
      </c>
      <c r="N143" s="9">
        <v>0.95</v>
      </c>
      <c r="O143" s="8">
        <f t="shared" si="6"/>
        <v>10995</v>
      </c>
      <c r="P143" s="6" t="s">
        <v>15</v>
      </c>
    </row>
    <row r="144" spans="1:16" x14ac:dyDescent="0.25">
      <c r="A144" s="6" t="s">
        <v>3920</v>
      </c>
      <c r="B144" s="7">
        <f t="shared" si="7"/>
        <v>46114</v>
      </c>
      <c r="C144" s="7">
        <f t="shared" si="8"/>
        <v>46120</v>
      </c>
      <c r="D144" s="6">
        <v>3280</v>
      </c>
      <c r="E144" s="6">
        <v>337</v>
      </c>
      <c r="F144" s="6">
        <v>4</v>
      </c>
      <c r="G144" s="15">
        <v>1</v>
      </c>
      <c r="H144" s="15"/>
      <c r="I144" s="15" t="s">
        <v>1505</v>
      </c>
      <c r="J144" s="15">
        <v>23392956</v>
      </c>
      <c r="K144" s="15" t="s">
        <v>178</v>
      </c>
      <c r="L144" s="15" t="s">
        <v>184</v>
      </c>
      <c r="M144" s="16">
        <v>219900</v>
      </c>
      <c r="N144" s="9">
        <v>0.95</v>
      </c>
      <c r="O144" s="8">
        <f t="shared" si="6"/>
        <v>10995</v>
      </c>
      <c r="P144" s="6" t="s">
        <v>15</v>
      </c>
    </row>
    <row r="145" spans="1:16" x14ac:dyDescent="0.25">
      <c r="A145" s="6" t="s">
        <v>3920</v>
      </c>
      <c r="B145" s="7">
        <f t="shared" si="7"/>
        <v>46114</v>
      </c>
      <c r="C145" s="7">
        <f t="shared" si="8"/>
        <v>46120</v>
      </c>
      <c r="D145" s="6">
        <v>3280</v>
      </c>
      <c r="E145" s="6">
        <v>337</v>
      </c>
      <c r="F145" s="6">
        <v>4</v>
      </c>
      <c r="G145" s="15">
        <v>1</v>
      </c>
      <c r="H145" s="15"/>
      <c r="I145" s="15" t="s">
        <v>1505</v>
      </c>
      <c r="J145" s="15">
        <v>23510970</v>
      </c>
      <c r="K145" s="15" t="s">
        <v>185</v>
      </c>
      <c r="L145" s="15" t="s">
        <v>186</v>
      </c>
      <c r="M145" s="16">
        <v>199900</v>
      </c>
      <c r="N145" s="9">
        <v>0.95</v>
      </c>
      <c r="O145" s="8">
        <f t="shared" si="6"/>
        <v>9995</v>
      </c>
      <c r="P145" s="6" t="s">
        <v>15</v>
      </c>
    </row>
    <row r="146" spans="1:16" x14ac:dyDescent="0.25">
      <c r="A146" s="6" t="s">
        <v>3920</v>
      </c>
      <c r="B146" s="7">
        <f t="shared" si="7"/>
        <v>46114</v>
      </c>
      <c r="C146" s="7">
        <f t="shared" si="8"/>
        <v>46120</v>
      </c>
      <c r="D146" s="6">
        <v>3280</v>
      </c>
      <c r="E146" s="6">
        <v>337</v>
      </c>
      <c r="F146" s="6">
        <v>4</v>
      </c>
      <c r="G146" s="15">
        <v>1</v>
      </c>
      <c r="H146" s="15"/>
      <c r="I146" s="15" t="s">
        <v>1505</v>
      </c>
      <c r="J146" s="15">
        <v>23511004</v>
      </c>
      <c r="K146" s="15" t="s">
        <v>185</v>
      </c>
      <c r="L146" s="15" t="s">
        <v>187</v>
      </c>
      <c r="M146" s="16">
        <v>209900</v>
      </c>
      <c r="N146" s="9">
        <v>0.95</v>
      </c>
      <c r="O146" s="8">
        <f t="shared" si="6"/>
        <v>10495</v>
      </c>
      <c r="P146" s="6" t="s">
        <v>15</v>
      </c>
    </row>
    <row r="147" spans="1:16" x14ac:dyDescent="0.25">
      <c r="A147" s="6" t="s">
        <v>3920</v>
      </c>
      <c r="B147" s="7">
        <f t="shared" si="7"/>
        <v>46114</v>
      </c>
      <c r="C147" s="7">
        <f t="shared" si="8"/>
        <v>46120</v>
      </c>
      <c r="D147" s="6">
        <v>3280</v>
      </c>
      <c r="E147" s="6">
        <v>337</v>
      </c>
      <c r="F147" s="6">
        <v>4</v>
      </c>
      <c r="G147" s="15">
        <v>1</v>
      </c>
      <c r="H147" s="15"/>
      <c r="I147" s="15" t="s">
        <v>1505</v>
      </c>
      <c r="J147" s="15">
        <v>23511013</v>
      </c>
      <c r="K147" s="15" t="s">
        <v>185</v>
      </c>
      <c r="L147" s="15" t="s">
        <v>188</v>
      </c>
      <c r="M147" s="16">
        <v>209900</v>
      </c>
      <c r="N147" s="9">
        <v>0.95</v>
      </c>
      <c r="O147" s="8">
        <f t="shared" si="6"/>
        <v>10495</v>
      </c>
      <c r="P147" s="6" t="s">
        <v>15</v>
      </c>
    </row>
    <row r="148" spans="1:16" x14ac:dyDescent="0.25">
      <c r="A148" s="6" t="s">
        <v>3920</v>
      </c>
      <c r="B148" s="7">
        <f t="shared" si="7"/>
        <v>46114</v>
      </c>
      <c r="C148" s="7">
        <f t="shared" si="8"/>
        <v>46120</v>
      </c>
      <c r="D148" s="6">
        <v>3280</v>
      </c>
      <c r="E148" s="6">
        <v>337</v>
      </c>
      <c r="F148" s="6">
        <v>4</v>
      </c>
      <c r="G148" s="15">
        <v>1</v>
      </c>
      <c r="H148" s="15"/>
      <c r="I148" s="15" t="s">
        <v>1505</v>
      </c>
      <c r="J148" s="15">
        <v>23511022</v>
      </c>
      <c r="K148" s="15" t="s">
        <v>185</v>
      </c>
      <c r="L148" s="15" t="s">
        <v>189</v>
      </c>
      <c r="M148" s="16">
        <v>209900</v>
      </c>
      <c r="N148" s="9">
        <v>0.95</v>
      </c>
      <c r="O148" s="8">
        <f t="shared" si="6"/>
        <v>10495</v>
      </c>
      <c r="P148" s="6" t="s">
        <v>15</v>
      </c>
    </row>
    <row r="149" spans="1:16" x14ac:dyDescent="0.25">
      <c r="A149" s="6" t="s">
        <v>3920</v>
      </c>
      <c r="B149" s="7">
        <f t="shared" si="7"/>
        <v>46114</v>
      </c>
      <c r="C149" s="7">
        <f t="shared" si="8"/>
        <v>46120</v>
      </c>
      <c r="D149" s="6">
        <v>3280</v>
      </c>
      <c r="E149" s="6">
        <v>337</v>
      </c>
      <c r="F149" s="6">
        <v>4</v>
      </c>
      <c r="G149" s="15">
        <v>1</v>
      </c>
      <c r="H149" s="15"/>
      <c r="I149" s="15" t="s">
        <v>1505</v>
      </c>
      <c r="J149" s="15">
        <v>23540894</v>
      </c>
      <c r="K149" s="15" t="s">
        <v>190</v>
      </c>
      <c r="L149" s="15" t="s">
        <v>191</v>
      </c>
      <c r="M149" s="16">
        <v>189900</v>
      </c>
      <c r="N149" s="9">
        <v>0.95</v>
      </c>
      <c r="O149" s="8">
        <f t="shared" si="6"/>
        <v>9495</v>
      </c>
      <c r="P149" s="6" t="s">
        <v>15</v>
      </c>
    </row>
    <row r="150" spans="1:16" x14ac:dyDescent="0.25">
      <c r="A150" s="6" t="s">
        <v>3920</v>
      </c>
      <c r="B150" s="7">
        <f t="shared" si="7"/>
        <v>46114</v>
      </c>
      <c r="C150" s="7">
        <f t="shared" si="8"/>
        <v>46120</v>
      </c>
      <c r="D150" s="6">
        <v>3280</v>
      </c>
      <c r="E150" s="6">
        <v>337</v>
      </c>
      <c r="F150" s="6">
        <v>4</v>
      </c>
      <c r="G150" s="15">
        <v>1</v>
      </c>
      <c r="H150" s="15"/>
      <c r="I150" s="15" t="s">
        <v>1505</v>
      </c>
      <c r="J150" s="15">
        <v>23540901</v>
      </c>
      <c r="K150" s="15" t="s">
        <v>190</v>
      </c>
      <c r="L150" s="15" t="s">
        <v>192</v>
      </c>
      <c r="M150" s="16">
        <v>189900</v>
      </c>
      <c r="N150" s="9">
        <v>0.95</v>
      </c>
      <c r="O150" s="8">
        <f t="shared" si="6"/>
        <v>9495</v>
      </c>
      <c r="P150" s="6" t="s">
        <v>15</v>
      </c>
    </row>
    <row r="151" spans="1:16" x14ac:dyDescent="0.25">
      <c r="A151" s="6" t="s">
        <v>3920</v>
      </c>
      <c r="B151" s="7">
        <f t="shared" si="7"/>
        <v>46114</v>
      </c>
      <c r="C151" s="7">
        <f t="shared" si="8"/>
        <v>46120</v>
      </c>
      <c r="D151" s="6">
        <v>3280</v>
      </c>
      <c r="E151" s="6">
        <v>337</v>
      </c>
      <c r="F151" s="6">
        <v>4</v>
      </c>
      <c r="G151" s="15">
        <v>1</v>
      </c>
      <c r="H151" s="15"/>
      <c r="I151" s="15" t="s">
        <v>1505</v>
      </c>
      <c r="J151" s="15">
        <v>23540910</v>
      </c>
      <c r="K151" s="15" t="s">
        <v>190</v>
      </c>
      <c r="L151" s="15" t="s">
        <v>193</v>
      </c>
      <c r="M151" s="16">
        <v>189900</v>
      </c>
      <c r="N151" s="9">
        <v>0.95</v>
      </c>
      <c r="O151" s="8">
        <f t="shared" si="6"/>
        <v>9495</v>
      </c>
      <c r="P151" s="6" t="s">
        <v>15</v>
      </c>
    </row>
    <row r="152" spans="1:16" x14ac:dyDescent="0.25">
      <c r="A152" s="6" t="s">
        <v>3920</v>
      </c>
      <c r="B152" s="7">
        <f t="shared" si="7"/>
        <v>46114</v>
      </c>
      <c r="C152" s="7">
        <f t="shared" si="8"/>
        <v>46120</v>
      </c>
      <c r="D152" s="6">
        <v>3280</v>
      </c>
      <c r="E152" s="6">
        <v>337</v>
      </c>
      <c r="F152" s="6">
        <v>4</v>
      </c>
      <c r="G152" s="15">
        <v>1</v>
      </c>
      <c r="H152" s="15"/>
      <c r="I152" s="15" t="s">
        <v>1505</v>
      </c>
      <c r="J152" s="15">
        <v>23540929</v>
      </c>
      <c r="K152" s="15" t="s">
        <v>190</v>
      </c>
      <c r="L152" s="15" t="s">
        <v>194</v>
      </c>
      <c r="M152" s="16">
        <v>199900</v>
      </c>
      <c r="N152" s="9">
        <v>0.95</v>
      </c>
      <c r="O152" s="8">
        <f t="shared" si="6"/>
        <v>9995</v>
      </c>
      <c r="P152" s="6" t="s">
        <v>15</v>
      </c>
    </row>
    <row r="153" spans="1:16" x14ac:dyDescent="0.25">
      <c r="A153" s="6" t="s">
        <v>3920</v>
      </c>
      <c r="B153" s="7">
        <f t="shared" si="7"/>
        <v>46114</v>
      </c>
      <c r="C153" s="7">
        <f t="shared" si="8"/>
        <v>46120</v>
      </c>
      <c r="D153" s="6">
        <v>3280</v>
      </c>
      <c r="E153" s="6">
        <v>337</v>
      </c>
      <c r="F153" s="6">
        <v>4</v>
      </c>
      <c r="G153" s="15">
        <v>1</v>
      </c>
      <c r="H153" s="15"/>
      <c r="I153" s="15" t="s">
        <v>1505</v>
      </c>
      <c r="J153" s="15">
        <v>23540938</v>
      </c>
      <c r="K153" s="15" t="s">
        <v>190</v>
      </c>
      <c r="L153" s="15" t="s">
        <v>195</v>
      </c>
      <c r="M153" s="16">
        <v>199900</v>
      </c>
      <c r="N153" s="9">
        <v>0.95</v>
      </c>
      <c r="O153" s="8">
        <f t="shared" si="6"/>
        <v>9995</v>
      </c>
      <c r="P153" s="6" t="s">
        <v>15</v>
      </c>
    </row>
    <row r="154" spans="1:16" x14ac:dyDescent="0.25">
      <c r="A154" s="6" t="s">
        <v>3920</v>
      </c>
      <c r="B154" s="7">
        <f t="shared" si="7"/>
        <v>46114</v>
      </c>
      <c r="C154" s="7">
        <f t="shared" si="8"/>
        <v>46120</v>
      </c>
      <c r="D154" s="6">
        <v>3280</v>
      </c>
      <c r="E154" s="6">
        <v>337</v>
      </c>
      <c r="F154" s="6">
        <v>4</v>
      </c>
      <c r="G154" s="15">
        <v>1</v>
      </c>
      <c r="H154" s="15"/>
      <c r="I154" s="15" t="s">
        <v>1505</v>
      </c>
      <c r="J154" s="15">
        <v>23540947</v>
      </c>
      <c r="K154" s="15" t="s">
        <v>190</v>
      </c>
      <c r="L154" s="15" t="s">
        <v>196</v>
      </c>
      <c r="M154" s="16">
        <v>199900</v>
      </c>
      <c r="N154" s="9">
        <v>0.95</v>
      </c>
      <c r="O154" s="8">
        <f t="shared" si="6"/>
        <v>9995</v>
      </c>
      <c r="P154" s="6" t="s">
        <v>15</v>
      </c>
    </row>
    <row r="155" spans="1:16" x14ac:dyDescent="0.25">
      <c r="A155" s="6" t="s">
        <v>3920</v>
      </c>
      <c r="B155" s="7">
        <f t="shared" si="7"/>
        <v>46114</v>
      </c>
      <c r="C155" s="7">
        <f t="shared" si="8"/>
        <v>46120</v>
      </c>
      <c r="D155" s="6">
        <v>3280</v>
      </c>
      <c r="E155" s="6">
        <v>337</v>
      </c>
      <c r="F155" s="6">
        <v>4</v>
      </c>
      <c r="G155" s="15">
        <v>1</v>
      </c>
      <c r="H155" s="15"/>
      <c r="I155" s="15" t="s">
        <v>1505</v>
      </c>
      <c r="J155" s="15">
        <v>23387097</v>
      </c>
      <c r="K155" s="15" t="s">
        <v>197</v>
      </c>
      <c r="L155" s="15" t="s">
        <v>198</v>
      </c>
      <c r="M155" s="16">
        <v>179900</v>
      </c>
      <c r="N155" s="9">
        <v>0.95</v>
      </c>
      <c r="O155" s="8">
        <f t="shared" si="6"/>
        <v>8995</v>
      </c>
      <c r="P155" s="6" t="s">
        <v>15</v>
      </c>
    </row>
    <row r="156" spans="1:16" x14ac:dyDescent="0.25">
      <c r="A156" s="6" t="s">
        <v>3920</v>
      </c>
      <c r="B156" s="7">
        <f t="shared" si="7"/>
        <v>46114</v>
      </c>
      <c r="C156" s="7">
        <f t="shared" si="8"/>
        <v>46120</v>
      </c>
      <c r="D156" s="6">
        <v>3280</v>
      </c>
      <c r="E156" s="6">
        <v>337</v>
      </c>
      <c r="F156" s="6">
        <v>4</v>
      </c>
      <c r="G156" s="15">
        <v>1</v>
      </c>
      <c r="H156" s="15"/>
      <c r="I156" s="15" t="s">
        <v>1505</v>
      </c>
      <c r="J156" s="15">
        <v>23387113</v>
      </c>
      <c r="K156" s="15" t="s">
        <v>199</v>
      </c>
      <c r="L156" s="15" t="s">
        <v>200</v>
      </c>
      <c r="M156" s="16">
        <v>169900</v>
      </c>
      <c r="N156" s="9">
        <v>0.95</v>
      </c>
      <c r="O156" s="8">
        <f t="shared" si="6"/>
        <v>8495</v>
      </c>
      <c r="P156" s="6" t="s">
        <v>15</v>
      </c>
    </row>
    <row r="157" spans="1:16" x14ac:dyDescent="0.25">
      <c r="A157" s="6" t="s">
        <v>3920</v>
      </c>
      <c r="B157" s="7">
        <f t="shared" si="7"/>
        <v>46114</v>
      </c>
      <c r="C157" s="7">
        <f t="shared" si="8"/>
        <v>46120</v>
      </c>
      <c r="D157" s="6">
        <v>3280</v>
      </c>
      <c r="E157" s="6">
        <v>337</v>
      </c>
      <c r="F157" s="6">
        <v>4</v>
      </c>
      <c r="G157" s="15">
        <v>1</v>
      </c>
      <c r="H157" s="15"/>
      <c r="I157" s="15" t="s">
        <v>1505</v>
      </c>
      <c r="J157" s="15">
        <v>23387104</v>
      </c>
      <c r="K157" s="15" t="s">
        <v>199</v>
      </c>
      <c r="L157" s="15" t="s">
        <v>201</v>
      </c>
      <c r="M157" s="16">
        <v>169900</v>
      </c>
      <c r="N157" s="9">
        <v>0.95</v>
      </c>
      <c r="O157" s="8">
        <f t="shared" si="6"/>
        <v>8495</v>
      </c>
      <c r="P157" s="6" t="s">
        <v>15</v>
      </c>
    </row>
    <row r="158" spans="1:16" x14ac:dyDescent="0.25">
      <c r="A158" s="6" t="s">
        <v>3920</v>
      </c>
      <c r="B158" s="7">
        <f t="shared" si="7"/>
        <v>46114</v>
      </c>
      <c r="C158" s="7">
        <f t="shared" si="8"/>
        <v>46120</v>
      </c>
      <c r="D158" s="6">
        <v>3280</v>
      </c>
      <c r="E158" s="6">
        <v>337</v>
      </c>
      <c r="F158" s="6">
        <v>4</v>
      </c>
      <c r="G158" s="15">
        <v>1</v>
      </c>
      <c r="H158" s="15"/>
      <c r="I158" s="15" t="s">
        <v>1505</v>
      </c>
      <c r="J158" s="15">
        <v>23510989</v>
      </c>
      <c r="K158" s="15" t="s">
        <v>185</v>
      </c>
      <c r="L158" s="15" t="s">
        <v>202</v>
      </c>
      <c r="M158" s="16">
        <v>199900</v>
      </c>
      <c r="N158" s="9">
        <v>0.95</v>
      </c>
      <c r="O158" s="8">
        <f t="shared" si="6"/>
        <v>9995</v>
      </c>
      <c r="P158" s="6" t="s">
        <v>15</v>
      </c>
    </row>
    <row r="159" spans="1:16" x14ac:dyDescent="0.25">
      <c r="A159" s="6" t="s">
        <v>3920</v>
      </c>
      <c r="B159" s="7">
        <f t="shared" si="7"/>
        <v>46114</v>
      </c>
      <c r="C159" s="7">
        <f t="shared" si="8"/>
        <v>46120</v>
      </c>
      <c r="D159" s="6">
        <v>3280</v>
      </c>
      <c r="E159" s="6">
        <v>337</v>
      </c>
      <c r="F159" s="6">
        <v>4</v>
      </c>
      <c r="G159" s="15">
        <v>1</v>
      </c>
      <c r="H159" s="15"/>
      <c r="I159" s="15" t="s">
        <v>1505</v>
      </c>
      <c r="J159" s="15">
        <v>23510998</v>
      </c>
      <c r="K159" s="15" t="s">
        <v>185</v>
      </c>
      <c r="L159" s="15" t="s">
        <v>203</v>
      </c>
      <c r="M159" s="16">
        <v>199900</v>
      </c>
      <c r="N159" s="9">
        <v>0.95</v>
      </c>
      <c r="O159" s="8">
        <f t="shared" si="6"/>
        <v>9995</v>
      </c>
      <c r="P159" s="6" t="s">
        <v>15</v>
      </c>
    </row>
    <row r="160" spans="1:16" x14ac:dyDescent="0.25">
      <c r="A160" s="6" t="s">
        <v>3920</v>
      </c>
      <c r="B160" s="7">
        <f t="shared" si="7"/>
        <v>46114</v>
      </c>
      <c r="C160" s="7">
        <f t="shared" si="8"/>
        <v>46120</v>
      </c>
      <c r="D160" s="6">
        <v>3280</v>
      </c>
      <c r="E160" s="6">
        <v>337</v>
      </c>
      <c r="F160" s="6">
        <v>4</v>
      </c>
      <c r="G160" s="15">
        <v>1</v>
      </c>
      <c r="H160" s="15"/>
      <c r="I160" s="15" t="s">
        <v>1505</v>
      </c>
      <c r="J160" s="15">
        <v>23387140</v>
      </c>
      <c r="K160" s="15" t="s">
        <v>199</v>
      </c>
      <c r="L160" s="15" t="s">
        <v>204</v>
      </c>
      <c r="M160" s="16">
        <v>179900</v>
      </c>
      <c r="N160" s="9">
        <v>0.95</v>
      </c>
      <c r="O160" s="8">
        <f t="shared" si="6"/>
        <v>8995</v>
      </c>
      <c r="P160" s="6" t="s">
        <v>15</v>
      </c>
    </row>
    <row r="161" spans="1:16" x14ac:dyDescent="0.25">
      <c r="A161" s="6" t="s">
        <v>3920</v>
      </c>
      <c r="B161" s="7">
        <f t="shared" si="7"/>
        <v>46114</v>
      </c>
      <c r="C161" s="7">
        <f t="shared" si="8"/>
        <v>46120</v>
      </c>
      <c r="D161" s="6">
        <v>3280</v>
      </c>
      <c r="E161" s="6">
        <v>337</v>
      </c>
      <c r="F161" s="6">
        <v>4</v>
      </c>
      <c r="G161" s="15">
        <v>1</v>
      </c>
      <c r="H161" s="15"/>
      <c r="I161" s="15" t="s">
        <v>1505</v>
      </c>
      <c r="J161" s="15">
        <v>23387060</v>
      </c>
      <c r="K161" s="15" t="s">
        <v>197</v>
      </c>
      <c r="L161" s="15" t="s">
        <v>205</v>
      </c>
      <c r="M161" s="16">
        <v>169900</v>
      </c>
      <c r="N161" s="9">
        <v>0.95</v>
      </c>
      <c r="O161" s="8">
        <f t="shared" si="6"/>
        <v>8495</v>
      </c>
      <c r="P161" s="6" t="s">
        <v>15</v>
      </c>
    </row>
    <row r="162" spans="1:16" x14ac:dyDescent="0.25">
      <c r="A162" s="6" t="s">
        <v>3920</v>
      </c>
      <c r="B162" s="7">
        <f t="shared" si="7"/>
        <v>46114</v>
      </c>
      <c r="C162" s="7">
        <f t="shared" si="8"/>
        <v>46120</v>
      </c>
      <c r="D162" s="6">
        <v>3280</v>
      </c>
      <c r="E162" s="6">
        <v>337</v>
      </c>
      <c r="F162" s="6">
        <v>4</v>
      </c>
      <c r="G162" s="15">
        <v>1</v>
      </c>
      <c r="H162" s="15"/>
      <c r="I162" s="15" t="s">
        <v>1505</v>
      </c>
      <c r="J162" s="15">
        <v>23387051</v>
      </c>
      <c r="K162" s="15" t="s">
        <v>197</v>
      </c>
      <c r="L162" s="15" t="s">
        <v>206</v>
      </c>
      <c r="M162" s="16">
        <v>169900</v>
      </c>
      <c r="N162" s="9">
        <v>0.95</v>
      </c>
      <c r="O162" s="8">
        <f t="shared" si="6"/>
        <v>8495</v>
      </c>
      <c r="P162" s="6" t="s">
        <v>15</v>
      </c>
    </row>
    <row r="163" spans="1:16" x14ac:dyDescent="0.25">
      <c r="A163" s="6" t="s">
        <v>3920</v>
      </c>
      <c r="B163" s="7">
        <f t="shared" si="7"/>
        <v>46114</v>
      </c>
      <c r="C163" s="7">
        <f t="shared" si="8"/>
        <v>46120</v>
      </c>
      <c r="D163" s="6">
        <v>3280</v>
      </c>
      <c r="E163" s="6">
        <v>337</v>
      </c>
      <c r="F163" s="6">
        <v>4</v>
      </c>
      <c r="G163" s="15">
        <v>1</v>
      </c>
      <c r="H163" s="15"/>
      <c r="I163" s="15" t="s">
        <v>1505</v>
      </c>
      <c r="J163" s="15">
        <v>23387131</v>
      </c>
      <c r="K163" s="15" t="s">
        <v>199</v>
      </c>
      <c r="L163" s="15" t="s">
        <v>207</v>
      </c>
      <c r="M163" s="16">
        <v>179900</v>
      </c>
      <c r="N163" s="9">
        <v>0.95</v>
      </c>
      <c r="O163" s="8">
        <f t="shared" si="6"/>
        <v>8995</v>
      </c>
      <c r="P163" s="6" t="s">
        <v>15</v>
      </c>
    </row>
    <row r="164" spans="1:16" x14ac:dyDescent="0.25">
      <c r="A164" s="6" t="s">
        <v>3920</v>
      </c>
      <c r="B164" s="7">
        <f t="shared" si="7"/>
        <v>46114</v>
      </c>
      <c r="C164" s="7">
        <f t="shared" si="8"/>
        <v>46120</v>
      </c>
      <c r="D164" s="6">
        <v>3280</v>
      </c>
      <c r="E164" s="6">
        <v>337</v>
      </c>
      <c r="F164" s="6">
        <v>4</v>
      </c>
      <c r="G164" s="15">
        <v>1</v>
      </c>
      <c r="H164" s="15"/>
      <c r="I164" s="15" t="s">
        <v>1505</v>
      </c>
      <c r="J164" s="15">
        <v>23387159</v>
      </c>
      <c r="K164" s="15" t="s">
        <v>199</v>
      </c>
      <c r="L164" s="15" t="s">
        <v>208</v>
      </c>
      <c r="M164" s="16">
        <v>179900</v>
      </c>
      <c r="N164" s="9">
        <v>0.95</v>
      </c>
      <c r="O164" s="8">
        <f t="shared" si="6"/>
        <v>8995</v>
      </c>
      <c r="P164" s="6" t="s">
        <v>15</v>
      </c>
    </row>
    <row r="165" spans="1:16" x14ac:dyDescent="0.25">
      <c r="A165" s="6" t="s">
        <v>3920</v>
      </c>
      <c r="B165" s="7">
        <f t="shared" si="7"/>
        <v>46114</v>
      </c>
      <c r="C165" s="7">
        <f t="shared" si="8"/>
        <v>46120</v>
      </c>
      <c r="D165" s="6">
        <v>3280</v>
      </c>
      <c r="E165" s="6">
        <v>337</v>
      </c>
      <c r="F165" s="6">
        <v>4</v>
      </c>
      <c r="G165" s="15">
        <v>1</v>
      </c>
      <c r="H165" s="15"/>
      <c r="I165" s="15" t="s">
        <v>1505</v>
      </c>
      <c r="J165" s="15">
        <v>23387042</v>
      </c>
      <c r="K165" s="15" t="s">
        <v>197</v>
      </c>
      <c r="L165" s="15" t="s">
        <v>209</v>
      </c>
      <c r="M165" s="16">
        <v>169900</v>
      </c>
      <c r="N165" s="9">
        <v>0.95</v>
      </c>
      <c r="O165" s="8">
        <f t="shared" si="6"/>
        <v>8495</v>
      </c>
      <c r="P165" s="6" t="s">
        <v>15</v>
      </c>
    </row>
    <row r="166" spans="1:16" x14ac:dyDescent="0.25">
      <c r="A166" s="6" t="s">
        <v>3920</v>
      </c>
      <c r="B166" s="7">
        <f t="shared" si="7"/>
        <v>46114</v>
      </c>
      <c r="C166" s="7">
        <f t="shared" si="8"/>
        <v>46120</v>
      </c>
      <c r="D166" s="6">
        <v>3280</v>
      </c>
      <c r="E166" s="6">
        <v>337</v>
      </c>
      <c r="F166" s="6">
        <v>4</v>
      </c>
      <c r="G166" s="15">
        <v>1</v>
      </c>
      <c r="H166" s="15"/>
      <c r="I166" s="15" t="s">
        <v>1505</v>
      </c>
      <c r="J166" s="15">
        <v>23387079</v>
      </c>
      <c r="K166" s="15" t="s">
        <v>197</v>
      </c>
      <c r="L166" s="15" t="s">
        <v>210</v>
      </c>
      <c r="M166" s="16">
        <v>179900</v>
      </c>
      <c r="N166" s="9">
        <v>0.95</v>
      </c>
      <c r="O166" s="8">
        <f t="shared" si="6"/>
        <v>8995</v>
      </c>
      <c r="P166" s="6" t="s">
        <v>15</v>
      </c>
    </row>
    <row r="167" spans="1:16" x14ac:dyDescent="0.25">
      <c r="A167" s="6" t="s">
        <v>3920</v>
      </c>
      <c r="B167" s="7">
        <f t="shared" si="7"/>
        <v>46114</v>
      </c>
      <c r="C167" s="7">
        <f t="shared" si="8"/>
        <v>46120</v>
      </c>
      <c r="D167" s="6">
        <v>3280</v>
      </c>
      <c r="E167" s="6">
        <v>337</v>
      </c>
      <c r="F167" s="6">
        <v>4</v>
      </c>
      <c r="G167" s="15">
        <v>1</v>
      </c>
      <c r="H167" s="15"/>
      <c r="I167" s="15" t="s">
        <v>1505</v>
      </c>
      <c r="J167" s="15">
        <v>23387122</v>
      </c>
      <c r="K167" s="15" t="s">
        <v>199</v>
      </c>
      <c r="L167" s="15" t="s">
        <v>211</v>
      </c>
      <c r="M167" s="16">
        <v>169900</v>
      </c>
      <c r="N167" s="9">
        <v>0.95</v>
      </c>
      <c r="O167" s="8">
        <f t="shared" si="6"/>
        <v>8495</v>
      </c>
      <c r="P167" s="6" t="s">
        <v>15</v>
      </c>
    </row>
    <row r="168" spans="1:16" x14ac:dyDescent="0.25">
      <c r="A168" s="6" t="s">
        <v>3920</v>
      </c>
      <c r="B168" s="7">
        <f t="shared" si="7"/>
        <v>46114</v>
      </c>
      <c r="C168" s="7">
        <f t="shared" si="8"/>
        <v>46120</v>
      </c>
      <c r="D168" s="6">
        <v>3280</v>
      </c>
      <c r="E168" s="6">
        <v>337</v>
      </c>
      <c r="F168" s="6">
        <v>4</v>
      </c>
      <c r="G168" s="15">
        <v>1</v>
      </c>
      <c r="H168" s="15"/>
      <c r="I168" s="15" t="s">
        <v>1505</v>
      </c>
      <c r="J168" s="15">
        <v>23387088</v>
      </c>
      <c r="K168" s="15" t="s">
        <v>197</v>
      </c>
      <c r="L168" s="15" t="s">
        <v>212</v>
      </c>
      <c r="M168" s="16">
        <v>179900</v>
      </c>
      <c r="N168" s="9">
        <v>0.95</v>
      </c>
      <c r="O168" s="8">
        <f t="shared" si="6"/>
        <v>8995</v>
      </c>
      <c r="P168" s="6" t="s">
        <v>15</v>
      </c>
    </row>
    <row r="169" spans="1:16" x14ac:dyDescent="0.25">
      <c r="A169" s="6" t="s">
        <v>3920</v>
      </c>
      <c r="B169" s="7">
        <f t="shared" si="7"/>
        <v>46114</v>
      </c>
      <c r="C169" s="7">
        <f t="shared" si="8"/>
        <v>46120</v>
      </c>
      <c r="D169" s="6">
        <v>3280</v>
      </c>
      <c r="E169" s="6">
        <v>337</v>
      </c>
      <c r="F169" s="6">
        <v>4</v>
      </c>
      <c r="G169" s="15">
        <v>1</v>
      </c>
      <c r="H169" s="15"/>
      <c r="I169" s="15" t="s">
        <v>1505</v>
      </c>
      <c r="J169" s="15">
        <v>23718710</v>
      </c>
      <c r="K169" s="15" t="s">
        <v>213</v>
      </c>
      <c r="L169" s="15" t="s">
        <v>214</v>
      </c>
      <c r="M169" s="16">
        <v>209900</v>
      </c>
      <c r="N169" s="9">
        <v>0.95</v>
      </c>
      <c r="O169" s="8">
        <f t="shared" si="6"/>
        <v>10495</v>
      </c>
      <c r="P169" s="6" t="s">
        <v>15</v>
      </c>
    </row>
    <row r="170" spans="1:16" x14ac:dyDescent="0.25">
      <c r="A170" s="6" t="s">
        <v>3920</v>
      </c>
      <c r="B170" s="7">
        <f t="shared" si="7"/>
        <v>46114</v>
      </c>
      <c r="C170" s="7">
        <f t="shared" si="8"/>
        <v>46120</v>
      </c>
      <c r="D170" s="6">
        <v>3280</v>
      </c>
      <c r="E170" s="6">
        <v>337</v>
      </c>
      <c r="F170" s="6">
        <v>4</v>
      </c>
      <c r="G170" s="15">
        <v>1</v>
      </c>
      <c r="H170" s="15"/>
      <c r="I170" s="15" t="s">
        <v>1505</v>
      </c>
      <c r="J170" s="15">
        <v>23636059</v>
      </c>
      <c r="K170" s="15" t="s">
        <v>215</v>
      </c>
      <c r="L170" s="15" t="s">
        <v>216</v>
      </c>
      <c r="M170" s="16">
        <v>209900</v>
      </c>
      <c r="N170" s="9">
        <v>0.95</v>
      </c>
      <c r="O170" s="8">
        <f t="shared" si="6"/>
        <v>10495</v>
      </c>
      <c r="P170" s="6" t="s">
        <v>15</v>
      </c>
    </row>
    <row r="171" spans="1:16" x14ac:dyDescent="0.25">
      <c r="A171" s="6" t="s">
        <v>3920</v>
      </c>
      <c r="B171" s="7">
        <f t="shared" si="7"/>
        <v>46114</v>
      </c>
      <c r="C171" s="7">
        <f t="shared" si="8"/>
        <v>46120</v>
      </c>
      <c r="D171" s="6">
        <v>3280</v>
      </c>
      <c r="E171" s="6">
        <v>337</v>
      </c>
      <c r="F171" s="6">
        <v>4</v>
      </c>
      <c r="G171" s="15">
        <v>1</v>
      </c>
      <c r="H171" s="15"/>
      <c r="I171" s="15" t="s">
        <v>1505</v>
      </c>
      <c r="J171" s="15">
        <v>23636068</v>
      </c>
      <c r="K171" s="15" t="s">
        <v>215</v>
      </c>
      <c r="L171" s="15" t="s">
        <v>217</v>
      </c>
      <c r="M171" s="16">
        <v>209900</v>
      </c>
      <c r="N171" s="9">
        <v>0.95</v>
      </c>
      <c r="O171" s="8">
        <f t="shared" si="6"/>
        <v>10495</v>
      </c>
      <c r="P171" s="6" t="s">
        <v>15</v>
      </c>
    </row>
    <row r="172" spans="1:16" x14ac:dyDescent="0.25">
      <c r="A172" s="6" t="s">
        <v>3920</v>
      </c>
      <c r="B172" s="7">
        <f t="shared" si="7"/>
        <v>46114</v>
      </c>
      <c r="C172" s="7">
        <f t="shared" si="8"/>
        <v>46120</v>
      </c>
      <c r="D172" s="6">
        <v>3280</v>
      </c>
      <c r="E172" s="6">
        <v>337</v>
      </c>
      <c r="F172" s="6">
        <v>4</v>
      </c>
      <c r="G172" s="15">
        <v>1</v>
      </c>
      <c r="H172" s="15"/>
      <c r="I172" s="15" t="s">
        <v>1505</v>
      </c>
      <c r="J172" s="15">
        <v>23636077</v>
      </c>
      <c r="K172" s="15" t="s">
        <v>215</v>
      </c>
      <c r="L172" s="15" t="s">
        <v>218</v>
      </c>
      <c r="M172" s="16">
        <v>219900</v>
      </c>
      <c r="N172" s="9">
        <v>0.95</v>
      </c>
      <c r="O172" s="8">
        <f t="shared" si="6"/>
        <v>10995</v>
      </c>
      <c r="P172" s="6" t="s">
        <v>15</v>
      </c>
    </row>
    <row r="173" spans="1:16" x14ac:dyDescent="0.25">
      <c r="A173" s="6" t="s">
        <v>3920</v>
      </c>
      <c r="B173" s="7">
        <f t="shared" si="7"/>
        <v>46114</v>
      </c>
      <c r="C173" s="7">
        <f t="shared" si="8"/>
        <v>46120</v>
      </c>
      <c r="D173" s="6">
        <v>3280</v>
      </c>
      <c r="E173" s="6">
        <v>337</v>
      </c>
      <c r="F173" s="6">
        <v>4</v>
      </c>
      <c r="G173" s="15">
        <v>1</v>
      </c>
      <c r="H173" s="15"/>
      <c r="I173" s="15" t="s">
        <v>1505</v>
      </c>
      <c r="J173" s="15">
        <v>23636086</v>
      </c>
      <c r="K173" s="15" t="s">
        <v>215</v>
      </c>
      <c r="L173" s="15" t="s">
        <v>219</v>
      </c>
      <c r="M173" s="16">
        <v>219900</v>
      </c>
      <c r="N173" s="9">
        <v>0.95</v>
      </c>
      <c r="O173" s="8">
        <f t="shared" si="6"/>
        <v>10995</v>
      </c>
      <c r="P173" s="6" t="s">
        <v>15</v>
      </c>
    </row>
    <row r="174" spans="1:16" x14ac:dyDescent="0.25">
      <c r="A174" s="6" t="s">
        <v>3920</v>
      </c>
      <c r="B174" s="7">
        <f t="shared" si="7"/>
        <v>46114</v>
      </c>
      <c r="C174" s="7">
        <f t="shared" si="8"/>
        <v>46120</v>
      </c>
      <c r="D174" s="6">
        <v>3280</v>
      </c>
      <c r="E174" s="6">
        <v>337</v>
      </c>
      <c r="F174" s="6">
        <v>4</v>
      </c>
      <c r="G174" s="15">
        <v>1</v>
      </c>
      <c r="H174" s="15"/>
      <c r="I174" s="15" t="s">
        <v>1505</v>
      </c>
      <c r="J174" s="15">
        <v>23636095</v>
      </c>
      <c r="K174" s="15" t="s">
        <v>215</v>
      </c>
      <c r="L174" s="15" t="s">
        <v>220</v>
      </c>
      <c r="M174" s="16">
        <v>219900</v>
      </c>
      <c r="N174" s="9">
        <v>0.95</v>
      </c>
      <c r="O174" s="8">
        <f t="shared" si="6"/>
        <v>10995</v>
      </c>
      <c r="P174" s="6" t="s">
        <v>15</v>
      </c>
    </row>
    <row r="175" spans="1:16" x14ac:dyDescent="0.25">
      <c r="A175" s="6" t="s">
        <v>3920</v>
      </c>
      <c r="B175" s="7">
        <f t="shared" si="7"/>
        <v>46114</v>
      </c>
      <c r="C175" s="7">
        <f t="shared" si="8"/>
        <v>46120</v>
      </c>
      <c r="D175" s="6">
        <v>3280</v>
      </c>
      <c r="E175" s="6">
        <v>337</v>
      </c>
      <c r="F175" s="6">
        <v>4</v>
      </c>
      <c r="G175" s="15">
        <v>1</v>
      </c>
      <c r="H175" s="15"/>
      <c r="I175" s="15" t="s">
        <v>1505</v>
      </c>
      <c r="J175" s="15">
        <v>23656117</v>
      </c>
      <c r="K175" s="15" t="s">
        <v>221</v>
      </c>
      <c r="L175" s="15" t="s">
        <v>222</v>
      </c>
      <c r="M175" s="16">
        <v>329900</v>
      </c>
      <c r="N175" s="9">
        <v>0.95</v>
      </c>
      <c r="O175" s="8">
        <f t="shared" si="6"/>
        <v>16495</v>
      </c>
      <c r="P175" s="6" t="s">
        <v>15</v>
      </c>
    </row>
    <row r="176" spans="1:16" x14ac:dyDescent="0.25">
      <c r="A176" s="6" t="s">
        <v>3920</v>
      </c>
      <c r="B176" s="7">
        <f t="shared" si="7"/>
        <v>46114</v>
      </c>
      <c r="C176" s="7">
        <f t="shared" si="8"/>
        <v>46120</v>
      </c>
      <c r="D176" s="6">
        <v>3280</v>
      </c>
      <c r="E176" s="6">
        <v>337</v>
      </c>
      <c r="F176" s="6">
        <v>4</v>
      </c>
      <c r="G176" s="15">
        <v>1</v>
      </c>
      <c r="H176" s="15"/>
      <c r="I176" s="15" t="s">
        <v>1505</v>
      </c>
      <c r="J176" s="15">
        <v>23656126</v>
      </c>
      <c r="K176" s="15" t="s">
        <v>221</v>
      </c>
      <c r="L176" s="15" t="s">
        <v>223</v>
      </c>
      <c r="M176" s="16">
        <v>329900</v>
      </c>
      <c r="N176" s="9">
        <v>0.95</v>
      </c>
      <c r="O176" s="8">
        <f t="shared" si="6"/>
        <v>16495</v>
      </c>
      <c r="P176" s="6" t="s">
        <v>15</v>
      </c>
    </row>
    <row r="177" spans="1:16" x14ac:dyDescent="0.25">
      <c r="A177" s="6" t="s">
        <v>3920</v>
      </c>
      <c r="B177" s="7">
        <f t="shared" si="7"/>
        <v>46114</v>
      </c>
      <c r="C177" s="7">
        <f t="shared" si="8"/>
        <v>46120</v>
      </c>
      <c r="D177" s="6">
        <v>3280</v>
      </c>
      <c r="E177" s="6">
        <v>337</v>
      </c>
      <c r="F177" s="6">
        <v>4</v>
      </c>
      <c r="G177" s="15">
        <v>1</v>
      </c>
      <c r="H177" s="15"/>
      <c r="I177" s="15" t="s">
        <v>1505</v>
      </c>
      <c r="J177" s="15">
        <v>23656135</v>
      </c>
      <c r="K177" s="15" t="s">
        <v>221</v>
      </c>
      <c r="L177" s="15" t="s">
        <v>224</v>
      </c>
      <c r="M177" s="16">
        <v>329900</v>
      </c>
      <c r="N177" s="9">
        <v>0.95</v>
      </c>
      <c r="O177" s="8">
        <f t="shared" si="6"/>
        <v>16495</v>
      </c>
      <c r="P177" s="6" t="s">
        <v>15</v>
      </c>
    </row>
    <row r="178" spans="1:16" x14ac:dyDescent="0.25">
      <c r="A178" s="6" t="s">
        <v>3920</v>
      </c>
      <c r="B178" s="7">
        <f t="shared" si="7"/>
        <v>46114</v>
      </c>
      <c r="C178" s="7">
        <f t="shared" si="8"/>
        <v>46120</v>
      </c>
      <c r="D178" s="6">
        <v>3280</v>
      </c>
      <c r="E178" s="6">
        <v>337</v>
      </c>
      <c r="F178" s="6">
        <v>4</v>
      </c>
      <c r="G178" s="15">
        <v>1</v>
      </c>
      <c r="H178" s="15"/>
      <c r="I178" s="15" t="s">
        <v>1505</v>
      </c>
      <c r="J178" s="15">
        <v>23656180</v>
      </c>
      <c r="K178" s="15" t="s">
        <v>225</v>
      </c>
      <c r="L178" s="15" t="s">
        <v>226</v>
      </c>
      <c r="M178" s="16">
        <v>329900</v>
      </c>
      <c r="N178" s="9">
        <v>0.95</v>
      </c>
      <c r="O178" s="8">
        <f t="shared" si="6"/>
        <v>16495</v>
      </c>
      <c r="P178" s="6" t="s">
        <v>15</v>
      </c>
    </row>
    <row r="179" spans="1:16" x14ac:dyDescent="0.25">
      <c r="A179" s="6" t="s">
        <v>3920</v>
      </c>
      <c r="B179" s="7">
        <f t="shared" si="7"/>
        <v>46114</v>
      </c>
      <c r="C179" s="7">
        <f t="shared" si="8"/>
        <v>46120</v>
      </c>
      <c r="D179" s="6">
        <v>3280</v>
      </c>
      <c r="E179" s="6">
        <v>337</v>
      </c>
      <c r="F179" s="6">
        <v>4</v>
      </c>
      <c r="G179" s="15">
        <v>1</v>
      </c>
      <c r="H179" s="15"/>
      <c r="I179" s="15" t="s">
        <v>1505</v>
      </c>
      <c r="J179" s="15">
        <v>23656199</v>
      </c>
      <c r="K179" s="15" t="s">
        <v>225</v>
      </c>
      <c r="L179" s="15" t="s">
        <v>227</v>
      </c>
      <c r="M179" s="16">
        <v>329900</v>
      </c>
      <c r="N179" s="9">
        <v>0.95</v>
      </c>
      <c r="O179" s="8">
        <f t="shared" si="6"/>
        <v>16495</v>
      </c>
      <c r="P179" s="6" t="s">
        <v>15</v>
      </c>
    </row>
    <row r="180" spans="1:16" x14ac:dyDescent="0.25">
      <c r="A180" s="6" t="s">
        <v>3920</v>
      </c>
      <c r="B180" s="7">
        <f t="shared" si="7"/>
        <v>46114</v>
      </c>
      <c r="C180" s="7">
        <f t="shared" si="8"/>
        <v>46120</v>
      </c>
      <c r="D180" s="6">
        <v>3280</v>
      </c>
      <c r="E180" s="6">
        <v>337</v>
      </c>
      <c r="F180" s="6">
        <v>4</v>
      </c>
      <c r="G180" s="15">
        <v>1</v>
      </c>
      <c r="H180" s="15"/>
      <c r="I180" s="15" t="s">
        <v>1505</v>
      </c>
      <c r="J180" s="15">
        <v>23656206</v>
      </c>
      <c r="K180" s="15" t="s">
        <v>225</v>
      </c>
      <c r="L180" s="15" t="s">
        <v>228</v>
      </c>
      <c r="M180" s="16">
        <v>329900</v>
      </c>
      <c r="N180" s="9">
        <v>0.95</v>
      </c>
      <c r="O180" s="8">
        <f t="shared" si="6"/>
        <v>16495</v>
      </c>
      <c r="P180" s="6" t="s">
        <v>15</v>
      </c>
    </row>
    <row r="181" spans="1:16" x14ac:dyDescent="0.25">
      <c r="A181" s="6" t="s">
        <v>3920</v>
      </c>
      <c r="B181" s="7">
        <f t="shared" si="7"/>
        <v>46114</v>
      </c>
      <c r="C181" s="7">
        <f t="shared" si="8"/>
        <v>46120</v>
      </c>
      <c r="D181" s="6">
        <v>3280</v>
      </c>
      <c r="E181" s="6">
        <v>337</v>
      </c>
      <c r="F181" s="6">
        <v>4</v>
      </c>
      <c r="G181" s="15">
        <v>1</v>
      </c>
      <c r="H181" s="15"/>
      <c r="I181" s="15" t="s">
        <v>1505</v>
      </c>
      <c r="J181" s="15">
        <v>23656215</v>
      </c>
      <c r="K181" s="15" t="s">
        <v>225</v>
      </c>
      <c r="L181" s="15" t="s">
        <v>229</v>
      </c>
      <c r="M181" s="16">
        <v>329900</v>
      </c>
      <c r="N181" s="9">
        <v>0.95</v>
      </c>
      <c r="O181" s="8">
        <f t="shared" si="6"/>
        <v>16495</v>
      </c>
      <c r="P181" s="6" t="s">
        <v>15</v>
      </c>
    </row>
    <row r="182" spans="1:16" x14ac:dyDescent="0.25">
      <c r="A182" s="6" t="s">
        <v>3920</v>
      </c>
      <c r="B182" s="7">
        <f t="shared" si="7"/>
        <v>46114</v>
      </c>
      <c r="C182" s="7">
        <f t="shared" si="8"/>
        <v>46120</v>
      </c>
      <c r="D182" s="6">
        <v>3280</v>
      </c>
      <c r="E182" s="6">
        <v>337</v>
      </c>
      <c r="F182" s="6">
        <v>4</v>
      </c>
      <c r="G182" s="15">
        <v>1</v>
      </c>
      <c r="H182" s="15"/>
      <c r="I182" s="15" t="s">
        <v>1505</v>
      </c>
      <c r="J182" s="15">
        <v>23656699</v>
      </c>
      <c r="K182" s="15" t="s">
        <v>230</v>
      </c>
      <c r="L182" s="15" t="s">
        <v>231</v>
      </c>
      <c r="M182" s="16">
        <v>359900</v>
      </c>
      <c r="N182" s="9">
        <v>0.95</v>
      </c>
      <c r="O182" s="8">
        <f t="shared" si="6"/>
        <v>17995</v>
      </c>
      <c r="P182" s="6" t="s">
        <v>15</v>
      </c>
    </row>
    <row r="183" spans="1:16" x14ac:dyDescent="0.25">
      <c r="A183" s="6" t="s">
        <v>3920</v>
      </c>
      <c r="B183" s="7">
        <f t="shared" si="7"/>
        <v>46114</v>
      </c>
      <c r="C183" s="7">
        <f t="shared" si="8"/>
        <v>46120</v>
      </c>
      <c r="D183" s="6">
        <v>3280</v>
      </c>
      <c r="E183" s="6">
        <v>337</v>
      </c>
      <c r="F183" s="6">
        <v>4</v>
      </c>
      <c r="G183" s="15">
        <v>1</v>
      </c>
      <c r="H183" s="15"/>
      <c r="I183" s="15" t="s">
        <v>1505</v>
      </c>
      <c r="J183" s="15">
        <v>23656706</v>
      </c>
      <c r="K183" s="15" t="s">
        <v>230</v>
      </c>
      <c r="L183" s="15" t="s">
        <v>232</v>
      </c>
      <c r="M183" s="16">
        <v>359900</v>
      </c>
      <c r="N183" s="9">
        <v>0.95</v>
      </c>
      <c r="O183" s="8">
        <f t="shared" si="6"/>
        <v>17995</v>
      </c>
      <c r="P183" s="6" t="s">
        <v>15</v>
      </c>
    </row>
    <row r="184" spans="1:16" x14ac:dyDescent="0.25">
      <c r="A184" s="6" t="s">
        <v>3920</v>
      </c>
      <c r="B184" s="7">
        <f t="shared" si="7"/>
        <v>46114</v>
      </c>
      <c r="C184" s="7">
        <f t="shared" si="8"/>
        <v>46120</v>
      </c>
      <c r="D184" s="6">
        <v>3280</v>
      </c>
      <c r="E184" s="6">
        <v>337</v>
      </c>
      <c r="F184" s="6">
        <v>4</v>
      </c>
      <c r="G184" s="15">
        <v>1</v>
      </c>
      <c r="H184" s="15"/>
      <c r="I184" s="15" t="s">
        <v>1505</v>
      </c>
      <c r="J184" s="15">
        <v>23657367</v>
      </c>
      <c r="K184" s="15" t="s">
        <v>233</v>
      </c>
      <c r="L184" s="15" t="s">
        <v>234</v>
      </c>
      <c r="M184" s="16">
        <v>359900</v>
      </c>
      <c r="N184" s="9">
        <v>0.95</v>
      </c>
      <c r="O184" s="8">
        <f t="shared" si="6"/>
        <v>17995</v>
      </c>
      <c r="P184" s="6" t="s">
        <v>15</v>
      </c>
    </row>
    <row r="185" spans="1:16" x14ac:dyDescent="0.25">
      <c r="A185" s="6" t="s">
        <v>3920</v>
      </c>
      <c r="B185" s="7">
        <f t="shared" si="7"/>
        <v>46114</v>
      </c>
      <c r="C185" s="7">
        <f t="shared" si="8"/>
        <v>46120</v>
      </c>
      <c r="D185" s="6">
        <v>3280</v>
      </c>
      <c r="E185" s="6">
        <v>337</v>
      </c>
      <c r="F185" s="6">
        <v>4</v>
      </c>
      <c r="G185" s="15">
        <v>1</v>
      </c>
      <c r="H185" s="15"/>
      <c r="I185" s="15" t="s">
        <v>1505</v>
      </c>
      <c r="J185" s="15">
        <v>23657376</v>
      </c>
      <c r="K185" s="15" t="s">
        <v>233</v>
      </c>
      <c r="L185" s="15" t="s">
        <v>235</v>
      </c>
      <c r="M185" s="16">
        <v>359900</v>
      </c>
      <c r="N185" s="9">
        <v>0.95</v>
      </c>
      <c r="O185" s="8">
        <f t="shared" si="6"/>
        <v>17995</v>
      </c>
      <c r="P185" s="6" t="s">
        <v>15</v>
      </c>
    </row>
    <row r="186" spans="1:16" x14ac:dyDescent="0.25">
      <c r="A186" s="6" t="s">
        <v>3920</v>
      </c>
      <c r="B186" s="7">
        <f t="shared" si="7"/>
        <v>46114</v>
      </c>
      <c r="C186" s="7">
        <f t="shared" si="8"/>
        <v>46120</v>
      </c>
      <c r="D186" s="6">
        <v>3280</v>
      </c>
      <c r="E186" s="6">
        <v>337</v>
      </c>
      <c r="F186" s="6">
        <v>4</v>
      </c>
      <c r="G186" s="15">
        <v>1</v>
      </c>
      <c r="H186" s="15"/>
      <c r="I186" s="15" t="s">
        <v>1505</v>
      </c>
      <c r="J186" s="15">
        <v>23657385</v>
      </c>
      <c r="K186" s="15" t="s">
        <v>233</v>
      </c>
      <c r="L186" s="15" t="s">
        <v>236</v>
      </c>
      <c r="M186" s="16">
        <v>359900</v>
      </c>
      <c r="N186" s="9">
        <v>0.95</v>
      </c>
      <c r="O186" s="8">
        <f t="shared" si="6"/>
        <v>17995</v>
      </c>
      <c r="P186" s="6" t="s">
        <v>15</v>
      </c>
    </row>
    <row r="187" spans="1:16" x14ac:dyDescent="0.25">
      <c r="A187" s="6" t="s">
        <v>3920</v>
      </c>
      <c r="B187" s="7">
        <f t="shared" si="7"/>
        <v>46114</v>
      </c>
      <c r="C187" s="7">
        <f t="shared" si="8"/>
        <v>46120</v>
      </c>
      <c r="D187" s="6">
        <v>3280</v>
      </c>
      <c r="E187" s="6">
        <v>337</v>
      </c>
      <c r="F187" s="6">
        <v>4</v>
      </c>
      <c r="G187" s="15">
        <v>1</v>
      </c>
      <c r="H187" s="15"/>
      <c r="I187" s="15" t="s">
        <v>1505</v>
      </c>
      <c r="J187" s="15">
        <v>23657394</v>
      </c>
      <c r="K187" s="15" t="s">
        <v>233</v>
      </c>
      <c r="L187" s="15" t="s">
        <v>237</v>
      </c>
      <c r="M187" s="16">
        <v>359900</v>
      </c>
      <c r="N187" s="9">
        <v>0.95</v>
      </c>
      <c r="O187" s="8">
        <f t="shared" si="6"/>
        <v>17995</v>
      </c>
      <c r="P187" s="6" t="s">
        <v>15</v>
      </c>
    </row>
    <row r="188" spans="1:16" x14ac:dyDescent="0.25">
      <c r="A188" s="6" t="s">
        <v>3920</v>
      </c>
      <c r="B188" s="7">
        <f t="shared" si="7"/>
        <v>46114</v>
      </c>
      <c r="C188" s="7">
        <f t="shared" si="8"/>
        <v>46120</v>
      </c>
      <c r="D188" s="6">
        <v>3280</v>
      </c>
      <c r="E188" s="6">
        <v>337</v>
      </c>
      <c r="F188" s="6">
        <v>4</v>
      </c>
      <c r="G188" s="15">
        <v>1</v>
      </c>
      <c r="H188" s="15"/>
      <c r="I188" s="15" t="s">
        <v>1505</v>
      </c>
      <c r="J188" s="15">
        <v>23657723</v>
      </c>
      <c r="K188" s="15" t="s">
        <v>238</v>
      </c>
      <c r="L188" s="15" t="s">
        <v>239</v>
      </c>
      <c r="M188" s="16">
        <v>359900</v>
      </c>
      <c r="N188" s="9">
        <v>0.95</v>
      </c>
      <c r="O188" s="8">
        <f t="shared" si="6"/>
        <v>17995</v>
      </c>
      <c r="P188" s="6" t="s">
        <v>15</v>
      </c>
    </row>
    <row r="189" spans="1:16" x14ac:dyDescent="0.25">
      <c r="A189" s="6" t="s">
        <v>3920</v>
      </c>
      <c r="B189" s="7">
        <f t="shared" si="7"/>
        <v>46114</v>
      </c>
      <c r="C189" s="7">
        <f t="shared" si="8"/>
        <v>46120</v>
      </c>
      <c r="D189" s="6">
        <v>3280</v>
      </c>
      <c r="E189" s="6">
        <v>337</v>
      </c>
      <c r="F189" s="6">
        <v>4</v>
      </c>
      <c r="G189" s="15">
        <v>1</v>
      </c>
      <c r="H189" s="15"/>
      <c r="I189" s="15" t="s">
        <v>1505</v>
      </c>
      <c r="J189" s="15">
        <v>23657732</v>
      </c>
      <c r="K189" s="15" t="s">
        <v>238</v>
      </c>
      <c r="L189" s="15" t="s">
        <v>240</v>
      </c>
      <c r="M189" s="16">
        <v>359900</v>
      </c>
      <c r="N189" s="9">
        <v>0.95</v>
      </c>
      <c r="O189" s="8">
        <f t="shared" si="6"/>
        <v>17995</v>
      </c>
      <c r="P189" s="6" t="s">
        <v>15</v>
      </c>
    </row>
    <row r="190" spans="1:16" x14ac:dyDescent="0.25">
      <c r="A190" s="6" t="s">
        <v>3920</v>
      </c>
      <c r="B190" s="7">
        <f t="shared" si="7"/>
        <v>46114</v>
      </c>
      <c r="C190" s="7">
        <f t="shared" si="8"/>
        <v>46120</v>
      </c>
      <c r="D190" s="6">
        <v>3280</v>
      </c>
      <c r="E190" s="6">
        <v>337</v>
      </c>
      <c r="F190" s="6">
        <v>4</v>
      </c>
      <c r="G190" s="15">
        <v>1</v>
      </c>
      <c r="H190" s="15"/>
      <c r="I190" s="15" t="s">
        <v>1505</v>
      </c>
      <c r="J190" s="15">
        <v>23657741</v>
      </c>
      <c r="K190" s="15" t="s">
        <v>238</v>
      </c>
      <c r="L190" s="15" t="s">
        <v>241</v>
      </c>
      <c r="M190" s="16">
        <v>359900</v>
      </c>
      <c r="N190" s="9">
        <v>0.95</v>
      </c>
      <c r="O190" s="8">
        <f t="shared" si="6"/>
        <v>17995</v>
      </c>
      <c r="P190" s="6" t="s">
        <v>15</v>
      </c>
    </row>
    <row r="191" spans="1:16" x14ac:dyDescent="0.25">
      <c r="A191" s="6" t="s">
        <v>3920</v>
      </c>
      <c r="B191" s="7">
        <f t="shared" si="7"/>
        <v>46114</v>
      </c>
      <c r="C191" s="7">
        <f t="shared" si="8"/>
        <v>46120</v>
      </c>
      <c r="D191" s="6">
        <v>3280</v>
      </c>
      <c r="E191" s="6">
        <v>337</v>
      </c>
      <c r="F191" s="6">
        <v>4</v>
      </c>
      <c r="G191" s="15">
        <v>1</v>
      </c>
      <c r="H191" s="15"/>
      <c r="I191" s="15" t="s">
        <v>1505</v>
      </c>
      <c r="J191" s="15">
        <v>23658053</v>
      </c>
      <c r="K191" s="15" t="s">
        <v>242</v>
      </c>
      <c r="L191" s="15" t="s">
        <v>243</v>
      </c>
      <c r="M191" s="16">
        <v>299900</v>
      </c>
      <c r="N191" s="9">
        <v>0.95</v>
      </c>
      <c r="O191" s="8">
        <f t="shared" si="6"/>
        <v>14995</v>
      </c>
      <c r="P191" s="6" t="s">
        <v>15</v>
      </c>
    </row>
    <row r="192" spans="1:16" x14ac:dyDescent="0.25">
      <c r="A192" s="6" t="s">
        <v>3920</v>
      </c>
      <c r="B192" s="7">
        <f t="shared" si="7"/>
        <v>46114</v>
      </c>
      <c r="C192" s="7">
        <f t="shared" si="8"/>
        <v>46120</v>
      </c>
      <c r="D192" s="6">
        <v>3280</v>
      </c>
      <c r="E192" s="6">
        <v>337</v>
      </c>
      <c r="F192" s="6">
        <v>4</v>
      </c>
      <c r="G192" s="15">
        <v>1</v>
      </c>
      <c r="H192" s="15"/>
      <c r="I192" s="15" t="s">
        <v>1505</v>
      </c>
      <c r="J192" s="15">
        <v>23658062</v>
      </c>
      <c r="K192" s="15" t="s">
        <v>242</v>
      </c>
      <c r="L192" s="15" t="s">
        <v>244</v>
      </c>
      <c r="M192" s="16">
        <v>299900</v>
      </c>
      <c r="N192" s="9">
        <v>0.95</v>
      </c>
      <c r="O192" s="8">
        <f t="shared" si="6"/>
        <v>14995</v>
      </c>
      <c r="P192" s="6" t="s">
        <v>15</v>
      </c>
    </row>
    <row r="193" spans="1:16" x14ac:dyDescent="0.25">
      <c r="A193" s="6" t="s">
        <v>3920</v>
      </c>
      <c r="B193" s="7">
        <f t="shared" si="7"/>
        <v>46114</v>
      </c>
      <c r="C193" s="7">
        <f t="shared" si="8"/>
        <v>46120</v>
      </c>
      <c r="D193" s="6">
        <v>3280</v>
      </c>
      <c r="E193" s="6">
        <v>337</v>
      </c>
      <c r="F193" s="6">
        <v>4</v>
      </c>
      <c r="G193" s="15">
        <v>1</v>
      </c>
      <c r="H193" s="15"/>
      <c r="I193" s="15" t="s">
        <v>1505</v>
      </c>
      <c r="J193" s="15">
        <v>23658071</v>
      </c>
      <c r="K193" s="15" t="s">
        <v>242</v>
      </c>
      <c r="L193" s="15" t="s">
        <v>245</v>
      </c>
      <c r="M193" s="16">
        <v>299900</v>
      </c>
      <c r="N193" s="9">
        <v>0.95</v>
      </c>
      <c r="O193" s="8">
        <f t="shared" si="6"/>
        <v>14995</v>
      </c>
      <c r="P193" s="6" t="s">
        <v>15</v>
      </c>
    </row>
    <row r="194" spans="1:16" x14ac:dyDescent="0.25">
      <c r="A194" s="6" t="s">
        <v>3920</v>
      </c>
      <c r="B194" s="7">
        <f t="shared" si="7"/>
        <v>46114</v>
      </c>
      <c r="C194" s="7">
        <f t="shared" si="8"/>
        <v>46120</v>
      </c>
      <c r="D194" s="6">
        <v>3280</v>
      </c>
      <c r="E194" s="6">
        <v>337</v>
      </c>
      <c r="F194" s="6">
        <v>4</v>
      </c>
      <c r="G194" s="15">
        <v>1</v>
      </c>
      <c r="H194" s="15"/>
      <c r="I194" s="15" t="s">
        <v>1505</v>
      </c>
      <c r="J194" s="15">
        <v>23658366</v>
      </c>
      <c r="K194" s="15" t="s">
        <v>246</v>
      </c>
      <c r="L194" s="15" t="s">
        <v>247</v>
      </c>
      <c r="M194" s="16">
        <v>299900</v>
      </c>
      <c r="N194" s="9">
        <v>0.95</v>
      </c>
      <c r="O194" s="8">
        <f t="shared" ref="O194:O257" si="9">M194-((95*M194)/100)</f>
        <v>14995</v>
      </c>
      <c r="P194" s="6" t="s">
        <v>15</v>
      </c>
    </row>
    <row r="195" spans="1:16" x14ac:dyDescent="0.25">
      <c r="A195" s="6" t="s">
        <v>3920</v>
      </c>
      <c r="B195" s="7">
        <f t="shared" si="7"/>
        <v>46114</v>
      </c>
      <c r="C195" s="7">
        <f t="shared" si="8"/>
        <v>46120</v>
      </c>
      <c r="D195" s="6">
        <v>3280</v>
      </c>
      <c r="E195" s="6">
        <v>337</v>
      </c>
      <c r="F195" s="6">
        <v>4</v>
      </c>
      <c r="G195" s="15">
        <v>1</v>
      </c>
      <c r="H195" s="15"/>
      <c r="I195" s="15" t="s">
        <v>1505</v>
      </c>
      <c r="J195" s="15">
        <v>23658375</v>
      </c>
      <c r="K195" s="15" t="s">
        <v>246</v>
      </c>
      <c r="L195" s="15" t="s">
        <v>248</v>
      </c>
      <c r="M195" s="16">
        <v>299900</v>
      </c>
      <c r="N195" s="9">
        <v>0.95</v>
      </c>
      <c r="O195" s="8">
        <f t="shared" si="9"/>
        <v>14995</v>
      </c>
      <c r="P195" s="6" t="s">
        <v>15</v>
      </c>
    </row>
    <row r="196" spans="1:16" x14ac:dyDescent="0.25">
      <c r="A196" s="6" t="s">
        <v>3920</v>
      </c>
      <c r="B196" s="7">
        <f t="shared" ref="B196:B259" si="10">B195</f>
        <v>46114</v>
      </c>
      <c r="C196" s="7">
        <f t="shared" ref="C196:C259" si="11">C195</f>
        <v>46120</v>
      </c>
      <c r="D196" s="6">
        <v>3280</v>
      </c>
      <c r="E196" s="6">
        <v>337</v>
      </c>
      <c r="F196" s="6">
        <v>4</v>
      </c>
      <c r="G196" s="15">
        <v>1</v>
      </c>
      <c r="H196" s="15"/>
      <c r="I196" s="15" t="s">
        <v>1505</v>
      </c>
      <c r="J196" s="15">
        <v>23658384</v>
      </c>
      <c r="K196" s="15" t="s">
        <v>246</v>
      </c>
      <c r="L196" s="15" t="s">
        <v>249</v>
      </c>
      <c r="M196" s="16">
        <v>299900</v>
      </c>
      <c r="N196" s="9">
        <v>0.95</v>
      </c>
      <c r="O196" s="8">
        <f t="shared" si="9"/>
        <v>14995</v>
      </c>
      <c r="P196" s="6" t="s">
        <v>15</v>
      </c>
    </row>
    <row r="197" spans="1:16" x14ac:dyDescent="0.25">
      <c r="A197" s="6" t="s">
        <v>3920</v>
      </c>
      <c r="B197" s="7">
        <f t="shared" si="10"/>
        <v>46114</v>
      </c>
      <c r="C197" s="7">
        <f t="shared" si="11"/>
        <v>46120</v>
      </c>
      <c r="D197" s="6">
        <v>3280</v>
      </c>
      <c r="E197" s="6">
        <v>337</v>
      </c>
      <c r="F197" s="6">
        <v>4</v>
      </c>
      <c r="G197" s="15">
        <v>1</v>
      </c>
      <c r="H197" s="15"/>
      <c r="I197" s="15" t="s">
        <v>1505</v>
      </c>
      <c r="J197" s="15">
        <v>23658393</v>
      </c>
      <c r="K197" s="15" t="s">
        <v>246</v>
      </c>
      <c r="L197" s="15" t="s">
        <v>250</v>
      </c>
      <c r="M197" s="16">
        <v>299900</v>
      </c>
      <c r="N197" s="9">
        <v>0.95</v>
      </c>
      <c r="O197" s="8">
        <f t="shared" si="9"/>
        <v>14995</v>
      </c>
      <c r="P197" s="6" t="s">
        <v>15</v>
      </c>
    </row>
    <row r="198" spans="1:16" x14ac:dyDescent="0.25">
      <c r="A198" s="6" t="s">
        <v>3920</v>
      </c>
      <c r="B198" s="7">
        <f t="shared" si="10"/>
        <v>46114</v>
      </c>
      <c r="C198" s="7">
        <f t="shared" si="11"/>
        <v>46120</v>
      </c>
      <c r="D198" s="6">
        <v>3280</v>
      </c>
      <c r="E198" s="6">
        <v>337</v>
      </c>
      <c r="F198" s="6">
        <v>4</v>
      </c>
      <c r="G198" s="15">
        <v>1</v>
      </c>
      <c r="H198" s="15"/>
      <c r="I198" s="15" t="s">
        <v>1505</v>
      </c>
      <c r="J198" s="15">
        <v>23658526</v>
      </c>
      <c r="K198" s="15" t="s">
        <v>251</v>
      </c>
      <c r="L198" s="15" t="s">
        <v>252</v>
      </c>
      <c r="M198" s="16">
        <v>329900</v>
      </c>
      <c r="N198" s="9">
        <v>0.95</v>
      </c>
      <c r="O198" s="8">
        <f t="shared" si="9"/>
        <v>16495</v>
      </c>
      <c r="P198" s="6" t="s">
        <v>15</v>
      </c>
    </row>
    <row r="199" spans="1:16" x14ac:dyDescent="0.25">
      <c r="A199" s="6" t="s">
        <v>3920</v>
      </c>
      <c r="B199" s="7">
        <f t="shared" si="10"/>
        <v>46114</v>
      </c>
      <c r="C199" s="7">
        <f t="shared" si="11"/>
        <v>46120</v>
      </c>
      <c r="D199" s="6">
        <v>3280</v>
      </c>
      <c r="E199" s="6">
        <v>337</v>
      </c>
      <c r="F199" s="6">
        <v>4</v>
      </c>
      <c r="G199" s="15">
        <v>1</v>
      </c>
      <c r="H199" s="15"/>
      <c r="I199" s="15" t="s">
        <v>1505</v>
      </c>
      <c r="J199" s="15">
        <v>23658535</v>
      </c>
      <c r="K199" s="15" t="s">
        <v>251</v>
      </c>
      <c r="L199" s="15" t="s">
        <v>253</v>
      </c>
      <c r="M199" s="16">
        <v>329900</v>
      </c>
      <c r="N199" s="9">
        <v>0.95</v>
      </c>
      <c r="O199" s="8">
        <f t="shared" si="9"/>
        <v>16495</v>
      </c>
      <c r="P199" s="6" t="s">
        <v>15</v>
      </c>
    </row>
    <row r="200" spans="1:16" x14ac:dyDescent="0.25">
      <c r="A200" s="6" t="s">
        <v>3920</v>
      </c>
      <c r="B200" s="7">
        <f t="shared" si="10"/>
        <v>46114</v>
      </c>
      <c r="C200" s="7">
        <f t="shared" si="11"/>
        <v>46120</v>
      </c>
      <c r="D200" s="6">
        <v>3280</v>
      </c>
      <c r="E200" s="6">
        <v>337</v>
      </c>
      <c r="F200" s="6">
        <v>4</v>
      </c>
      <c r="G200" s="15">
        <v>1</v>
      </c>
      <c r="H200" s="15"/>
      <c r="I200" s="15" t="s">
        <v>1505</v>
      </c>
      <c r="J200" s="15">
        <v>23658544</v>
      </c>
      <c r="K200" s="15" t="s">
        <v>251</v>
      </c>
      <c r="L200" s="15" t="s">
        <v>254</v>
      </c>
      <c r="M200" s="16">
        <v>329900</v>
      </c>
      <c r="N200" s="9">
        <v>0.95</v>
      </c>
      <c r="O200" s="8">
        <f t="shared" si="9"/>
        <v>16495</v>
      </c>
      <c r="P200" s="6" t="s">
        <v>15</v>
      </c>
    </row>
    <row r="201" spans="1:16" x14ac:dyDescent="0.25">
      <c r="A201" s="6" t="s">
        <v>3920</v>
      </c>
      <c r="B201" s="7">
        <f t="shared" si="10"/>
        <v>46114</v>
      </c>
      <c r="C201" s="7">
        <f t="shared" si="11"/>
        <v>46120</v>
      </c>
      <c r="D201" s="6">
        <v>3280</v>
      </c>
      <c r="E201" s="6">
        <v>337</v>
      </c>
      <c r="F201" s="6">
        <v>4</v>
      </c>
      <c r="G201" s="15">
        <v>1</v>
      </c>
      <c r="H201" s="15"/>
      <c r="I201" s="15" t="s">
        <v>1505</v>
      </c>
      <c r="J201" s="15">
        <v>23658553</v>
      </c>
      <c r="K201" s="15" t="s">
        <v>251</v>
      </c>
      <c r="L201" s="15" t="s">
        <v>255</v>
      </c>
      <c r="M201" s="16">
        <v>329900</v>
      </c>
      <c r="N201" s="9">
        <v>0.95</v>
      </c>
      <c r="O201" s="8">
        <f t="shared" si="9"/>
        <v>16495</v>
      </c>
      <c r="P201" s="6" t="s">
        <v>15</v>
      </c>
    </row>
    <row r="202" spans="1:16" x14ac:dyDescent="0.25">
      <c r="A202" s="6" t="s">
        <v>3920</v>
      </c>
      <c r="B202" s="7">
        <f t="shared" si="10"/>
        <v>46114</v>
      </c>
      <c r="C202" s="7">
        <f t="shared" si="11"/>
        <v>46120</v>
      </c>
      <c r="D202" s="6">
        <v>3280</v>
      </c>
      <c r="E202" s="6">
        <v>337</v>
      </c>
      <c r="F202" s="6">
        <v>4</v>
      </c>
      <c r="G202" s="15">
        <v>1</v>
      </c>
      <c r="H202" s="15"/>
      <c r="I202" s="15" t="s">
        <v>1505</v>
      </c>
      <c r="J202" s="15">
        <v>23658606</v>
      </c>
      <c r="K202" s="15" t="s">
        <v>256</v>
      </c>
      <c r="L202" s="15" t="s">
        <v>257</v>
      </c>
      <c r="M202" s="16">
        <v>299900</v>
      </c>
      <c r="N202" s="9">
        <v>0.95</v>
      </c>
      <c r="O202" s="8">
        <f t="shared" si="9"/>
        <v>14995</v>
      </c>
      <c r="P202" s="6" t="s">
        <v>15</v>
      </c>
    </row>
    <row r="203" spans="1:16" x14ac:dyDescent="0.25">
      <c r="A203" s="6" t="s">
        <v>3920</v>
      </c>
      <c r="B203" s="7">
        <f t="shared" si="10"/>
        <v>46114</v>
      </c>
      <c r="C203" s="7">
        <f t="shared" si="11"/>
        <v>46120</v>
      </c>
      <c r="D203" s="6">
        <v>3280</v>
      </c>
      <c r="E203" s="6">
        <v>337</v>
      </c>
      <c r="F203" s="6">
        <v>4</v>
      </c>
      <c r="G203" s="15">
        <v>1</v>
      </c>
      <c r="H203" s="15"/>
      <c r="I203" s="15" t="s">
        <v>1505</v>
      </c>
      <c r="J203" s="15">
        <v>23658615</v>
      </c>
      <c r="K203" s="15" t="s">
        <v>256</v>
      </c>
      <c r="L203" s="15" t="s">
        <v>258</v>
      </c>
      <c r="M203" s="16">
        <v>299900</v>
      </c>
      <c r="N203" s="9">
        <v>0.95</v>
      </c>
      <c r="O203" s="8">
        <f t="shared" si="9"/>
        <v>14995</v>
      </c>
      <c r="P203" s="6" t="s">
        <v>15</v>
      </c>
    </row>
    <row r="204" spans="1:16" x14ac:dyDescent="0.25">
      <c r="A204" s="6" t="s">
        <v>3920</v>
      </c>
      <c r="B204" s="7">
        <f t="shared" si="10"/>
        <v>46114</v>
      </c>
      <c r="C204" s="7">
        <f t="shared" si="11"/>
        <v>46120</v>
      </c>
      <c r="D204" s="6">
        <v>3280</v>
      </c>
      <c r="E204" s="6">
        <v>337</v>
      </c>
      <c r="F204" s="6">
        <v>4</v>
      </c>
      <c r="G204" s="15">
        <v>1</v>
      </c>
      <c r="H204" s="15"/>
      <c r="I204" s="15" t="s">
        <v>1505</v>
      </c>
      <c r="J204" s="15">
        <v>23658624</v>
      </c>
      <c r="K204" s="15" t="s">
        <v>256</v>
      </c>
      <c r="L204" s="15" t="s">
        <v>259</v>
      </c>
      <c r="M204" s="16">
        <v>299900</v>
      </c>
      <c r="N204" s="9">
        <v>0.95</v>
      </c>
      <c r="O204" s="8">
        <f t="shared" si="9"/>
        <v>14995</v>
      </c>
      <c r="P204" s="6" t="s">
        <v>15</v>
      </c>
    </row>
    <row r="205" spans="1:16" x14ac:dyDescent="0.25">
      <c r="A205" s="6" t="s">
        <v>3920</v>
      </c>
      <c r="B205" s="7">
        <f t="shared" si="10"/>
        <v>46114</v>
      </c>
      <c r="C205" s="7">
        <f t="shared" si="11"/>
        <v>46120</v>
      </c>
      <c r="D205" s="6">
        <v>3280</v>
      </c>
      <c r="E205" s="6">
        <v>337</v>
      </c>
      <c r="F205" s="6">
        <v>4</v>
      </c>
      <c r="G205" s="15">
        <v>1</v>
      </c>
      <c r="H205" s="15"/>
      <c r="I205" s="15" t="s">
        <v>1505</v>
      </c>
      <c r="J205" s="15">
        <v>23658633</v>
      </c>
      <c r="K205" s="15" t="s">
        <v>256</v>
      </c>
      <c r="L205" s="15" t="s">
        <v>260</v>
      </c>
      <c r="M205" s="16">
        <v>299900</v>
      </c>
      <c r="N205" s="9">
        <v>0.95</v>
      </c>
      <c r="O205" s="8">
        <f t="shared" si="9"/>
        <v>14995</v>
      </c>
      <c r="P205" s="6" t="s">
        <v>15</v>
      </c>
    </row>
    <row r="206" spans="1:16" x14ac:dyDescent="0.25">
      <c r="A206" s="6" t="s">
        <v>3920</v>
      </c>
      <c r="B206" s="7">
        <f t="shared" si="10"/>
        <v>46114</v>
      </c>
      <c r="C206" s="7">
        <f t="shared" si="11"/>
        <v>46120</v>
      </c>
      <c r="D206" s="6">
        <v>3280</v>
      </c>
      <c r="E206" s="6">
        <v>337</v>
      </c>
      <c r="F206" s="6">
        <v>4</v>
      </c>
      <c r="G206" s="15">
        <v>1</v>
      </c>
      <c r="H206" s="15"/>
      <c r="I206" s="15" t="s">
        <v>1505</v>
      </c>
      <c r="J206" s="15">
        <v>23659061</v>
      </c>
      <c r="K206" s="15" t="s">
        <v>261</v>
      </c>
      <c r="L206" s="15" t="s">
        <v>262</v>
      </c>
      <c r="M206" s="16">
        <v>329900</v>
      </c>
      <c r="N206" s="9">
        <v>0.95</v>
      </c>
      <c r="O206" s="8">
        <f t="shared" si="9"/>
        <v>16495</v>
      </c>
      <c r="P206" s="6" t="s">
        <v>15</v>
      </c>
    </row>
    <row r="207" spans="1:16" x14ac:dyDescent="0.25">
      <c r="A207" s="6" t="s">
        <v>3920</v>
      </c>
      <c r="B207" s="7">
        <f t="shared" si="10"/>
        <v>46114</v>
      </c>
      <c r="C207" s="7">
        <f t="shared" si="11"/>
        <v>46120</v>
      </c>
      <c r="D207" s="6">
        <v>3280</v>
      </c>
      <c r="E207" s="6">
        <v>337</v>
      </c>
      <c r="F207" s="6">
        <v>4</v>
      </c>
      <c r="G207" s="15">
        <v>1</v>
      </c>
      <c r="H207" s="15"/>
      <c r="I207" s="15" t="s">
        <v>1505</v>
      </c>
      <c r="J207" s="15">
        <v>23659070</v>
      </c>
      <c r="K207" s="15" t="s">
        <v>261</v>
      </c>
      <c r="L207" s="15" t="s">
        <v>263</v>
      </c>
      <c r="M207" s="16">
        <v>329900</v>
      </c>
      <c r="N207" s="9">
        <v>0.95</v>
      </c>
      <c r="O207" s="8">
        <f t="shared" si="9"/>
        <v>16495</v>
      </c>
      <c r="P207" s="6" t="s">
        <v>15</v>
      </c>
    </row>
    <row r="208" spans="1:16" x14ac:dyDescent="0.25">
      <c r="A208" s="6" t="s">
        <v>3920</v>
      </c>
      <c r="B208" s="7">
        <f t="shared" si="10"/>
        <v>46114</v>
      </c>
      <c r="C208" s="7">
        <f t="shared" si="11"/>
        <v>46120</v>
      </c>
      <c r="D208" s="6">
        <v>3280</v>
      </c>
      <c r="E208" s="6">
        <v>337</v>
      </c>
      <c r="F208" s="6">
        <v>4</v>
      </c>
      <c r="G208" s="15">
        <v>1</v>
      </c>
      <c r="H208" s="15"/>
      <c r="I208" s="15" t="s">
        <v>1505</v>
      </c>
      <c r="J208" s="15">
        <v>23659141</v>
      </c>
      <c r="K208" s="15" t="s">
        <v>264</v>
      </c>
      <c r="L208" s="15" t="s">
        <v>265</v>
      </c>
      <c r="M208" s="16">
        <v>359900</v>
      </c>
      <c r="N208" s="9">
        <v>0.95</v>
      </c>
      <c r="O208" s="8">
        <f t="shared" si="9"/>
        <v>17995</v>
      </c>
      <c r="P208" s="6" t="s">
        <v>15</v>
      </c>
    </row>
    <row r="209" spans="1:16" x14ac:dyDescent="0.25">
      <c r="A209" s="6" t="s">
        <v>3920</v>
      </c>
      <c r="B209" s="7">
        <f t="shared" si="10"/>
        <v>46114</v>
      </c>
      <c r="C209" s="7">
        <f t="shared" si="11"/>
        <v>46120</v>
      </c>
      <c r="D209" s="6">
        <v>3280</v>
      </c>
      <c r="E209" s="6">
        <v>337</v>
      </c>
      <c r="F209" s="6">
        <v>4</v>
      </c>
      <c r="G209" s="15">
        <v>1</v>
      </c>
      <c r="H209" s="15"/>
      <c r="I209" s="15" t="s">
        <v>1505</v>
      </c>
      <c r="J209" s="15">
        <v>23659150</v>
      </c>
      <c r="K209" s="15" t="s">
        <v>264</v>
      </c>
      <c r="L209" s="15" t="s">
        <v>266</v>
      </c>
      <c r="M209" s="16">
        <v>359900</v>
      </c>
      <c r="N209" s="9">
        <v>0.95</v>
      </c>
      <c r="O209" s="8">
        <f t="shared" si="9"/>
        <v>17995</v>
      </c>
      <c r="P209" s="6" t="s">
        <v>15</v>
      </c>
    </row>
    <row r="210" spans="1:16" x14ac:dyDescent="0.25">
      <c r="A210" s="6" t="s">
        <v>3920</v>
      </c>
      <c r="B210" s="7">
        <f t="shared" si="10"/>
        <v>46114</v>
      </c>
      <c r="C210" s="7">
        <f t="shared" si="11"/>
        <v>46120</v>
      </c>
      <c r="D210" s="6">
        <v>3280</v>
      </c>
      <c r="E210" s="6">
        <v>337</v>
      </c>
      <c r="F210" s="6">
        <v>4</v>
      </c>
      <c r="G210" s="15">
        <v>1</v>
      </c>
      <c r="H210" s="15"/>
      <c r="I210" s="15" t="s">
        <v>1505</v>
      </c>
      <c r="J210" s="15">
        <v>23676462</v>
      </c>
      <c r="K210" s="15" t="s">
        <v>267</v>
      </c>
      <c r="L210" s="15" t="s">
        <v>268</v>
      </c>
      <c r="M210" s="16">
        <v>259900</v>
      </c>
      <c r="N210" s="9">
        <v>0.95</v>
      </c>
      <c r="O210" s="8">
        <f t="shared" si="9"/>
        <v>12995</v>
      </c>
      <c r="P210" s="6" t="s">
        <v>15</v>
      </c>
    </row>
    <row r="211" spans="1:16" x14ac:dyDescent="0.25">
      <c r="A211" s="6" t="s">
        <v>3920</v>
      </c>
      <c r="B211" s="7">
        <f t="shared" si="10"/>
        <v>46114</v>
      </c>
      <c r="C211" s="7">
        <f t="shared" si="11"/>
        <v>46120</v>
      </c>
      <c r="D211" s="6">
        <v>3280</v>
      </c>
      <c r="E211" s="6">
        <v>337</v>
      </c>
      <c r="F211" s="6">
        <v>4</v>
      </c>
      <c r="G211" s="15">
        <v>1</v>
      </c>
      <c r="H211" s="15"/>
      <c r="I211" s="15" t="s">
        <v>1505</v>
      </c>
      <c r="J211" s="15">
        <v>23676471</v>
      </c>
      <c r="K211" s="15" t="s">
        <v>267</v>
      </c>
      <c r="L211" s="15" t="s">
        <v>269</v>
      </c>
      <c r="M211" s="16">
        <v>259900</v>
      </c>
      <c r="N211" s="9">
        <v>0.95</v>
      </c>
      <c r="O211" s="8">
        <f t="shared" si="9"/>
        <v>12995</v>
      </c>
      <c r="P211" s="6" t="s">
        <v>15</v>
      </c>
    </row>
    <row r="212" spans="1:16" x14ac:dyDescent="0.25">
      <c r="A212" s="6" t="s">
        <v>3920</v>
      </c>
      <c r="B212" s="7">
        <f t="shared" si="10"/>
        <v>46114</v>
      </c>
      <c r="C212" s="7">
        <f t="shared" si="11"/>
        <v>46120</v>
      </c>
      <c r="D212" s="6">
        <v>3280</v>
      </c>
      <c r="E212" s="6">
        <v>337</v>
      </c>
      <c r="F212" s="6">
        <v>4</v>
      </c>
      <c r="G212" s="15">
        <v>1</v>
      </c>
      <c r="H212" s="15"/>
      <c r="I212" s="15" t="s">
        <v>1505</v>
      </c>
      <c r="J212" s="15">
        <v>23676480</v>
      </c>
      <c r="K212" s="15" t="s">
        <v>267</v>
      </c>
      <c r="L212" s="15" t="s">
        <v>270</v>
      </c>
      <c r="M212" s="16">
        <v>259900</v>
      </c>
      <c r="N212" s="9">
        <v>0.95</v>
      </c>
      <c r="O212" s="8">
        <f t="shared" si="9"/>
        <v>12995</v>
      </c>
      <c r="P212" s="6" t="s">
        <v>15</v>
      </c>
    </row>
    <row r="213" spans="1:16" x14ac:dyDescent="0.25">
      <c r="A213" s="6" t="s">
        <v>3920</v>
      </c>
      <c r="B213" s="7">
        <f t="shared" si="10"/>
        <v>46114</v>
      </c>
      <c r="C213" s="7">
        <f t="shared" si="11"/>
        <v>46120</v>
      </c>
      <c r="D213" s="6">
        <v>3280</v>
      </c>
      <c r="E213" s="6">
        <v>337</v>
      </c>
      <c r="F213" s="6">
        <v>4</v>
      </c>
      <c r="G213" s="15">
        <v>1</v>
      </c>
      <c r="H213" s="15"/>
      <c r="I213" s="15" t="s">
        <v>1505</v>
      </c>
      <c r="J213" s="15">
        <v>23676499</v>
      </c>
      <c r="K213" s="15" t="s">
        <v>267</v>
      </c>
      <c r="L213" s="15" t="s">
        <v>271</v>
      </c>
      <c r="M213" s="16">
        <v>259900</v>
      </c>
      <c r="N213" s="9">
        <v>0.95</v>
      </c>
      <c r="O213" s="8">
        <f t="shared" si="9"/>
        <v>12995</v>
      </c>
      <c r="P213" s="6" t="s">
        <v>15</v>
      </c>
    </row>
    <row r="214" spans="1:16" x14ac:dyDescent="0.25">
      <c r="A214" s="6" t="s">
        <v>3920</v>
      </c>
      <c r="B214" s="7">
        <f t="shared" si="10"/>
        <v>46114</v>
      </c>
      <c r="C214" s="7">
        <f t="shared" si="11"/>
        <v>46120</v>
      </c>
      <c r="D214" s="6">
        <v>3280</v>
      </c>
      <c r="E214" s="6">
        <v>337</v>
      </c>
      <c r="F214" s="6">
        <v>4</v>
      </c>
      <c r="G214" s="15">
        <v>1</v>
      </c>
      <c r="H214" s="15"/>
      <c r="I214" s="15" t="s">
        <v>1505</v>
      </c>
      <c r="J214" s="15">
        <v>23676668</v>
      </c>
      <c r="K214" s="15" t="s">
        <v>272</v>
      </c>
      <c r="L214" s="15" t="s">
        <v>273</v>
      </c>
      <c r="M214" s="16">
        <v>259900</v>
      </c>
      <c r="N214" s="9">
        <v>0.95</v>
      </c>
      <c r="O214" s="8">
        <f t="shared" si="9"/>
        <v>12995</v>
      </c>
      <c r="P214" s="6" t="s">
        <v>15</v>
      </c>
    </row>
    <row r="215" spans="1:16" x14ac:dyDescent="0.25">
      <c r="A215" s="6" t="s">
        <v>3920</v>
      </c>
      <c r="B215" s="7">
        <f t="shared" si="10"/>
        <v>46114</v>
      </c>
      <c r="C215" s="7">
        <f t="shared" si="11"/>
        <v>46120</v>
      </c>
      <c r="D215" s="6">
        <v>3280</v>
      </c>
      <c r="E215" s="6">
        <v>337</v>
      </c>
      <c r="F215" s="6">
        <v>4</v>
      </c>
      <c r="G215" s="15">
        <v>1</v>
      </c>
      <c r="H215" s="15"/>
      <c r="I215" s="15" t="s">
        <v>1505</v>
      </c>
      <c r="J215" s="15">
        <v>23676677</v>
      </c>
      <c r="K215" s="15" t="s">
        <v>272</v>
      </c>
      <c r="L215" s="15" t="s">
        <v>274</v>
      </c>
      <c r="M215" s="16">
        <v>259900</v>
      </c>
      <c r="N215" s="9">
        <v>0.95</v>
      </c>
      <c r="O215" s="8">
        <f t="shared" si="9"/>
        <v>12995</v>
      </c>
      <c r="P215" s="6" t="s">
        <v>15</v>
      </c>
    </row>
    <row r="216" spans="1:16" x14ac:dyDescent="0.25">
      <c r="A216" s="6" t="s">
        <v>3920</v>
      </c>
      <c r="B216" s="7">
        <f t="shared" si="10"/>
        <v>46114</v>
      </c>
      <c r="C216" s="7">
        <f t="shared" si="11"/>
        <v>46120</v>
      </c>
      <c r="D216" s="6">
        <v>3280</v>
      </c>
      <c r="E216" s="6">
        <v>337</v>
      </c>
      <c r="F216" s="6">
        <v>4</v>
      </c>
      <c r="G216" s="15">
        <v>1</v>
      </c>
      <c r="H216" s="15"/>
      <c r="I216" s="15" t="s">
        <v>1505</v>
      </c>
      <c r="J216" s="15">
        <v>23676686</v>
      </c>
      <c r="K216" s="15" t="s">
        <v>272</v>
      </c>
      <c r="L216" s="15" t="s">
        <v>275</v>
      </c>
      <c r="M216" s="16">
        <v>259900</v>
      </c>
      <c r="N216" s="9">
        <v>0.95</v>
      </c>
      <c r="O216" s="8">
        <f t="shared" si="9"/>
        <v>12995</v>
      </c>
      <c r="P216" s="6" t="s">
        <v>15</v>
      </c>
    </row>
    <row r="217" spans="1:16" x14ac:dyDescent="0.25">
      <c r="A217" s="6" t="s">
        <v>3920</v>
      </c>
      <c r="B217" s="7">
        <f t="shared" si="10"/>
        <v>46114</v>
      </c>
      <c r="C217" s="7">
        <f t="shared" si="11"/>
        <v>46120</v>
      </c>
      <c r="D217" s="6">
        <v>3280</v>
      </c>
      <c r="E217" s="6">
        <v>337</v>
      </c>
      <c r="F217" s="6">
        <v>4</v>
      </c>
      <c r="G217" s="15">
        <v>1</v>
      </c>
      <c r="H217" s="15"/>
      <c r="I217" s="15" t="s">
        <v>1505</v>
      </c>
      <c r="J217" s="15">
        <v>23676695</v>
      </c>
      <c r="K217" s="15" t="s">
        <v>272</v>
      </c>
      <c r="L217" s="15" t="s">
        <v>276</v>
      </c>
      <c r="M217" s="16">
        <v>259900</v>
      </c>
      <c r="N217" s="9">
        <v>0.95</v>
      </c>
      <c r="O217" s="8">
        <f t="shared" si="9"/>
        <v>12995</v>
      </c>
      <c r="P217" s="6" t="s">
        <v>15</v>
      </c>
    </row>
    <row r="218" spans="1:16" x14ac:dyDescent="0.25">
      <c r="A218" s="6" t="s">
        <v>3920</v>
      </c>
      <c r="B218" s="7">
        <f t="shared" si="10"/>
        <v>46114</v>
      </c>
      <c r="C218" s="7">
        <f t="shared" si="11"/>
        <v>46120</v>
      </c>
      <c r="D218" s="6">
        <v>3280</v>
      </c>
      <c r="E218" s="6">
        <v>337</v>
      </c>
      <c r="F218" s="6">
        <v>4</v>
      </c>
      <c r="G218" s="15">
        <v>1</v>
      </c>
      <c r="H218" s="15"/>
      <c r="I218" s="15" t="s">
        <v>1505</v>
      </c>
      <c r="J218" s="15">
        <v>23676766</v>
      </c>
      <c r="K218" s="15" t="s">
        <v>277</v>
      </c>
      <c r="L218" s="15" t="s">
        <v>278</v>
      </c>
      <c r="M218" s="16">
        <v>259900</v>
      </c>
      <c r="N218" s="9">
        <v>0.95</v>
      </c>
      <c r="O218" s="8">
        <f t="shared" si="9"/>
        <v>12995</v>
      </c>
      <c r="P218" s="6" t="s">
        <v>15</v>
      </c>
    </row>
    <row r="219" spans="1:16" x14ac:dyDescent="0.25">
      <c r="A219" s="6" t="s">
        <v>3920</v>
      </c>
      <c r="B219" s="7">
        <f t="shared" si="10"/>
        <v>46114</v>
      </c>
      <c r="C219" s="7">
        <f t="shared" si="11"/>
        <v>46120</v>
      </c>
      <c r="D219" s="6">
        <v>3280</v>
      </c>
      <c r="E219" s="6">
        <v>337</v>
      </c>
      <c r="F219" s="6">
        <v>4</v>
      </c>
      <c r="G219" s="15">
        <v>1</v>
      </c>
      <c r="H219" s="15"/>
      <c r="I219" s="15" t="s">
        <v>1505</v>
      </c>
      <c r="J219" s="15">
        <v>23676775</v>
      </c>
      <c r="K219" s="15" t="s">
        <v>277</v>
      </c>
      <c r="L219" s="15" t="s">
        <v>279</v>
      </c>
      <c r="M219" s="16">
        <v>259900</v>
      </c>
      <c r="N219" s="9">
        <v>0.95</v>
      </c>
      <c r="O219" s="8">
        <f t="shared" si="9"/>
        <v>12995</v>
      </c>
      <c r="P219" s="6" t="s">
        <v>15</v>
      </c>
    </row>
    <row r="220" spans="1:16" x14ac:dyDescent="0.25">
      <c r="A220" s="6" t="s">
        <v>3920</v>
      </c>
      <c r="B220" s="7">
        <f t="shared" si="10"/>
        <v>46114</v>
      </c>
      <c r="C220" s="7">
        <f t="shared" si="11"/>
        <v>46120</v>
      </c>
      <c r="D220" s="6">
        <v>3280</v>
      </c>
      <c r="E220" s="6">
        <v>337</v>
      </c>
      <c r="F220" s="6">
        <v>4</v>
      </c>
      <c r="G220" s="15">
        <v>1</v>
      </c>
      <c r="H220" s="15"/>
      <c r="I220" s="15" t="s">
        <v>1505</v>
      </c>
      <c r="J220" s="15">
        <v>23676784</v>
      </c>
      <c r="K220" s="15" t="s">
        <v>277</v>
      </c>
      <c r="L220" s="15" t="s">
        <v>280</v>
      </c>
      <c r="M220" s="16">
        <v>259900</v>
      </c>
      <c r="N220" s="9">
        <v>0.95</v>
      </c>
      <c r="O220" s="8">
        <f t="shared" si="9"/>
        <v>12995</v>
      </c>
      <c r="P220" s="6" t="s">
        <v>15</v>
      </c>
    </row>
    <row r="221" spans="1:16" x14ac:dyDescent="0.25">
      <c r="A221" s="6" t="s">
        <v>3920</v>
      </c>
      <c r="B221" s="7">
        <f t="shared" si="10"/>
        <v>46114</v>
      </c>
      <c r="C221" s="7">
        <f t="shared" si="11"/>
        <v>46120</v>
      </c>
      <c r="D221" s="6">
        <v>3280</v>
      </c>
      <c r="E221" s="6">
        <v>337</v>
      </c>
      <c r="F221" s="6">
        <v>4</v>
      </c>
      <c r="G221" s="15">
        <v>1</v>
      </c>
      <c r="H221" s="15"/>
      <c r="I221" s="15" t="s">
        <v>1505</v>
      </c>
      <c r="J221" s="15">
        <v>23676793</v>
      </c>
      <c r="K221" s="15" t="s">
        <v>277</v>
      </c>
      <c r="L221" s="15" t="s">
        <v>281</v>
      </c>
      <c r="M221" s="16">
        <v>259900</v>
      </c>
      <c r="N221" s="9">
        <v>0.95</v>
      </c>
      <c r="O221" s="8">
        <f t="shared" si="9"/>
        <v>12995</v>
      </c>
      <c r="P221" s="6" t="s">
        <v>15</v>
      </c>
    </row>
    <row r="222" spans="1:16" x14ac:dyDescent="0.25">
      <c r="A222" s="6" t="s">
        <v>3920</v>
      </c>
      <c r="B222" s="7">
        <f t="shared" si="10"/>
        <v>46114</v>
      </c>
      <c r="C222" s="7">
        <f t="shared" si="11"/>
        <v>46120</v>
      </c>
      <c r="D222" s="6">
        <v>3280</v>
      </c>
      <c r="E222" s="6">
        <v>337</v>
      </c>
      <c r="F222" s="6">
        <v>4</v>
      </c>
      <c r="G222" s="15">
        <v>1</v>
      </c>
      <c r="H222" s="15"/>
      <c r="I222" s="15" t="s">
        <v>1505</v>
      </c>
      <c r="J222" s="15">
        <v>23676819</v>
      </c>
      <c r="K222" s="15" t="s">
        <v>282</v>
      </c>
      <c r="L222" s="15" t="s">
        <v>283</v>
      </c>
      <c r="M222" s="16">
        <v>259900</v>
      </c>
      <c r="N222" s="9">
        <v>0.95</v>
      </c>
      <c r="O222" s="8">
        <f t="shared" si="9"/>
        <v>12995</v>
      </c>
      <c r="P222" s="6" t="s">
        <v>15</v>
      </c>
    </row>
    <row r="223" spans="1:16" x14ac:dyDescent="0.25">
      <c r="A223" s="6" t="s">
        <v>3920</v>
      </c>
      <c r="B223" s="7">
        <f t="shared" si="10"/>
        <v>46114</v>
      </c>
      <c r="C223" s="7">
        <f t="shared" si="11"/>
        <v>46120</v>
      </c>
      <c r="D223" s="6">
        <v>3280</v>
      </c>
      <c r="E223" s="6">
        <v>337</v>
      </c>
      <c r="F223" s="6">
        <v>4</v>
      </c>
      <c r="G223" s="15">
        <v>1</v>
      </c>
      <c r="H223" s="15"/>
      <c r="I223" s="15" t="s">
        <v>1505</v>
      </c>
      <c r="J223" s="15">
        <v>23676828</v>
      </c>
      <c r="K223" s="15" t="s">
        <v>282</v>
      </c>
      <c r="L223" s="15" t="s">
        <v>284</v>
      </c>
      <c r="M223" s="16">
        <v>259900</v>
      </c>
      <c r="N223" s="9">
        <v>0.95</v>
      </c>
      <c r="O223" s="8">
        <f t="shared" si="9"/>
        <v>12995</v>
      </c>
      <c r="P223" s="6" t="s">
        <v>15</v>
      </c>
    </row>
    <row r="224" spans="1:16" x14ac:dyDescent="0.25">
      <c r="A224" s="6" t="s">
        <v>3920</v>
      </c>
      <c r="B224" s="7">
        <f t="shared" si="10"/>
        <v>46114</v>
      </c>
      <c r="C224" s="7">
        <f t="shared" si="11"/>
        <v>46120</v>
      </c>
      <c r="D224" s="6">
        <v>3280</v>
      </c>
      <c r="E224" s="6">
        <v>337</v>
      </c>
      <c r="F224" s="6">
        <v>4</v>
      </c>
      <c r="G224" s="15">
        <v>1</v>
      </c>
      <c r="H224" s="15"/>
      <c r="I224" s="15" t="s">
        <v>1505</v>
      </c>
      <c r="J224" s="15">
        <v>23676837</v>
      </c>
      <c r="K224" s="15" t="s">
        <v>282</v>
      </c>
      <c r="L224" s="15" t="s">
        <v>285</v>
      </c>
      <c r="M224" s="16">
        <v>259900</v>
      </c>
      <c r="N224" s="9">
        <v>0.95</v>
      </c>
      <c r="O224" s="8">
        <f t="shared" si="9"/>
        <v>12995</v>
      </c>
      <c r="P224" s="6" t="s">
        <v>15</v>
      </c>
    </row>
    <row r="225" spans="1:16" x14ac:dyDescent="0.25">
      <c r="A225" s="6" t="s">
        <v>3920</v>
      </c>
      <c r="B225" s="7">
        <f t="shared" si="10"/>
        <v>46114</v>
      </c>
      <c r="C225" s="7">
        <f t="shared" si="11"/>
        <v>46120</v>
      </c>
      <c r="D225" s="6">
        <v>3280</v>
      </c>
      <c r="E225" s="6">
        <v>337</v>
      </c>
      <c r="F225" s="6">
        <v>4</v>
      </c>
      <c r="G225" s="15">
        <v>1</v>
      </c>
      <c r="H225" s="15"/>
      <c r="I225" s="15" t="s">
        <v>1505</v>
      </c>
      <c r="J225" s="15">
        <v>23676846</v>
      </c>
      <c r="K225" s="15" t="s">
        <v>282</v>
      </c>
      <c r="L225" s="15" t="s">
        <v>286</v>
      </c>
      <c r="M225" s="16">
        <v>259900</v>
      </c>
      <c r="N225" s="9">
        <v>0.95</v>
      </c>
      <c r="O225" s="8">
        <f t="shared" si="9"/>
        <v>12995</v>
      </c>
      <c r="P225" s="6" t="s">
        <v>15</v>
      </c>
    </row>
    <row r="226" spans="1:16" x14ac:dyDescent="0.25">
      <c r="A226" s="6" t="s">
        <v>3920</v>
      </c>
      <c r="B226" s="7">
        <f t="shared" si="10"/>
        <v>46114</v>
      </c>
      <c r="C226" s="7">
        <f t="shared" si="11"/>
        <v>46120</v>
      </c>
      <c r="D226" s="6">
        <v>3280</v>
      </c>
      <c r="E226" s="6">
        <v>337</v>
      </c>
      <c r="F226" s="6">
        <v>4</v>
      </c>
      <c r="G226" s="15">
        <v>1</v>
      </c>
      <c r="H226" s="15"/>
      <c r="I226" s="15" t="s">
        <v>1505</v>
      </c>
      <c r="J226" s="15">
        <v>23677130</v>
      </c>
      <c r="K226" s="15" t="s">
        <v>287</v>
      </c>
      <c r="L226" s="15" t="s">
        <v>288</v>
      </c>
      <c r="M226" s="16">
        <v>259900</v>
      </c>
      <c r="N226" s="9">
        <v>0.95</v>
      </c>
      <c r="O226" s="8">
        <f t="shared" si="9"/>
        <v>12995</v>
      </c>
      <c r="P226" s="6" t="s">
        <v>15</v>
      </c>
    </row>
    <row r="227" spans="1:16" x14ac:dyDescent="0.25">
      <c r="A227" s="6" t="s">
        <v>3920</v>
      </c>
      <c r="B227" s="7">
        <f t="shared" si="10"/>
        <v>46114</v>
      </c>
      <c r="C227" s="7">
        <f t="shared" si="11"/>
        <v>46120</v>
      </c>
      <c r="D227" s="6">
        <v>3280</v>
      </c>
      <c r="E227" s="6">
        <v>337</v>
      </c>
      <c r="F227" s="6">
        <v>4</v>
      </c>
      <c r="G227" s="15">
        <v>1</v>
      </c>
      <c r="H227" s="15"/>
      <c r="I227" s="15" t="s">
        <v>1505</v>
      </c>
      <c r="J227" s="15">
        <v>23677514</v>
      </c>
      <c r="K227" s="15" t="s">
        <v>289</v>
      </c>
      <c r="L227" s="15" t="s">
        <v>290</v>
      </c>
      <c r="M227" s="16">
        <v>259900</v>
      </c>
      <c r="N227" s="9">
        <v>0.95</v>
      </c>
      <c r="O227" s="8">
        <f t="shared" si="9"/>
        <v>12995</v>
      </c>
      <c r="P227" s="6" t="s">
        <v>15</v>
      </c>
    </row>
    <row r="228" spans="1:16" x14ac:dyDescent="0.25">
      <c r="A228" s="6" t="s">
        <v>3920</v>
      </c>
      <c r="B228" s="7">
        <f t="shared" si="10"/>
        <v>46114</v>
      </c>
      <c r="C228" s="7">
        <f t="shared" si="11"/>
        <v>46120</v>
      </c>
      <c r="D228" s="6">
        <v>3280</v>
      </c>
      <c r="E228" s="6">
        <v>337</v>
      </c>
      <c r="F228" s="6">
        <v>4</v>
      </c>
      <c r="G228" s="15">
        <v>1</v>
      </c>
      <c r="H228" s="15"/>
      <c r="I228" s="15" t="s">
        <v>1505</v>
      </c>
      <c r="J228" s="15">
        <v>23677523</v>
      </c>
      <c r="K228" s="15" t="s">
        <v>289</v>
      </c>
      <c r="L228" s="15" t="s">
        <v>291</v>
      </c>
      <c r="M228" s="16">
        <v>259900</v>
      </c>
      <c r="N228" s="9">
        <v>0.95</v>
      </c>
      <c r="O228" s="8">
        <f t="shared" si="9"/>
        <v>12995</v>
      </c>
      <c r="P228" s="6" t="s">
        <v>15</v>
      </c>
    </row>
    <row r="229" spans="1:16" x14ac:dyDescent="0.25">
      <c r="A229" s="6" t="s">
        <v>3920</v>
      </c>
      <c r="B229" s="7">
        <f t="shared" si="10"/>
        <v>46114</v>
      </c>
      <c r="C229" s="7">
        <f t="shared" si="11"/>
        <v>46120</v>
      </c>
      <c r="D229" s="6">
        <v>3280</v>
      </c>
      <c r="E229" s="6">
        <v>337</v>
      </c>
      <c r="F229" s="6">
        <v>4</v>
      </c>
      <c r="G229" s="15">
        <v>1</v>
      </c>
      <c r="H229" s="15"/>
      <c r="I229" s="15" t="s">
        <v>1505</v>
      </c>
      <c r="J229" s="15">
        <v>23677532</v>
      </c>
      <c r="K229" s="15" t="s">
        <v>289</v>
      </c>
      <c r="L229" s="15" t="s">
        <v>292</v>
      </c>
      <c r="M229" s="16">
        <v>259900</v>
      </c>
      <c r="N229" s="9">
        <v>0.95</v>
      </c>
      <c r="O229" s="8">
        <f t="shared" si="9"/>
        <v>12995</v>
      </c>
      <c r="P229" s="6" t="s">
        <v>15</v>
      </c>
    </row>
    <row r="230" spans="1:16" x14ac:dyDescent="0.25">
      <c r="A230" s="6" t="s">
        <v>3920</v>
      </c>
      <c r="B230" s="7">
        <f t="shared" si="10"/>
        <v>46114</v>
      </c>
      <c r="C230" s="7">
        <f t="shared" si="11"/>
        <v>46120</v>
      </c>
      <c r="D230" s="6">
        <v>3280</v>
      </c>
      <c r="E230" s="6">
        <v>337</v>
      </c>
      <c r="F230" s="6">
        <v>4</v>
      </c>
      <c r="G230" s="15">
        <v>1</v>
      </c>
      <c r="H230" s="15"/>
      <c r="I230" s="15" t="s">
        <v>1505</v>
      </c>
      <c r="J230" s="15">
        <v>23677541</v>
      </c>
      <c r="K230" s="15" t="s">
        <v>289</v>
      </c>
      <c r="L230" s="15" t="s">
        <v>293</v>
      </c>
      <c r="M230" s="16">
        <v>259900</v>
      </c>
      <c r="N230" s="9">
        <v>0.95</v>
      </c>
      <c r="O230" s="8">
        <f t="shared" si="9"/>
        <v>12995</v>
      </c>
      <c r="P230" s="6" t="s">
        <v>15</v>
      </c>
    </row>
    <row r="231" spans="1:16" x14ac:dyDescent="0.25">
      <c r="A231" s="6" t="s">
        <v>3920</v>
      </c>
      <c r="B231" s="7">
        <f t="shared" si="10"/>
        <v>46114</v>
      </c>
      <c r="C231" s="7">
        <f t="shared" si="11"/>
        <v>46120</v>
      </c>
      <c r="D231" s="6">
        <v>3280</v>
      </c>
      <c r="E231" s="6">
        <v>337</v>
      </c>
      <c r="F231" s="6">
        <v>4</v>
      </c>
      <c r="G231" s="15">
        <v>1</v>
      </c>
      <c r="H231" s="15"/>
      <c r="I231" s="15" t="s">
        <v>1505</v>
      </c>
      <c r="J231" s="15">
        <v>23677550</v>
      </c>
      <c r="K231" s="15" t="s">
        <v>289</v>
      </c>
      <c r="L231" s="15" t="s">
        <v>294</v>
      </c>
      <c r="M231" s="16">
        <v>259900</v>
      </c>
      <c r="N231" s="9">
        <v>0.95</v>
      </c>
      <c r="O231" s="8">
        <f t="shared" si="9"/>
        <v>12995</v>
      </c>
      <c r="P231" s="6" t="s">
        <v>15</v>
      </c>
    </row>
    <row r="232" spans="1:16" x14ac:dyDescent="0.25">
      <c r="A232" s="6" t="s">
        <v>3920</v>
      </c>
      <c r="B232" s="7">
        <f t="shared" si="10"/>
        <v>46114</v>
      </c>
      <c r="C232" s="7">
        <f t="shared" si="11"/>
        <v>46120</v>
      </c>
      <c r="D232" s="6">
        <v>3280</v>
      </c>
      <c r="E232" s="6">
        <v>337</v>
      </c>
      <c r="F232" s="6">
        <v>4</v>
      </c>
      <c r="G232" s="15">
        <v>1</v>
      </c>
      <c r="H232" s="15"/>
      <c r="I232" s="15" t="s">
        <v>1505</v>
      </c>
      <c r="J232" s="15">
        <v>23678282</v>
      </c>
      <c r="K232" s="15" t="s">
        <v>295</v>
      </c>
      <c r="L232" s="15" t="s">
        <v>296</v>
      </c>
      <c r="M232" s="16">
        <v>259900</v>
      </c>
      <c r="N232" s="9">
        <v>0.95</v>
      </c>
      <c r="O232" s="8">
        <f t="shared" si="9"/>
        <v>12995</v>
      </c>
      <c r="P232" s="6" t="s">
        <v>15</v>
      </c>
    </row>
    <row r="233" spans="1:16" x14ac:dyDescent="0.25">
      <c r="A233" s="6" t="s">
        <v>3920</v>
      </c>
      <c r="B233" s="7">
        <f t="shared" si="10"/>
        <v>46114</v>
      </c>
      <c r="C233" s="7">
        <f t="shared" si="11"/>
        <v>46120</v>
      </c>
      <c r="D233" s="6">
        <v>3280</v>
      </c>
      <c r="E233" s="6">
        <v>337</v>
      </c>
      <c r="F233" s="6">
        <v>4</v>
      </c>
      <c r="G233" s="15">
        <v>1</v>
      </c>
      <c r="H233" s="15"/>
      <c r="I233" s="15" t="s">
        <v>1505</v>
      </c>
      <c r="J233" s="15">
        <v>23678291</v>
      </c>
      <c r="K233" s="15" t="s">
        <v>295</v>
      </c>
      <c r="L233" s="15" t="s">
        <v>297</v>
      </c>
      <c r="M233" s="16">
        <v>259900</v>
      </c>
      <c r="N233" s="9">
        <v>0.95</v>
      </c>
      <c r="O233" s="8">
        <f t="shared" si="9"/>
        <v>12995</v>
      </c>
      <c r="P233" s="6" t="s">
        <v>15</v>
      </c>
    </row>
    <row r="234" spans="1:16" x14ac:dyDescent="0.25">
      <c r="A234" s="6" t="s">
        <v>3920</v>
      </c>
      <c r="B234" s="7">
        <f t="shared" si="10"/>
        <v>46114</v>
      </c>
      <c r="C234" s="7">
        <f t="shared" si="11"/>
        <v>46120</v>
      </c>
      <c r="D234" s="6">
        <v>3280</v>
      </c>
      <c r="E234" s="6">
        <v>337</v>
      </c>
      <c r="F234" s="6">
        <v>4</v>
      </c>
      <c r="G234" s="15">
        <v>1</v>
      </c>
      <c r="H234" s="15"/>
      <c r="I234" s="15" t="s">
        <v>1505</v>
      </c>
      <c r="J234" s="15">
        <v>23678308</v>
      </c>
      <c r="K234" s="15" t="s">
        <v>295</v>
      </c>
      <c r="L234" s="15" t="s">
        <v>298</v>
      </c>
      <c r="M234" s="16">
        <v>259900</v>
      </c>
      <c r="N234" s="9">
        <v>0.95</v>
      </c>
      <c r="O234" s="8">
        <f t="shared" si="9"/>
        <v>12995</v>
      </c>
      <c r="P234" s="6" t="s">
        <v>15</v>
      </c>
    </row>
    <row r="235" spans="1:16" x14ac:dyDescent="0.25">
      <c r="A235" s="6" t="s">
        <v>3920</v>
      </c>
      <c r="B235" s="7">
        <f t="shared" si="10"/>
        <v>46114</v>
      </c>
      <c r="C235" s="7">
        <f t="shared" si="11"/>
        <v>46120</v>
      </c>
      <c r="D235" s="6">
        <v>3280</v>
      </c>
      <c r="E235" s="6">
        <v>337</v>
      </c>
      <c r="F235" s="6">
        <v>4</v>
      </c>
      <c r="G235" s="15">
        <v>1</v>
      </c>
      <c r="H235" s="15"/>
      <c r="I235" s="15" t="s">
        <v>1505</v>
      </c>
      <c r="J235" s="15">
        <v>23679129</v>
      </c>
      <c r="K235" s="15" t="s">
        <v>299</v>
      </c>
      <c r="L235" s="15" t="s">
        <v>300</v>
      </c>
      <c r="M235" s="16">
        <v>259900</v>
      </c>
      <c r="N235" s="9">
        <v>0.95</v>
      </c>
      <c r="O235" s="8">
        <f t="shared" si="9"/>
        <v>12995</v>
      </c>
      <c r="P235" s="6" t="s">
        <v>15</v>
      </c>
    </row>
    <row r="236" spans="1:16" x14ac:dyDescent="0.25">
      <c r="A236" s="6" t="s">
        <v>3920</v>
      </c>
      <c r="B236" s="7">
        <f t="shared" si="10"/>
        <v>46114</v>
      </c>
      <c r="C236" s="7">
        <f t="shared" si="11"/>
        <v>46120</v>
      </c>
      <c r="D236" s="6">
        <v>3280</v>
      </c>
      <c r="E236" s="6">
        <v>337</v>
      </c>
      <c r="F236" s="6">
        <v>4</v>
      </c>
      <c r="G236" s="15">
        <v>1</v>
      </c>
      <c r="H236" s="15"/>
      <c r="I236" s="15" t="s">
        <v>1505</v>
      </c>
      <c r="J236" s="15">
        <v>23679370</v>
      </c>
      <c r="K236" s="15" t="s">
        <v>301</v>
      </c>
      <c r="L236" s="15" t="s">
        <v>302</v>
      </c>
      <c r="M236" s="16">
        <v>259900</v>
      </c>
      <c r="N236" s="9">
        <v>0.95</v>
      </c>
      <c r="O236" s="8">
        <f t="shared" si="9"/>
        <v>12995</v>
      </c>
      <c r="P236" s="6" t="s">
        <v>15</v>
      </c>
    </row>
    <row r="237" spans="1:16" x14ac:dyDescent="0.25">
      <c r="A237" s="6" t="s">
        <v>3920</v>
      </c>
      <c r="B237" s="7">
        <f t="shared" si="10"/>
        <v>46114</v>
      </c>
      <c r="C237" s="7">
        <f t="shared" si="11"/>
        <v>46120</v>
      </c>
      <c r="D237" s="6">
        <v>3280</v>
      </c>
      <c r="E237" s="6">
        <v>337</v>
      </c>
      <c r="F237" s="6">
        <v>4</v>
      </c>
      <c r="G237" s="15">
        <v>1</v>
      </c>
      <c r="H237" s="15"/>
      <c r="I237" s="15" t="s">
        <v>1505</v>
      </c>
      <c r="J237" s="15">
        <v>23679790</v>
      </c>
      <c r="K237" s="15" t="s">
        <v>303</v>
      </c>
      <c r="L237" s="15" t="s">
        <v>304</v>
      </c>
      <c r="M237" s="16">
        <v>259900</v>
      </c>
      <c r="N237" s="9">
        <v>0.95</v>
      </c>
      <c r="O237" s="8">
        <f t="shared" si="9"/>
        <v>12995</v>
      </c>
      <c r="P237" s="6" t="s">
        <v>15</v>
      </c>
    </row>
    <row r="238" spans="1:16" x14ac:dyDescent="0.25">
      <c r="A238" s="6" t="s">
        <v>3920</v>
      </c>
      <c r="B238" s="7">
        <f t="shared" si="10"/>
        <v>46114</v>
      </c>
      <c r="C238" s="7">
        <f t="shared" si="11"/>
        <v>46120</v>
      </c>
      <c r="D238" s="6">
        <v>3280</v>
      </c>
      <c r="E238" s="6">
        <v>337</v>
      </c>
      <c r="F238" s="6">
        <v>4</v>
      </c>
      <c r="G238" s="15">
        <v>1</v>
      </c>
      <c r="H238" s="15"/>
      <c r="I238" s="15" t="s">
        <v>1505</v>
      </c>
      <c r="J238" s="15">
        <v>23679834</v>
      </c>
      <c r="K238" s="15" t="s">
        <v>303</v>
      </c>
      <c r="L238" s="15" t="s">
        <v>305</v>
      </c>
      <c r="M238" s="16">
        <v>259900</v>
      </c>
      <c r="N238" s="9">
        <v>0.95</v>
      </c>
      <c r="O238" s="8">
        <f t="shared" si="9"/>
        <v>12995</v>
      </c>
      <c r="P238" s="6" t="s">
        <v>15</v>
      </c>
    </row>
    <row r="239" spans="1:16" x14ac:dyDescent="0.25">
      <c r="A239" s="6" t="s">
        <v>3920</v>
      </c>
      <c r="B239" s="7">
        <f t="shared" si="10"/>
        <v>46114</v>
      </c>
      <c r="C239" s="7">
        <f t="shared" si="11"/>
        <v>46120</v>
      </c>
      <c r="D239" s="6">
        <v>3280</v>
      </c>
      <c r="E239" s="6">
        <v>337</v>
      </c>
      <c r="F239" s="6">
        <v>4</v>
      </c>
      <c r="G239" s="15">
        <v>1</v>
      </c>
      <c r="H239" s="15"/>
      <c r="I239" s="15" t="s">
        <v>1505</v>
      </c>
      <c r="J239" s="15">
        <v>23679843</v>
      </c>
      <c r="K239" s="15" t="s">
        <v>303</v>
      </c>
      <c r="L239" s="15" t="s">
        <v>306</v>
      </c>
      <c r="M239" s="16">
        <v>259900</v>
      </c>
      <c r="N239" s="9">
        <v>0.95</v>
      </c>
      <c r="O239" s="8">
        <f t="shared" si="9"/>
        <v>12995</v>
      </c>
      <c r="P239" s="6" t="s">
        <v>15</v>
      </c>
    </row>
    <row r="240" spans="1:16" x14ac:dyDescent="0.25">
      <c r="A240" s="6" t="s">
        <v>3920</v>
      </c>
      <c r="B240" s="7">
        <f t="shared" si="10"/>
        <v>46114</v>
      </c>
      <c r="C240" s="7">
        <f t="shared" si="11"/>
        <v>46120</v>
      </c>
      <c r="D240" s="6">
        <v>3280</v>
      </c>
      <c r="E240" s="6">
        <v>337</v>
      </c>
      <c r="F240" s="6">
        <v>4</v>
      </c>
      <c r="G240" s="15">
        <v>1</v>
      </c>
      <c r="H240" s="15"/>
      <c r="I240" s="15" t="s">
        <v>1505</v>
      </c>
      <c r="J240" s="15">
        <v>23679978</v>
      </c>
      <c r="K240" s="15" t="s">
        <v>307</v>
      </c>
      <c r="L240" s="15" t="s">
        <v>308</v>
      </c>
      <c r="M240" s="16">
        <v>259900</v>
      </c>
      <c r="N240" s="9">
        <v>0.95</v>
      </c>
      <c r="O240" s="8">
        <f t="shared" si="9"/>
        <v>12995</v>
      </c>
      <c r="P240" s="6" t="s">
        <v>15</v>
      </c>
    </row>
    <row r="241" spans="1:16" x14ac:dyDescent="0.25">
      <c r="A241" s="6" t="s">
        <v>3920</v>
      </c>
      <c r="B241" s="7">
        <f t="shared" si="10"/>
        <v>46114</v>
      </c>
      <c r="C241" s="7">
        <f t="shared" si="11"/>
        <v>46120</v>
      </c>
      <c r="D241" s="6">
        <v>3280</v>
      </c>
      <c r="E241" s="6">
        <v>337</v>
      </c>
      <c r="F241" s="6">
        <v>4</v>
      </c>
      <c r="G241" s="15">
        <v>1</v>
      </c>
      <c r="H241" s="15"/>
      <c r="I241" s="15" t="s">
        <v>1505</v>
      </c>
      <c r="J241" s="15">
        <v>23679987</v>
      </c>
      <c r="K241" s="15" t="s">
        <v>307</v>
      </c>
      <c r="L241" s="15" t="s">
        <v>309</v>
      </c>
      <c r="M241" s="16">
        <v>259900</v>
      </c>
      <c r="N241" s="9">
        <v>0.95</v>
      </c>
      <c r="O241" s="8">
        <f t="shared" si="9"/>
        <v>12995</v>
      </c>
      <c r="P241" s="6" t="s">
        <v>15</v>
      </c>
    </row>
    <row r="242" spans="1:16" x14ac:dyDescent="0.25">
      <c r="A242" s="6" t="s">
        <v>3920</v>
      </c>
      <c r="B242" s="7">
        <f t="shared" si="10"/>
        <v>46114</v>
      </c>
      <c r="C242" s="7">
        <f t="shared" si="11"/>
        <v>46120</v>
      </c>
      <c r="D242" s="6">
        <v>3280</v>
      </c>
      <c r="E242" s="6">
        <v>337</v>
      </c>
      <c r="F242" s="6">
        <v>4</v>
      </c>
      <c r="G242" s="15">
        <v>1</v>
      </c>
      <c r="H242" s="15"/>
      <c r="I242" s="15" t="s">
        <v>1505</v>
      </c>
      <c r="J242" s="15">
        <v>23679996</v>
      </c>
      <c r="K242" s="15" t="s">
        <v>307</v>
      </c>
      <c r="L242" s="15" t="s">
        <v>310</v>
      </c>
      <c r="M242" s="16">
        <v>259900</v>
      </c>
      <c r="N242" s="9">
        <v>0.95</v>
      </c>
      <c r="O242" s="8">
        <f t="shared" si="9"/>
        <v>12995</v>
      </c>
      <c r="P242" s="6" t="s">
        <v>15</v>
      </c>
    </row>
    <row r="243" spans="1:16" x14ac:dyDescent="0.25">
      <c r="A243" s="6" t="s">
        <v>3920</v>
      </c>
      <c r="B243" s="7">
        <f t="shared" si="10"/>
        <v>46114</v>
      </c>
      <c r="C243" s="7">
        <f t="shared" si="11"/>
        <v>46120</v>
      </c>
      <c r="D243" s="6">
        <v>3280</v>
      </c>
      <c r="E243" s="6">
        <v>337</v>
      </c>
      <c r="F243" s="6">
        <v>4</v>
      </c>
      <c r="G243" s="15">
        <v>1</v>
      </c>
      <c r="H243" s="15"/>
      <c r="I243" s="15" t="s">
        <v>1505</v>
      </c>
      <c r="J243" s="15">
        <v>23680000</v>
      </c>
      <c r="K243" s="15" t="s">
        <v>307</v>
      </c>
      <c r="L243" s="15" t="s">
        <v>311</v>
      </c>
      <c r="M243" s="16">
        <v>259900</v>
      </c>
      <c r="N243" s="9">
        <v>0.95</v>
      </c>
      <c r="O243" s="8">
        <f t="shared" si="9"/>
        <v>12995</v>
      </c>
      <c r="P243" s="6" t="s">
        <v>15</v>
      </c>
    </row>
    <row r="244" spans="1:16" x14ac:dyDescent="0.25">
      <c r="A244" s="6" t="s">
        <v>3920</v>
      </c>
      <c r="B244" s="7">
        <f t="shared" si="10"/>
        <v>46114</v>
      </c>
      <c r="C244" s="7">
        <f t="shared" si="11"/>
        <v>46120</v>
      </c>
      <c r="D244" s="6">
        <v>3280</v>
      </c>
      <c r="E244" s="6">
        <v>337</v>
      </c>
      <c r="F244" s="6">
        <v>4</v>
      </c>
      <c r="G244" s="15">
        <v>1</v>
      </c>
      <c r="H244" s="15"/>
      <c r="I244" s="15" t="s">
        <v>1505</v>
      </c>
      <c r="J244" s="15">
        <v>23680019</v>
      </c>
      <c r="K244" s="15" t="s">
        <v>307</v>
      </c>
      <c r="L244" s="15" t="s">
        <v>312</v>
      </c>
      <c r="M244" s="16">
        <v>259900</v>
      </c>
      <c r="N244" s="9">
        <v>0.95</v>
      </c>
      <c r="O244" s="8">
        <f t="shared" si="9"/>
        <v>12995</v>
      </c>
      <c r="P244" s="6" t="s">
        <v>15</v>
      </c>
    </row>
    <row r="245" spans="1:16" x14ac:dyDescent="0.25">
      <c r="A245" s="6" t="s">
        <v>3920</v>
      </c>
      <c r="B245" s="7">
        <f t="shared" si="10"/>
        <v>46114</v>
      </c>
      <c r="C245" s="7">
        <f t="shared" si="11"/>
        <v>46120</v>
      </c>
      <c r="D245" s="6">
        <v>3280</v>
      </c>
      <c r="E245" s="6">
        <v>337</v>
      </c>
      <c r="F245" s="6">
        <v>4</v>
      </c>
      <c r="G245" s="15">
        <v>1</v>
      </c>
      <c r="H245" s="15"/>
      <c r="I245" s="15" t="s">
        <v>1505</v>
      </c>
      <c r="J245" s="15">
        <v>23680028</v>
      </c>
      <c r="K245" s="15" t="s">
        <v>307</v>
      </c>
      <c r="L245" s="15" t="s">
        <v>313</v>
      </c>
      <c r="M245" s="16">
        <v>259900</v>
      </c>
      <c r="N245" s="9">
        <v>0.95</v>
      </c>
      <c r="O245" s="8">
        <f t="shared" si="9"/>
        <v>12995</v>
      </c>
      <c r="P245" s="6" t="s">
        <v>15</v>
      </c>
    </row>
    <row r="246" spans="1:16" x14ac:dyDescent="0.25">
      <c r="A246" s="6" t="s">
        <v>3920</v>
      </c>
      <c r="B246" s="7">
        <f t="shared" si="10"/>
        <v>46114</v>
      </c>
      <c r="C246" s="7">
        <f t="shared" si="11"/>
        <v>46120</v>
      </c>
      <c r="D246" s="6">
        <v>3280</v>
      </c>
      <c r="E246" s="6">
        <v>337</v>
      </c>
      <c r="F246" s="6">
        <v>4</v>
      </c>
      <c r="G246" s="15">
        <v>1</v>
      </c>
      <c r="H246" s="15"/>
      <c r="I246" s="15" t="s">
        <v>1505</v>
      </c>
      <c r="J246" s="15">
        <v>23680073</v>
      </c>
      <c r="K246" s="15" t="s">
        <v>314</v>
      </c>
      <c r="L246" s="15" t="s">
        <v>315</v>
      </c>
      <c r="M246" s="16">
        <v>259900</v>
      </c>
      <c r="N246" s="9">
        <v>0.95</v>
      </c>
      <c r="O246" s="8">
        <f t="shared" si="9"/>
        <v>12995</v>
      </c>
      <c r="P246" s="6" t="s">
        <v>15</v>
      </c>
    </row>
    <row r="247" spans="1:16" x14ac:dyDescent="0.25">
      <c r="A247" s="6" t="s">
        <v>3920</v>
      </c>
      <c r="B247" s="7">
        <f t="shared" si="10"/>
        <v>46114</v>
      </c>
      <c r="C247" s="7">
        <f t="shared" si="11"/>
        <v>46120</v>
      </c>
      <c r="D247" s="6">
        <v>3280</v>
      </c>
      <c r="E247" s="6">
        <v>337</v>
      </c>
      <c r="F247" s="6">
        <v>4</v>
      </c>
      <c r="G247" s="15">
        <v>1</v>
      </c>
      <c r="H247" s="15"/>
      <c r="I247" s="15" t="s">
        <v>1505</v>
      </c>
      <c r="J247" s="15">
        <v>23680082</v>
      </c>
      <c r="K247" s="15" t="s">
        <v>314</v>
      </c>
      <c r="L247" s="15" t="s">
        <v>316</v>
      </c>
      <c r="M247" s="16">
        <v>259900</v>
      </c>
      <c r="N247" s="9">
        <v>0.95</v>
      </c>
      <c r="O247" s="8">
        <f t="shared" si="9"/>
        <v>12995</v>
      </c>
      <c r="P247" s="6" t="s">
        <v>15</v>
      </c>
    </row>
    <row r="248" spans="1:16" x14ac:dyDescent="0.25">
      <c r="A248" s="6" t="s">
        <v>3920</v>
      </c>
      <c r="B248" s="7">
        <f t="shared" si="10"/>
        <v>46114</v>
      </c>
      <c r="C248" s="7">
        <f t="shared" si="11"/>
        <v>46120</v>
      </c>
      <c r="D248" s="6">
        <v>3280</v>
      </c>
      <c r="E248" s="6">
        <v>337</v>
      </c>
      <c r="F248" s="6">
        <v>4</v>
      </c>
      <c r="G248" s="15">
        <v>1</v>
      </c>
      <c r="H248" s="15"/>
      <c r="I248" s="15" t="s">
        <v>1505</v>
      </c>
      <c r="J248" s="15">
        <v>23680091</v>
      </c>
      <c r="K248" s="15" t="s">
        <v>314</v>
      </c>
      <c r="L248" s="15" t="s">
        <v>317</v>
      </c>
      <c r="M248" s="16">
        <v>259900</v>
      </c>
      <c r="N248" s="9">
        <v>0.95</v>
      </c>
      <c r="O248" s="8">
        <f t="shared" si="9"/>
        <v>12995</v>
      </c>
      <c r="P248" s="6" t="s">
        <v>15</v>
      </c>
    </row>
    <row r="249" spans="1:16" x14ac:dyDescent="0.25">
      <c r="A249" s="6" t="s">
        <v>3920</v>
      </c>
      <c r="B249" s="7">
        <f t="shared" si="10"/>
        <v>46114</v>
      </c>
      <c r="C249" s="7">
        <f t="shared" si="11"/>
        <v>46120</v>
      </c>
      <c r="D249" s="6">
        <v>3280</v>
      </c>
      <c r="E249" s="6">
        <v>337</v>
      </c>
      <c r="F249" s="6">
        <v>4</v>
      </c>
      <c r="G249" s="15">
        <v>1</v>
      </c>
      <c r="H249" s="15"/>
      <c r="I249" s="15" t="s">
        <v>1505</v>
      </c>
      <c r="J249" s="15">
        <v>23680108</v>
      </c>
      <c r="K249" s="15" t="s">
        <v>314</v>
      </c>
      <c r="L249" s="15" t="s">
        <v>318</v>
      </c>
      <c r="M249" s="16">
        <v>259900</v>
      </c>
      <c r="N249" s="9">
        <v>0.95</v>
      </c>
      <c r="O249" s="8">
        <f t="shared" si="9"/>
        <v>12995</v>
      </c>
      <c r="P249" s="6" t="s">
        <v>15</v>
      </c>
    </row>
    <row r="250" spans="1:16" x14ac:dyDescent="0.25">
      <c r="A250" s="6" t="s">
        <v>3920</v>
      </c>
      <c r="B250" s="7">
        <f t="shared" si="10"/>
        <v>46114</v>
      </c>
      <c r="C250" s="7">
        <f t="shared" si="11"/>
        <v>46120</v>
      </c>
      <c r="D250" s="6">
        <v>3280</v>
      </c>
      <c r="E250" s="6">
        <v>337</v>
      </c>
      <c r="F250" s="6">
        <v>4</v>
      </c>
      <c r="G250" s="15">
        <v>1</v>
      </c>
      <c r="H250" s="15"/>
      <c r="I250" s="15" t="s">
        <v>1505</v>
      </c>
      <c r="J250" s="15">
        <v>23680117</v>
      </c>
      <c r="K250" s="15" t="s">
        <v>314</v>
      </c>
      <c r="L250" s="15" t="s">
        <v>319</v>
      </c>
      <c r="M250" s="16">
        <v>259900</v>
      </c>
      <c r="N250" s="9">
        <v>0.95</v>
      </c>
      <c r="O250" s="8">
        <f t="shared" si="9"/>
        <v>12995</v>
      </c>
      <c r="P250" s="6" t="s">
        <v>15</v>
      </c>
    </row>
    <row r="251" spans="1:16" x14ac:dyDescent="0.25">
      <c r="A251" s="6" t="s">
        <v>3920</v>
      </c>
      <c r="B251" s="7">
        <f t="shared" si="10"/>
        <v>46114</v>
      </c>
      <c r="C251" s="7">
        <f t="shared" si="11"/>
        <v>46120</v>
      </c>
      <c r="D251" s="6">
        <v>3280</v>
      </c>
      <c r="E251" s="6">
        <v>337</v>
      </c>
      <c r="F251" s="6">
        <v>4</v>
      </c>
      <c r="G251" s="15">
        <v>1</v>
      </c>
      <c r="H251" s="15"/>
      <c r="I251" s="15" t="s">
        <v>1505</v>
      </c>
      <c r="J251" s="15">
        <v>23680126</v>
      </c>
      <c r="K251" s="15" t="s">
        <v>314</v>
      </c>
      <c r="L251" s="15" t="s">
        <v>320</v>
      </c>
      <c r="M251" s="16">
        <v>259900</v>
      </c>
      <c r="N251" s="9">
        <v>0.95</v>
      </c>
      <c r="O251" s="8">
        <f t="shared" si="9"/>
        <v>12995</v>
      </c>
      <c r="P251" s="6" t="s">
        <v>15</v>
      </c>
    </row>
    <row r="252" spans="1:16" x14ac:dyDescent="0.25">
      <c r="A252" s="6" t="s">
        <v>3920</v>
      </c>
      <c r="B252" s="7">
        <f t="shared" si="10"/>
        <v>46114</v>
      </c>
      <c r="C252" s="7">
        <f t="shared" si="11"/>
        <v>46120</v>
      </c>
      <c r="D252" s="6">
        <v>3280</v>
      </c>
      <c r="E252" s="6">
        <v>337</v>
      </c>
      <c r="F252" s="6">
        <v>4</v>
      </c>
      <c r="G252" s="15">
        <v>1</v>
      </c>
      <c r="H252" s="15"/>
      <c r="I252" s="15" t="s">
        <v>1505</v>
      </c>
      <c r="J252" s="15">
        <v>23680251</v>
      </c>
      <c r="K252" s="15" t="s">
        <v>321</v>
      </c>
      <c r="L252" s="15" t="s">
        <v>322</v>
      </c>
      <c r="M252" s="16">
        <v>359900</v>
      </c>
      <c r="N252" s="9">
        <v>0.95</v>
      </c>
      <c r="O252" s="8">
        <f t="shared" si="9"/>
        <v>17995</v>
      </c>
      <c r="P252" s="6" t="s">
        <v>15</v>
      </c>
    </row>
    <row r="253" spans="1:16" x14ac:dyDescent="0.25">
      <c r="A253" s="6" t="s">
        <v>3920</v>
      </c>
      <c r="B253" s="7">
        <f t="shared" si="10"/>
        <v>46114</v>
      </c>
      <c r="C253" s="7">
        <f t="shared" si="11"/>
        <v>46120</v>
      </c>
      <c r="D253" s="6">
        <v>3280</v>
      </c>
      <c r="E253" s="6">
        <v>337</v>
      </c>
      <c r="F253" s="6">
        <v>4</v>
      </c>
      <c r="G253" s="15">
        <v>1</v>
      </c>
      <c r="H253" s="15"/>
      <c r="I253" s="15" t="s">
        <v>1505</v>
      </c>
      <c r="J253" s="15">
        <v>23680279</v>
      </c>
      <c r="K253" s="15" t="s">
        <v>321</v>
      </c>
      <c r="L253" s="15" t="s">
        <v>323</v>
      </c>
      <c r="M253" s="16">
        <v>359900</v>
      </c>
      <c r="N253" s="9">
        <v>0.95</v>
      </c>
      <c r="O253" s="8">
        <f t="shared" si="9"/>
        <v>17995</v>
      </c>
      <c r="P253" s="6" t="s">
        <v>15</v>
      </c>
    </row>
    <row r="254" spans="1:16" x14ac:dyDescent="0.25">
      <c r="A254" s="6" t="s">
        <v>3920</v>
      </c>
      <c r="B254" s="7">
        <f t="shared" si="10"/>
        <v>46114</v>
      </c>
      <c r="C254" s="7">
        <f t="shared" si="11"/>
        <v>46120</v>
      </c>
      <c r="D254" s="6">
        <v>3280</v>
      </c>
      <c r="E254" s="6">
        <v>337</v>
      </c>
      <c r="F254" s="6">
        <v>4</v>
      </c>
      <c r="G254" s="15">
        <v>1</v>
      </c>
      <c r="H254" s="15"/>
      <c r="I254" s="15" t="s">
        <v>1505</v>
      </c>
      <c r="J254" s="15">
        <v>23680288</v>
      </c>
      <c r="K254" s="15" t="s">
        <v>321</v>
      </c>
      <c r="L254" s="15" t="s">
        <v>324</v>
      </c>
      <c r="M254" s="16">
        <v>359900</v>
      </c>
      <c r="N254" s="9">
        <v>0.95</v>
      </c>
      <c r="O254" s="8">
        <f t="shared" si="9"/>
        <v>17995</v>
      </c>
      <c r="P254" s="6" t="s">
        <v>15</v>
      </c>
    </row>
    <row r="255" spans="1:16" x14ac:dyDescent="0.25">
      <c r="A255" s="6" t="s">
        <v>3920</v>
      </c>
      <c r="B255" s="7">
        <f t="shared" si="10"/>
        <v>46114</v>
      </c>
      <c r="C255" s="7">
        <f t="shared" si="11"/>
        <v>46120</v>
      </c>
      <c r="D255" s="6">
        <v>3280</v>
      </c>
      <c r="E255" s="6">
        <v>337</v>
      </c>
      <c r="F255" s="6">
        <v>4</v>
      </c>
      <c r="G255" s="15">
        <v>1</v>
      </c>
      <c r="H255" s="15"/>
      <c r="I255" s="15" t="s">
        <v>1505</v>
      </c>
      <c r="J255" s="15">
        <v>23738476</v>
      </c>
      <c r="K255" s="15" t="s">
        <v>325</v>
      </c>
      <c r="L255" s="15" t="s">
        <v>326</v>
      </c>
      <c r="M255" s="16">
        <v>209900</v>
      </c>
      <c r="N255" s="9">
        <v>0.95</v>
      </c>
      <c r="O255" s="8">
        <f t="shared" si="9"/>
        <v>10495</v>
      </c>
      <c r="P255" s="6" t="s">
        <v>15</v>
      </c>
    </row>
    <row r="256" spans="1:16" x14ac:dyDescent="0.25">
      <c r="A256" s="6" t="s">
        <v>3920</v>
      </c>
      <c r="B256" s="7">
        <f t="shared" si="10"/>
        <v>46114</v>
      </c>
      <c r="C256" s="7">
        <f t="shared" si="11"/>
        <v>46120</v>
      </c>
      <c r="D256" s="6">
        <v>3280</v>
      </c>
      <c r="E256" s="6">
        <v>337</v>
      </c>
      <c r="F256" s="6">
        <v>4</v>
      </c>
      <c r="G256" s="15">
        <v>1</v>
      </c>
      <c r="H256" s="15"/>
      <c r="I256" s="15" t="s">
        <v>1505</v>
      </c>
      <c r="J256" s="15">
        <v>23738485</v>
      </c>
      <c r="K256" s="15" t="s">
        <v>325</v>
      </c>
      <c r="L256" s="15" t="s">
        <v>327</v>
      </c>
      <c r="M256" s="16">
        <v>209900</v>
      </c>
      <c r="N256" s="9">
        <v>0.95</v>
      </c>
      <c r="O256" s="8">
        <f t="shared" si="9"/>
        <v>10495</v>
      </c>
      <c r="P256" s="6" t="s">
        <v>15</v>
      </c>
    </row>
    <row r="257" spans="1:16" x14ac:dyDescent="0.25">
      <c r="A257" s="6" t="s">
        <v>3920</v>
      </c>
      <c r="B257" s="7">
        <f t="shared" si="10"/>
        <v>46114</v>
      </c>
      <c r="C257" s="7">
        <f t="shared" si="11"/>
        <v>46120</v>
      </c>
      <c r="D257" s="6">
        <v>3280</v>
      </c>
      <c r="E257" s="6">
        <v>337</v>
      </c>
      <c r="F257" s="6">
        <v>4</v>
      </c>
      <c r="G257" s="15">
        <v>1</v>
      </c>
      <c r="H257" s="15"/>
      <c r="I257" s="15" t="s">
        <v>1505</v>
      </c>
      <c r="J257" s="15">
        <v>23738494</v>
      </c>
      <c r="K257" s="15" t="s">
        <v>325</v>
      </c>
      <c r="L257" s="15" t="s">
        <v>328</v>
      </c>
      <c r="M257" s="16">
        <v>209900</v>
      </c>
      <c r="N257" s="9">
        <v>0.95</v>
      </c>
      <c r="O257" s="8">
        <f t="shared" si="9"/>
        <v>10495</v>
      </c>
      <c r="P257" s="6" t="s">
        <v>15</v>
      </c>
    </row>
    <row r="258" spans="1:16" x14ac:dyDescent="0.25">
      <c r="A258" s="6" t="s">
        <v>3920</v>
      </c>
      <c r="B258" s="7">
        <f t="shared" si="10"/>
        <v>46114</v>
      </c>
      <c r="C258" s="7">
        <f t="shared" si="11"/>
        <v>46120</v>
      </c>
      <c r="D258" s="6">
        <v>3280</v>
      </c>
      <c r="E258" s="6">
        <v>337</v>
      </c>
      <c r="F258" s="6">
        <v>4</v>
      </c>
      <c r="G258" s="15">
        <v>1</v>
      </c>
      <c r="H258" s="15"/>
      <c r="I258" s="15" t="s">
        <v>1505</v>
      </c>
      <c r="J258" s="15">
        <v>23738501</v>
      </c>
      <c r="K258" s="15" t="s">
        <v>325</v>
      </c>
      <c r="L258" s="15" t="s">
        <v>329</v>
      </c>
      <c r="M258" s="16">
        <v>219900</v>
      </c>
      <c r="N258" s="9">
        <v>0.95</v>
      </c>
      <c r="O258" s="8">
        <f t="shared" ref="O258:O321" si="12">M258-((95*M258)/100)</f>
        <v>10995</v>
      </c>
      <c r="P258" s="6" t="s">
        <v>15</v>
      </c>
    </row>
    <row r="259" spans="1:16" x14ac:dyDescent="0.25">
      <c r="A259" s="6" t="s">
        <v>3920</v>
      </c>
      <c r="B259" s="7">
        <f t="shared" si="10"/>
        <v>46114</v>
      </c>
      <c r="C259" s="7">
        <f t="shared" si="11"/>
        <v>46120</v>
      </c>
      <c r="D259" s="6">
        <v>3280</v>
      </c>
      <c r="E259" s="6">
        <v>337</v>
      </c>
      <c r="F259" s="6">
        <v>4</v>
      </c>
      <c r="G259" s="15">
        <v>1</v>
      </c>
      <c r="H259" s="15"/>
      <c r="I259" s="15" t="s">
        <v>1505</v>
      </c>
      <c r="J259" s="15">
        <v>23738510</v>
      </c>
      <c r="K259" s="15" t="s">
        <v>325</v>
      </c>
      <c r="L259" s="15" t="s">
        <v>330</v>
      </c>
      <c r="M259" s="16">
        <v>219900</v>
      </c>
      <c r="N259" s="9">
        <v>0.95</v>
      </c>
      <c r="O259" s="8">
        <f t="shared" si="12"/>
        <v>10995</v>
      </c>
      <c r="P259" s="6" t="s">
        <v>15</v>
      </c>
    </row>
    <row r="260" spans="1:16" x14ac:dyDescent="0.25">
      <c r="A260" s="6" t="s">
        <v>3920</v>
      </c>
      <c r="B260" s="7">
        <f t="shared" ref="B260:B323" si="13">B259</f>
        <v>46114</v>
      </c>
      <c r="C260" s="7">
        <f t="shared" ref="C260:C323" si="14">C259</f>
        <v>46120</v>
      </c>
      <c r="D260" s="6">
        <v>3280</v>
      </c>
      <c r="E260" s="6">
        <v>337</v>
      </c>
      <c r="F260" s="6">
        <v>4</v>
      </c>
      <c r="G260" s="15">
        <v>1</v>
      </c>
      <c r="H260" s="15"/>
      <c r="I260" s="15" t="s">
        <v>1505</v>
      </c>
      <c r="J260" s="15">
        <v>23738529</v>
      </c>
      <c r="K260" s="15" t="s">
        <v>325</v>
      </c>
      <c r="L260" s="15" t="s">
        <v>331</v>
      </c>
      <c r="M260" s="16">
        <v>219900</v>
      </c>
      <c r="N260" s="9">
        <v>0.95</v>
      </c>
      <c r="O260" s="8">
        <f t="shared" si="12"/>
        <v>10995</v>
      </c>
      <c r="P260" s="6" t="s">
        <v>15</v>
      </c>
    </row>
    <row r="261" spans="1:16" x14ac:dyDescent="0.25">
      <c r="A261" s="6" t="s">
        <v>3920</v>
      </c>
      <c r="B261" s="7">
        <f t="shared" si="13"/>
        <v>46114</v>
      </c>
      <c r="C261" s="7">
        <f t="shared" si="14"/>
        <v>46120</v>
      </c>
      <c r="D261" s="6">
        <v>3280</v>
      </c>
      <c r="E261" s="6">
        <v>337</v>
      </c>
      <c r="F261" s="6">
        <v>4</v>
      </c>
      <c r="G261" s="15">
        <v>1</v>
      </c>
      <c r="H261" s="15"/>
      <c r="I261" s="15" t="s">
        <v>1505</v>
      </c>
      <c r="J261" s="15">
        <v>23677167</v>
      </c>
      <c r="K261" s="15" t="s">
        <v>287</v>
      </c>
      <c r="L261" s="15" t="s">
        <v>332</v>
      </c>
      <c r="M261" s="16">
        <v>259900</v>
      </c>
      <c r="N261" s="9">
        <v>0.95</v>
      </c>
      <c r="O261" s="8">
        <f t="shared" si="12"/>
        <v>12995</v>
      </c>
      <c r="P261" s="6" t="s">
        <v>15</v>
      </c>
    </row>
    <row r="262" spans="1:16" x14ac:dyDescent="0.25">
      <c r="A262" s="6" t="s">
        <v>3920</v>
      </c>
      <c r="B262" s="7">
        <f t="shared" si="13"/>
        <v>46114</v>
      </c>
      <c r="C262" s="7">
        <f t="shared" si="14"/>
        <v>46120</v>
      </c>
      <c r="D262" s="6">
        <v>3280</v>
      </c>
      <c r="E262" s="6">
        <v>337</v>
      </c>
      <c r="F262" s="6">
        <v>4</v>
      </c>
      <c r="G262" s="15">
        <v>1</v>
      </c>
      <c r="H262" s="15"/>
      <c r="I262" s="15" t="s">
        <v>1505</v>
      </c>
      <c r="J262" s="15">
        <v>23656671</v>
      </c>
      <c r="K262" s="15" t="s">
        <v>230</v>
      </c>
      <c r="L262" s="15" t="s">
        <v>333</v>
      </c>
      <c r="M262" s="16">
        <v>359900</v>
      </c>
      <c r="N262" s="9">
        <v>0.95</v>
      </c>
      <c r="O262" s="8">
        <f t="shared" si="12"/>
        <v>17995</v>
      </c>
      <c r="P262" s="6" t="s">
        <v>15</v>
      </c>
    </row>
    <row r="263" spans="1:16" x14ac:dyDescent="0.25">
      <c r="A263" s="6" t="s">
        <v>3920</v>
      </c>
      <c r="B263" s="7">
        <f t="shared" si="13"/>
        <v>46114</v>
      </c>
      <c r="C263" s="7">
        <f t="shared" si="14"/>
        <v>46120</v>
      </c>
      <c r="D263" s="6">
        <v>3280</v>
      </c>
      <c r="E263" s="6">
        <v>337</v>
      </c>
      <c r="F263" s="6">
        <v>4</v>
      </c>
      <c r="G263" s="15">
        <v>1</v>
      </c>
      <c r="H263" s="15"/>
      <c r="I263" s="15" t="s">
        <v>1505</v>
      </c>
      <c r="J263" s="15">
        <v>23679816</v>
      </c>
      <c r="K263" s="15" t="s">
        <v>303</v>
      </c>
      <c r="L263" s="15" t="s">
        <v>334</v>
      </c>
      <c r="M263" s="16">
        <v>259900</v>
      </c>
      <c r="N263" s="9">
        <v>0.95</v>
      </c>
      <c r="O263" s="8">
        <f t="shared" si="12"/>
        <v>12995</v>
      </c>
      <c r="P263" s="6" t="s">
        <v>15</v>
      </c>
    </row>
    <row r="264" spans="1:16" x14ac:dyDescent="0.25">
      <c r="A264" s="6" t="s">
        <v>3920</v>
      </c>
      <c r="B264" s="7">
        <f t="shared" si="13"/>
        <v>46114</v>
      </c>
      <c r="C264" s="7">
        <f t="shared" si="14"/>
        <v>46120</v>
      </c>
      <c r="D264" s="6">
        <v>3280</v>
      </c>
      <c r="E264" s="6">
        <v>337</v>
      </c>
      <c r="F264" s="6">
        <v>4</v>
      </c>
      <c r="G264" s="15">
        <v>1</v>
      </c>
      <c r="H264" s="15"/>
      <c r="I264" s="15" t="s">
        <v>1505</v>
      </c>
      <c r="J264" s="15">
        <v>23677185</v>
      </c>
      <c r="K264" s="15" t="s">
        <v>287</v>
      </c>
      <c r="L264" s="15" t="s">
        <v>335</v>
      </c>
      <c r="M264" s="16">
        <v>259900</v>
      </c>
      <c r="N264" s="9">
        <v>0.95</v>
      </c>
      <c r="O264" s="8">
        <f t="shared" si="12"/>
        <v>12995</v>
      </c>
      <c r="P264" s="6" t="s">
        <v>15</v>
      </c>
    </row>
    <row r="265" spans="1:16" x14ac:dyDescent="0.25">
      <c r="A265" s="6" t="s">
        <v>3920</v>
      </c>
      <c r="B265" s="7">
        <f t="shared" si="13"/>
        <v>46114</v>
      </c>
      <c r="C265" s="7">
        <f t="shared" si="14"/>
        <v>46120</v>
      </c>
      <c r="D265" s="6">
        <v>3280</v>
      </c>
      <c r="E265" s="6">
        <v>337</v>
      </c>
      <c r="F265" s="6">
        <v>4</v>
      </c>
      <c r="G265" s="15">
        <v>1</v>
      </c>
      <c r="H265" s="15"/>
      <c r="I265" s="15" t="s">
        <v>1505</v>
      </c>
      <c r="J265" s="15">
        <v>23678255</v>
      </c>
      <c r="K265" s="15" t="s">
        <v>295</v>
      </c>
      <c r="L265" s="15" t="s">
        <v>336</v>
      </c>
      <c r="M265" s="16">
        <v>259900</v>
      </c>
      <c r="N265" s="9">
        <v>0.95</v>
      </c>
      <c r="O265" s="8">
        <f t="shared" si="12"/>
        <v>12995</v>
      </c>
      <c r="P265" s="6" t="s">
        <v>15</v>
      </c>
    </row>
    <row r="266" spans="1:16" x14ac:dyDescent="0.25">
      <c r="A266" s="6" t="s">
        <v>3920</v>
      </c>
      <c r="B266" s="7">
        <f t="shared" si="13"/>
        <v>46114</v>
      </c>
      <c r="C266" s="7">
        <f t="shared" si="14"/>
        <v>46120</v>
      </c>
      <c r="D266" s="6">
        <v>3280</v>
      </c>
      <c r="E266" s="6">
        <v>337</v>
      </c>
      <c r="F266" s="6">
        <v>4</v>
      </c>
      <c r="G266" s="15">
        <v>1</v>
      </c>
      <c r="H266" s="15"/>
      <c r="I266" s="15" t="s">
        <v>1505</v>
      </c>
      <c r="J266" s="15">
        <v>23677505</v>
      </c>
      <c r="K266" s="15" t="s">
        <v>289</v>
      </c>
      <c r="L266" s="15" t="s">
        <v>337</v>
      </c>
      <c r="M266" s="16">
        <v>259900</v>
      </c>
      <c r="N266" s="9">
        <v>0.95</v>
      </c>
      <c r="O266" s="8">
        <f t="shared" si="12"/>
        <v>12995</v>
      </c>
      <c r="P266" s="6" t="s">
        <v>15</v>
      </c>
    </row>
    <row r="267" spans="1:16" x14ac:dyDescent="0.25">
      <c r="A267" s="6" t="s">
        <v>3920</v>
      </c>
      <c r="B267" s="7">
        <f t="shared" si="13"/>
        <v>46114</v>
      </c>
      <c r="C267" s="7">
        <f t="shared" si="14"/>
        <v>46120</v>
      </c>
      <c r="D267" s="6">
        <v>3280</v>
      </c>
      <c r="E267" s="6">
        <v>337</v>
      </c>
      <c r="F267" s="6">
        <v>4</v>
      </c>
      <c r="G267" s="15">
        <v>1</v>
      </c>
      <c r="H267" s="15"/>
      <c r="I267" s="15" t="s">
        <v>1505</v>
      </c>
      <c r="J267" s="15">
        <v>23659043</v>
      </c>
      <c r="K267" s="15" t="s">
        <v>261</v>
      </c>
      <c r="L267" s="15" t="s">
        <v>338</v>
      </c>
      <c r="M267" s="16">
        <v>329900</v>
      </c>
      <c r="N267" s="9">
        <v>0.95</v>
      </c>
      <c r="O267" s="8">
        <f t="shared" si="12"/>
        <v>16495</v>
      </c>
      <c r="P267" s="6" t="s">
        <v>15</v>
      </c>
    </row>
    <row r="268" spans="1:16" x14ac:dyDescent="0.25">
      <c r="A268" s="6" t="s">
        <v>3920</v>
      </c>
      <c r="B268" s="7">
        <f t="shared" si="13"/>
        <v>46114</v>
      </c>
      <c r="C268" s="7">
        <f t="shared" si="14"/>
        <v>46120</v>
      </c>
      <c r="D268" s="6">
        <v>3280</v>
      </c>
      <c r="E268" s="6">
        <v>337</v>
      </c>
      <c r="F268" s="6">
        <v>4</v>
      </c>
      <c r="G268" s="15">
        <v>1</v>
      </c>
      <c r="H268" s="15"/>
      <c r="I268" s="15" t="s">
        <v>1505</v>
      </c>
      <c r="J268" s="15">
        <v>23679110</v>
      </c>
      <c r="K268" s="15" t="s">
        <v>299</v>
      </c>
      <c r="L268" s="15" t="s">
        <v>339</v>
      </c>
      <c r="M268" s="16">
        <v>259900</v>
      </c>
      <c r="N268" s="9">
        <v>0.95</v>
      </c>
      <c r="O268" s="8">
        <f t="shared" si="12"/>
        <v>12995</v>
      </c>
      <c r="P268" s="6" t="s">
        <v>15</v>
      </c>
    </row>
    <row r="269" spans="1:16" x14ac:dyDescent="0.25">
      <c r="A269" s="6" t="s">
        <v>3920</v>
      </c>
      <c r="B269" s="7">
        <f t="shared" si="13"/>
        <v>46114</v>
      </c>
      <c r="C269" s="7">
        <f t="shared" si="14"/>
        <v>46120</v>
      </c>
      <c r="D269" s="6">
        <v>3280</v>
      </c>
      <c r="E269" s="6">
        <v>337</v>
      </c>
      <c r="F269" s="6">
        <v>4</v>
      </c>
      <c r="G269" s="15">
        <v>1</v>
      </c>
      <c r="H269" s="15"/>
      <c r="I269" s="15" t="s">
        <v>1505</v>
      </c>
      <c r="J269" s="15">
        <v>23659132</v>
      </c>
      <c r="K269" s="15" t="s">
        <v>264</v>
      </c>
      <c r="L269" s="15" t="s">
        <v>340</v>
      </c>
      <c r="M269" s="16">
        <v>359900</v>
      </c>
      <c r="N269" s="9">
        <v>0.95</v>
      </c>
      <c r="O269" s="8">
        <f t="shared" si="12"/>
        <v>17995</v>
      </c>
      <c r="P269" s="6" t="s">
        <v>15</v>
      </c>
    </row>
    <row r="270" spans="1:16" x14ac:dyDescent="0.25">
      <c r="A270" s="6" t="s">
        <v>3920</v>
      </c>
      <c r="B270" s="7">
        <f t="shared" si="13"/>
        <v>46114</v>
      </c>
      <c r="C270" s="7">
        <f t="shared" si="14"/>
        <v>46120</v>
      </c>
      <c r="D270" s="6">
        <v>3280</v>
      </c>
      <c r="E270" s="6">
        <v>337</v>
      </c>
      <c r="F270" s="6">
        <v>4</v>
      </c>
      <c r="G270" s="15">
        <v>1</v>
      </c>
      <c r="H270" s="15"/>
      <c r="I270" s="15" t="s">
        <v>1505</v>
      </c>
      <c r="J270" s="15">
        <v>23679825</v>
      </c>
      <c r="K270" s="15" t="s">
        <v>303</v>
      </c>
      <c r="L270" s="15" t="s">
        <v>341</v>
      </c>
      <c r="M270" s="16">
        <v>259900</v>
      </c>
      <c r="N270" s="9">
        <v>0.95</v>
      </c>
      <c r="O270" s="8">
        <f t="shared" si="12"/>
        <v>12995</v>
      </c>
      <c r="P270" s="6" t="s">
        <v>15</v>
      </c>
    </row>
    <row r="271" spans="1:16" x14ac:dyDescent="0.25">
      <c r="A271" s="6" t="s">
        <v>3920</v>
      </c>
      <c r="B271" s="7">
        <f t="shared" si="13"/>
        <v>46114</v>
      </c>
      <c r="C271" s="7">
        <f t="shared" si="14"/>
        <v>46120</v>
      </c>
      <c r="D271" s="6">
        <v>3280</v>
      </c>
      <c r="E271" s="6">
        <v>337</v>
      </c>
      <c r="F271" s="6">
        <v>4</v>
      </c>
      <c r="G271" s="15">
        <v>1</v>
      </c>
      <c r="H271" s="15"/>
      <c r="I271" s="15" t="s">
        <v>1505</v>
      </c>
      <c r="J271" s="15">
        <v>23679398</v>
      </c>
      <c r="K271" s="15" t="s">
        <v>301</v>
      </c>
      <c r="L271" s="15" t="s">
        <v>342</v>
      </c>
      <c r="M271" s="16">
        <v>259900</v>
      </c>
      <c r="N271" s="9">
        <v>0.95</v>
      </c>
      <c r="O271" s="8">
        <f t="shared" si="12"/>
        <v>12995</v>
      </c>
      <c r="P271" s="6" t="s">
        <v>15</v>
      </c>
    </row>
    <row r="272" spans="1:16" x14ac:dyDescent="0.25">
      <c r="A272" s="6" t="s">
        <v>3920</v>
      </c>
      <c r="B272" s="7">
        <f t="shared" si="13"/>
        <v>46114</v>
      </c>
      <c r="C272" s="7">
        <f t="shared" si="14"/>
        <v>46120</v>
      </c>
      <c r="D272" s="6">
        <v>3280</v>
      </c>
      <c r="E272" s="6">
        <v>337</v>
      </c>
      <c r="F272" s="6">
        <v>4</v>
      </c>
      <c r="G272" s="15">
        <v>1</v>
      </c>
      <c r="H272" s="15"/>
      <c r="I272" s="15" t="s">
        <v>1505</v>
      </c>
      <c r="J272" s="15">
        <v>23718747</v>
      </c>
      <c r="K272" s="15" t="s">
        <v>213</v>
      </c>
      <c r="L272" s="15" t="s">
        <v>343</v>
      </c>
      <c r="M272" s="16">
        <v>219900</v>
      </c>
      <c r="N272" s="9">
        <v>0.95</v>
      </c>
      <c r="O272" s="8">
        <f t="shared" si="12"/>
        <v>10995</v>
      </c>
      <c r="P272" s="6" t="s">
        <v>15</v>
      </c>
    </row>
    <row r="273" spans="1:16" x14ac:dyDescent="0.25">
      <c r="A273" s="6" t="s">
        <v>3920</v>
      </c>
      <c r="B273" s="7">
        <f t="shared" si="13"/>
        <v>46114</v>
      </c>
      <c r="C273" s="7">
        <f t="shared" si="14"/>
        <v>46120</v>
      </c>
      <c r="D273" s="6">
        <v>3280</v>
      </c>
      <c r="E273" s="6">
        <v>337</v>
      </c>
      <c r="F273" s="6">
        <v>4</v>
      </c>
      <c r="G273" s="15">
        <v>1</v>
      </c>
      <c r="H273" s="15"/>
      <c r="I273" s="15" t="s">
        <v>1505</v>
      </c>
      <c r="J273" s="15">
        <v>23678273</v>
      </c>
      <c r="K273" s="15" t="s">
        <v>295</v>
      </c>
      <c r="L273" s="15" t="s">
        <v>344</v>
      </c>
      <c r="M273" s="16">
        <v>259900</v>
      </c>
      <c r="N273" s="9">
        <v>0.95</v>
      </c>
      <c r="O273" s="8">
        <f t="shared" si="12"/>
        <v>12995</v>
      </c>
      <c r="P273" s="6" t="s">
        <v>15</v>
      </c>
    </row>
    <row r="274" spans="1:16" x14ac:dyDescent="0.25">
      <c r="A274" s="6" t="s">
        <v>3920</v>
      </c>
      <c r="B274" s="7">
        <f t="shared" si="13"/>
        <v>46114</v>
      </c>
      <c r="C274" s="7">
        <f t="shared" si="14"/>
        <v>46120</v>
      </c>
      <c r="D274" s="6">
        <v>3280</v>
      </c>
      <c r="E274" s="6">
        <v>337</v>
      </c>
      <c r="F274" s="6">
        <v>4</v>
      </c>
      <c r="G274" s="15">
        <v>1</v>
      </c>
      <c r="H274" s="15"/>
      <c r="I274" s="15" t="s">
        <v>1505</v>
      </c>
      <c r="J274" s="15">
        <v>23657750</v>
      </c>
      <c r="K274" s="15" t="s">
        <v>238</v>
      </c>
      <c r="L274" s="15" t="s">
        <v>345</v>
      </c>
      <c r="M274" s="16">
        <v>359900</v>
      </c>
      <c r="N274" s="9">
        <v>0.95</v>
      </c>
      <c r="O274" s="8">
        <f t="shared" si="12"/>
        <v>17995</v>
      </c>
      <c r="P274" s="6" t="s">
        <v>15</v>
      </c>
    </row>
    <row r="275" spans="1:16" x14ac:dyDescent="0.25">
      <c r="A275" s="6" t="s">
        <v>3920</v>
      </c>
      <c r="B275" s="7">
        <f t="shared" si="13"/>
        <v>46114</v>
      </c>
      <c r="C275" s="7">
        <f t="shared" si="14"/>
        <v>46120</v>
      </c>
      <c r="D275" s="6">
        <v>3280</v>
      </c>
      <c r="E275" s="6">
        <v>337</v>
      </c>
      <c r="F275" s="6">
        <v>4</v>
      </c>
      <c r="G275" s="15">
        <v>1</v>
      </c>
      <c r="H275" s="15"/>
      <c r="I275" s="15" t="s">
        <v>1505</v>
      </c>
      <c r="J275" s="15">
        <v>23659052</v>
      </c>
      <c r="K275" s="15" t="s">
        <v>261</v>
      </c>
      <c r="L275" s="15" t="s">
        <v>346</v>
      </c>
      <c r="M275" s="16">
        <v>329900</v>
      </c>
      <c r="N275" s="9">
        <v>0.95</v>
      </c>
      <c r="O275" s="8">
        <f t="shared" si="12"/>
        <v>16495</v>
      </c>
      <c r="P275" s="6" t="s">
        <v>15</v>
      </c>
    </row>
    <row r="276" spans="1:16" x14ac:dyDescent="0.25">
      <c r="A276" s="6" t="s">
        <v>3920</v>
      </c>
      <c r="B276" s="7">
        <f t="shared" si="13"/>
        <v>46114</v>
      </c>
      <c r="C276" s="7">
        <f t="shared" si="14"/>
        <v>46120</v>
      </c>
      <c r="D276" s="6">
        <v>3280</v>
      </c>
      <c r="E276" s="6">
        <v>337</v>
      </c>
      <c r="F276" s="6">
        <v>4</v>
      </c>
      <c r="G276" s="15">
        <v>1</v>
      </c>
      <c r="H276" s="15"/>
      <c r="I276" s="15" t="s">
        <v>1505</v>
      </c>
      <c r="J276" s="15">
        <v>23718729</v>
      </c>
      <c r="K276" s="15" t="s">
        <v>213</v>
      </c>
      <c r="L276" s="15" t="s">
        <v>347</v>
      </c>
      <c r="M276" s="16">
        <v>209900</v>
      </c>
      <c r="N276" s="9">
        <v>0.95</v>
      </c>
      <c r="O276" s="8">
        <f t="shared" si="12"/>
        <v>10495</v>
      </c>
      <c r="P276" s="6" t="s">
        <v>15</v>
      </c>
    </row>
    <row r="277" spans="1:16" x14ac:dyDescent="0.25">
      <c r="A277" s="6" t="s">
        <v>3920</v>
      </c>
      <c r="B277" s="7">
        <f t="shared" si="13"/>
        <v>46114</v>
      </c>
      <c r="C277" s="7">
        <f t="shared" si="14"/>
        <v>46120</v>
      </c>
      <c r="D277" s="6">
        <v>3280</v>
      </c>
      <c r="E277" s="6">
        <v>337</v>
      </c>
      <c r="F277" s="6">
        <v>4</v>
      </c>
      <c r="G277" s="15">
        <v>1</v>
      </c>
      <c r="H277" s="15"/>
      <c r="I277" s="15" t="s">
        <v>1505</v>
      </c>
      <c r="J277" s="15">
        <v>23679807</v>
      </c>
      <c r="K277" s="15" t="s">
        <v>303</v>
      </c>
      <c r="L277" s="15" t="s">
        <v>348</v>
      </c>
      <c r="M277" s="16">
        <v>259900</v>
      </c>
      <c r="N277" s="9">
        <v>0.95</v>
      </c>
      <c r="O277" s="8">
        <f t="shared" si="12"/>
        <v>12995</v>
      </c>
      <c r="P277" s="6" t="s">
        <v>15</v>
      </c>
    </row>
    <row r="278" spans="1:16" x14ac:dyDescent="0.25">
      <c r="A278" s="6" t="s">
        <v>3920</v>
      </c>
      <c r="B278" s="7">
        <f t="shared" si="13"/>
        <v>46114</v>
      </c>
      <c r="C278" s="7">
        <f t="shared" si="14"/>
        <v>46120</v>
      </c>
      <c r="D278" s="6">
        <v>3280</v>
      </c>
      <c r="E278" s="6">
        <v>337</v>
      </c>
      <c r="F278" s="6">
        <v>4</v>
      </c>
      <c r="G278" s="15">
        <v>1</v>
      </c>
      <c r="H278" s="15"/>
      <c r="I278" s="15" t="s">
        <v>1505</v>
      </c>
      <c r="J278" s="15">
        <v>23735433</v>
      </c>
      <c r="K278" s="15" t="s">
        <v>349</v>
      </c>
      <c r="L278" s="15" t="s">
        <v>350</v>
      </c>
      <c r="M278" s="16">
        <v>209900</v>
      </c>
      <c r="N278" s="9">
        <v>0.95</v>
      </c>
      <c r="O278" s="8">
        <f t="shared" si="12"/>
        <v>10495</v>
      </c>
      <c r="P278" s="6" t="s">
        <v>15</v>
      </c>
    </row>
    <row r="279" spans="1:16" x14ac:dyDescent="0.25">
      <c r="A279" s="6" t="s">
        <v>3920</v>
      </c>
      <c r="B279" s="7">
        <f t="shared" si="13"/>
        <v>46114</v>
      </c>
      <c r="C279" s="7">
        <f t="shared" si="14"/>
        <v>46120</v>
      </c>
      <c r="D279" s="6">
        <v>3280</v>
      </c>
      <c r="E279" s="6">
        <v>337</v>
      </c>
      <c r="F279" s="6">
        <v>4</v>
      </c>
      <c r="G279" s="15">
        <v>1</v>
      </c>
      <c r="H279" s="15"/>
      <c r="I279" s="15" t="s">
        <v>1505</v>
      </c>
      <c r="J279" s="15">
        <v>23679389</v>
      </c>
      <c r="K279" s="15" t="s">
        <v>301</v>
      </c>
      <c r="L279" s="15" t="s">
        <v>351</v>
      </c>
      <c r="M279" s="16">
        <v>259900</v>
      </c>
      <c r="N279" s="9">
        <v>0.95</v>
      </c>
      <c r="O279" s="8">
        <f t="shared" si="12"/>
        <v>12995</v>
      </c>
      <c r="P279" s="6" t="s">
        <v>15</v>
      </c>
    </row>
    <row r="280" spans="1:16" x14ac:dyDescent="0.25">
      <c r="A280" s="6" t="s">
        <v>3920</v>
      </c>
      <c r="B280" s="7">
        <f t="shared" si="13"/>
        <v>46114</v>
      </c>
      <c r="C280" s="7">
        <f t="shared" si="14"/>
        <v>46120</v>
      </c>
      <c r="D280" s="6">
        <v>3280</v>
      </c>
      <c r="E280" s="6">
        <v>337</v>
      </c>
      <c r="F280" s="6">
        <v>4</v>
      </c>
      <c r="G280" s="15">
        <v>1</v>
      </c>
      <c r="H280" s="15"/>
      <c r="I280" s="15" t="s">
        <v>1505</v>
      </c>
      <c r="J280" s="15">
        <v>23679423</v>
      </c>
      <c r="K280" s="15" t="s">
        <v>301</v>
      </c>
      <c r="L280" s="15" t="s">
        <v>352</v>
      </c>
      <c r="M280" s="16">
        <v>259900</v>
      </c>
      <c r="N280" s="9">
        <v>0.95</v>
      </c>
      <c r="O280" s="8">
        <f t="shared" si="12"/>
        <v>12995</v>
      </c>
      <c r="P280" s="6" t="s">
        <v>15</v>
      </c>
    </row>
    <row r="281" spans="1:16" x14ac:dyDescent="0.25">
      <c r="A281" s="6" t="s">
        <v>3920</v>
      </c>
      <c r="B281" s="7">
        <f t="shared" si="13"/>
        <v>46114</v>
      </c>
      <c r="C281" s="7">
        <f t="shared" si="14"/>
        <v>46120</v>
      </c>
      <c r="D281" s="6">
        <v>3280</v>
      </c>
      <c r="E281" s="6">
        <v>337</v>
      </c>
      <c r="F281" s="6">
        <v>4</v>
      </c>
      <c r="G281" s="15">
        <v>1</v>
      </c>
      <c r="H281" s="15"/>
      <c r="I281" s="15" t="s">
        <v>1505</v>
      </c>
      <c r="J281" s="15">
        <v>23659123</v>
      </c>
      <c r="K281" s="15" t="s">
        <v>264</v>
      </c>
      <c r="L281" s="15" t="s">
        <v>353</v>
      </c>
      <c r="M281" s="16">
        <v>359900</v>
      </c>
      <c r="N281" s="9">
        <v>0.95</v>
      </c>
      <c r="O281" s="8">
        <f t="shared" si="12"/>
        <v>17995</v>
      </c>
      <c r="P281" s="6" t="s">
        <v>15</v>
      </c>
    </row>
    <row r="282" spans="1:16" x14ac:dyDescent="0.25">
      <c r="A282" s="6" t="s">
        <v>3920</v>
      </c>
      <c r="B282" s="7">
        <f t="shared" si="13"/>
        <v>46114</v>
      </c>
      <c r="C282" s="7">
        <f t="shared" si="14"/>
        <v>46120</v>
      </c>
      <c r="D282" s="6">
        <v>3280</v>
      </c>
      <c r="E282" s="6">
        <v>337</v>
      </c>
      <c r="F282" s="6">
        <v>4</v>
      </c>
      <c r="G282" s="15">
        <v>1</v>
      </c>
      <c r="H282" s="15"/>
      <c r="I282" s="15" t="s">
        <v>1505</v>
      </c>
      <c r="J282" s="15">
        <v>23735424</v>
      </c>
      <c r="K282" s="15" t="s">
        <v>349</v>
      </c>
      <c r="L282" s="15" t="s">
        <v>354</v>
      </c>
      <c r="M282" s="16">
        <v>209900</v>
      </c>
      <c r="N282" s="9">
        <v>0.95</v>
      </c>
      <c r="O282" s="8">
        <f t="shared" si="12"/>
        <v>10495</v>
      </c>
      <c r="P282" s="6" t="s">
        <v>15</v>
      </c>
    </row>
    <row r="283" spans="1:16" x14ac:dyDescent="0.25">
      <c r="A283" s="6" t="s">
        <v>3920</v>
      </c>
      <c r="B283" s="7">
        <f t="shared" si="13"/>
        <v>46114</v>
      </c>
      <c r="C283" s="7">
        <f t="shared" si="14"/>
        <v>46120</v>
      </c>
      <c r="D283" s="6">
        <v>3280</v>
      </c>
      <c r="E283" s="6">
        <v>337</v>
      </c>
      <c r="F283" s="6">
        <v>4</v>
      </c>
      <c r="G283" s="15">
        <v>1</v>
      </c>
      <c r="H283" s="15"/>
      <c r="I283" s="15" t="s">
        <v>1505</v>
      </c>
      <c r="J283" s="15">
        <v>23656680</v>
      </c>
      <c r="K283" s="15" t="s">
        <v>230</v>
      </c>
      <c r="L283" s="15" t="s">
        <v>355</v>
      </c>
      <c r="M283" s="16">
        <v>359900</v>
      </c>
      <c r="N283" s="9">
        <v>0.95</v>
      </c>
      <c r="O283" s="8">
        <f t="shared" si="12"/>
        <v>17995</v>
      </c>
      <c r="P283" s="6" t="s">
        <v>15</v>
      </c>
    </row>
    <row r="284" spans="1:16" x14ac:dyDescent="0.25">
      <c r="A284" s="6" t="s">
        <v>3920</v>
      </c>
      <c r="B284" s="7">
        <f t="shared" si="13"/>
        <v>46114</v>
      </c>
      <c r="C284" s="7">
        <f t="shared" si="14"/>
        <v>46120</v>
      </c>
      <c r="D284" s="6">
        <v>3280</v>
      </c>
      <c r="E284" s="6">
        <v>337</v>
      </c>
      <c r="F284" s="6">
        <v>4</v>
      </c>
      <c r="G284" s="15">
        <v>1</v>
      </c>
      <c r="H284" s="15"/>
      <c r="I284" s="15" t="s">
        <v>1505</v>
      </c>
      <c r="J284" s="15">
        <v>23679405</v>
      </c>
      <c r="K284" s="15" t="s">
        <v>301</v>
      </c>
      <c r="L284" s="15" t="s">
        <v>356</v>
      </c>
      <c r="M284" s="16">
        <v>259900</v>
      </c>
      <c r="N284" s="9">
        <v>0.95</v>
      </c>
      <c r="O284" s="8">
        <f t="shared" si="12"/>
        <v>12995</v>
      </c>
      <c r="P284" s="6" t="s">
        <v>15</v>
      </c>
    </row>
    <row r="285" spans="1:16" x14ac:dyDescent="0.25">
      <c r="A285" s="6" t="s">
        <v>3920</v>
      </c>
      <c r="B285" s="7">
        <f t="shared" si="13"/>
        <v>46114</v>
      </c>
      <c r="C285" s="7">
        <f t="shared" si="14"/>
        <v>46120</v>
      </c>
      <c r="D285" s="6">
        <v>3280</v>
      </c>
      <c r="E285" s="6">
        <v>337</v>
      </c>
      <c r="F285" s="6">
        <v>4</v>
      </c>
      <c r="G285" s="15">
        <v>1</v>
      </c>
      <c r="H285" s="15"/>
      <c r="I285" s="15" t="s">
        <v>1505</v>
      </c>
      <c r="J285" s="15">
        <v>23735479</v>
      </c>
      <c r="K285" s="15" t="s">
        <v>349</v>
      </c>
      <c r="L285" s="15" t="s">
        <v>357</v>
      </c>
      <c r="M285" s="16">
        <v>219900</v>
      </c>
      <c r="N285" s="9">
        <v>0.95</v>
      </c>
      <c r="O285" s="8">
        <f t="shared" si="12"/>
        <v>10995</v>
      </c>
      <c r="P285" s="6" t="s">
        <v>15</v>
      </c>
    </row>
    <row r="286" spans="1:16" x14ac:dyDescent="0.25">
      <c r="A286" s="6" t="s">
        <v>3920</v>
      </c>
      <c r="B286" s="7">
        <f t="shared" si="13"/>
        <v>46114</v>
      </c>
      <c r="C286" s="7">
        <f t="shared" si="14"/>
        <v>46120</v>
      </c>
      <c r="D286" s="6">
        <v>3280</v>
      </c>
      <c r="E286" s="6">
        <v>337</v>
      </c>
      <c r="F286" s="6">
        <v>4</v>
      </c>
      <c r="G286" s="15">
        <v>1</v>
      </c>
      <c r="H286" s="15"/>
      <c r="I286" s="15" t="s">
        <v>1505</v>
      </c>
      <c r="J286" s="15">
        <v>23680260</v>
      </c>
      <c r="K286" s="15" t="s">
        <v>321</v>
      </c>
      <c r="L286" s="15" t="s">
        <v>358</v>
      </c>
      <c r="M286" s="16">
        <v>359900</v>
      </c>
      <c r="N286" s="9">
        <v>0.95</v>
      </c>
      <c r="O286" s="8">
        <f t="shared" si="12"/>
        <v>17995</v>
      </c>
      <c r="P286" s="6" t="s">
        <v>15</v>
      </c>
    </row>
    <row r="287" spans="1:16" x14ac:dyDescent="0.25">
      <c r="A287" s="6" t="s">
        <v>3920</v>
      </c>
      <c r="B287" s="7">
        <f t="shared" si="13"/>
        <v>46114</v>
      </c>
      <c r="C287" s="7">
        <f t="shared" si="14"/>
        <v>46120</v>
      </c>
      <c r="D287" s="6">
        <v>3280</v>
      </c>
      <c r="E287" s="6">
        <v>337</v>
      </c>
      <c r="F287" s="6">
        <v>4</v>
      </c>
      <c r="G287" s="15">
        <v>1</v>
      </c>
      <c r="H287" s="15"/>
      <c r="I287" s="15" t="s">
        <v>1505</v>
      </c>
      <c r="J287" s="15">
        <v>23678264</v>
      </c>
      <c r="K287" s="15" t="s">
        <v>295</v>
      </c>
      <c r="L287" s="15" t="s">
        <v>359</v>
      </c>
      <c r="M287" s="16">
        <v>259900</v>
      </c>
      <c r="N287" s="9">
        <v>0.95</v>
      </c>
      <c r="O287" s="8">
        <f t="shared" si="12"/>
        <v>12995</v>
      </c>
      <c r="P287" s="6" t="s">
        <v>15</v>
      </c>
    </row>
    <row r="288" spans="1:16" x14ac:dyDescent="0.25">
      <c r="A288" s="6" t="s">
        <v>3920</v>
      </c>
      <c r="B288" s="7">
        <f t="shared" si="13"/>
        <v>46114</v>
      </c>
      <c r="C288" s="7">
        <f t="shared" si="14"/>
        <v>46120</v>
      </c>
      <c r="D288" s="6">
        <v>3280</v>
      </c>
      <c r="E288" s="6">
        <v>337</v>
      </c>
      <c r="F288" s="6">
        <v>4</v>
      </c>
      <c r="G288" s="15">
        <v>1</v>
      </c>
      <c r="H288" s="15"/>
      <c r="I288" s="15" t="s">
        <v>1505</v>
      </c>
      <c r="J288" s="15">
        <v>23718756</v>
      </c>
      <c r="K288" s="15" t="s">
        <v>213</v>
      </c>
      <c r="L288" s="15" t="s">
        <v>360</v>
      </c>
      <c r="M288" s="16">
        <v>219900</v>
      </c>
      <c r="N288" s="9">
        <v>0.95</v>
      </c>
      <c r="O288" s="8">
        <f t="shared" si="12"/>
        <v>10995</v>
      </c>
      <c r="P288" s="6" t="s">
        <v>15</v>
      </c>
    </row>
    <row r="289" spans="1:16" x14ac:dyDescent="0.25">
      <c r="A289" s="6" t="s">
        <v>3920</v>
      </c>
      <c r="B289" s="7">
        <f t="shared" si="13"/>
        <v>46114</v>
      </c>
      <c r="C289" s="7">
        <f t="shared" si="14"/>
        <v>46120</v>
      </c>
      <c r="D289" s="6">
        <v>3280</v>
      </c>
      <c r="E289" s="6">
        <v>337</v>
      </c>
      <c r="F289" s="6">
        <v>4</v>
      </c>
      <c r="G289" s="15">
        <v>1</v>
      </c>
      <c r="H289" s="15"/>
      <c r="I289" s="15" t="s">
        <v>1505</v>
      </c>
      <c r="J289" s="15">
        <v>23677176</v>
      </c>
      <c r="K289" s="15" t="s">
        <v>287</v>
      </c>
      <c r="L289" s="15" t="s">
        <v>361</v>
      </c>
      <c r="M289" s="16">
        <v>259900</v>
      </c>
      <c r="N289" s="9">
        <v>0.95</v>
      </c>
      <c r="O289" s="8">
        <f t="shared" si="12"/>
        <v>12995</v>
      </c>
      <c r="P289" s="6" t="s">
        <v>15</v>
      </c>
    </row>
    <row r="290" spans="1:16" x14ac:dyDescent="0.25">
      <c r="A290" s="6" t="s">
        <v>3920</v>
      </c>
      <c r="B290" s="7">
        <f t="shared" si="13"/>
        <v>46114</v>
      </c>
      <c r="C290" s="7">
        <f t="shared" si="14"/>
        <v>46120</v>
      </c>
      <c r="D290" s="6">
        <v>3280</v>
      </c>
      <c r="E290" s="6">
        <v>337</v>
      </c>
      <c r="F290" s="6">
        <v>4</v>
      </c>
      <c r="G290" s="15">
        <v>1</v>
      </c>
      <c r="H290" s="15"/>
      <c r="I290" s="15" t="s">
        <v>1505</v>
      </c>
      <c r="J290" s="15">
        <v>23679414</v>
      </c>
      <c r="K290" s="15" t="s">
        <v>301</v>
      </c>
      <c r="L290" s="15" t="s">
        <v>362</v>
      </c>
      <c r="M290" s="16">
        <v>259900</v>
      </c>
      <c r="N290" s="9">
        <v>0.95</v>
      </c>
      <c r="O290" s="8">
        <f t="shared" si="12"/>
        <v>12995</v>
      </c>
      <c r="P290" s="6" t="s">
        <v>15</v>
      </c>
    </row>
    <row r="291" spans="1:16" x14ac:dyDescent="0.25">
      <c r="A291" s="6" t="s">
        <v>3920</v>
      </c>
      <c r="B291" s="7">
        <f t="shared" si="13"/>
        <v>46114</v>
      </c>
      <c r="C291" s="7">
        <f t="shared" si="14"/>
        <v>46120</v>
      </c>
      <c r="D291" s="6">
        <v>3280</v>
      </c>
      <c r="E291" s="6">
        <v>337</v>
      </c>
      <c r="F291" s="6">
        <v>4</v>
      </c>
      <c r="G291" s="15">
        <v>1</v>
      </c>
      <c r="H291" s="15"/>
      <c r="I291" s="15" t="s">
        <v>1505</v>
      </c>
      <c r="J291" s="15">
        <v>23679076</v>
      </c>
      <c r="K291" s="15" t="s">
        <v>299</v>
      </c>
      <c r="L291" s="15" t="s">
        <v>363</v>
      </c>
      <c r="M291" s="16">
        <v>259900</v>
      </c>
      <c r="N291" s="9">
        <v>0.95</v>
      </c>
      <c r="O291" s="8">
        <f t="shared" si="12"/>
        <v>12995</v>
      </c>
      <c r="P291" s="6" t="s">
        <v>15</v>
      </c>
    </row>
    <row r="292" spans="1:16" x14ac:dyDescent="0.25">
      <c r="A292" s="6" t="s">
        <v>3920</v>
      </c>
      <c r="B292" s="7">
        <f t="shared" si="13"/>
        <v>46114</v>
      </c>
      <c r="C292" s="7">
        <f t="shared" si="14"/>
        <v>46120</v>
      </c>
      <c r="D292" s="6">
        <v>3280</v>
      </c>
      <c r="E292" s="6">
        <v>337</v>
      </c>
      <c r="F292" s="6">
        <v>4</v>
      </c>
      <c r="G292" s="15">
        <v>1</v>
      </c>
      <c r="H292" s="15"/>
      <c r="I292" s="15" t="s">
        <v>1505</v>
      </c>
      <c r="J292" s="15">
        <v>23658044</v>
      </c>
      <c r="K292" s="15" t="s">
        <v>242</v>
      </c>
      <c r="L292" s="15" t="s">
        <v>364</v>
      </c>
      <c r="M292" s="16">
        <v>299900</v>
      </c>
      <c r="N292" s="9">
        <v>0.95</v>
      </c>
      <c r="O292" s="8">
        <f t="shared" si="12"/>
        <v>14995</v>
      </c>
      <c r="P292" s="6" t="s">
        <v>15</v>
      </c>
    </row>
    <row r="293" spans="1:16" x14ac:dyDescent="0.25">
      <c r="A293" s="6" t="s">
        <v>3920</v>
      </c>
      <c r="B293" s="7">
        <f t="shared" si="13"/>
        <v>46114</v>
      </c>
      <c r="C293" s="7">
        <f t="shared" si="14"/>
        <v>46120</v>
      </c>
      <c r="D293" s="6">
        <v>3280</v>
      </c>
      <c r="E293" s="6">
        <v>337</v>
      </c>
      <c r="F293" s="6">
        <v>4</v>
      </c>
      <c r="G293" s="15">
        <v>1</v>
      </c>
      <c r="H293" s="15"/>
      <c r="I293" s="15" t="s">
        <v>1505</v>
      </c>
      <c r="J293" s="15">
        <v>23718765</v>
      </c>
      <c r="K293" s="15" t="s">
        <v>213</v>
      </c>
      <c r="L293" s="15" t="s">
        <v>365</v>
      </c>
      <c r="M293" s="16">
        <v>219900</v>
      </c>
      <c r="N293" s="9">
        <v>0.95</v>
      </c>
      <c r="O293" s="8">
        <f t="shared" si="12"/>
        <v>10995</v>
      </c>
      <c r="P293" s="6" t="s">
        <v>15</v>
      </c>
    </row>
    <row r="294" spans="1:16" x14ac:dyDescent="0.25">
      <c r="A294" s="6" t="s">
        <v>3920</v>
      </c>
      <c r="B294" s="7">
        <f t="shared" si="13"/>
        <v>46114</v>
      </c>
      <c r="C294" s="7">
        <f t="shared" si="14"/>
        <v>46120</v>
      </c>
      <c r="D294" s="6">
        <v>3280</v>
      </c>
      <c r="E294" s="6">
        <v>337</v>
      </c>
      <c r="F294" s="6">
        <v>4</v>
      </c>
      <c r="G294" s="15">
        <v>1</v>
      </c>
      <c r="H294" s="15"/>
      <c r="I294" s="15" t="s">
        <v>1505</v>
      </c>
      <c r="J294" s="15">
        <v>23636040</v>
      </c>
      <c r="K294" s="15" t="s">
        <v>215</v>
      </c>
      <c r="L294" s="15" t="s">
        <v>366</v>
      </c>
      <c r="M294" s="16">
        <v>209900</v>
      </c>
      <c r="N294" s="9">
        <v>0.95</v>
      </c>
      <c r="O294" s="8">
        <f t="shared" si="12"/>
        <v>10495</v>
      </c>
      <c r="P294" s="6" t="s">
        <v>15</v>
      </c>
    </row>
    <row r="295" spans="1:16" x14ac:dyDescent="0.25">
      <c r="A295" s="6" t="s">
        <v>3920</v>
      </c>
      <c r="B295" s="7">
        <f t="shared" si="13"/>
        <v>46114</v>
      </c>
      <c r="C295" s="7">
        <f t="shared" si="14"/>
        <v>46120</v>
      </c>
      <c r="D295" s="6">
        <v>3280</v>
      </c>
      <c r="E295" s="6">
        <v>337</v>
      </c>
      <c r="F295" s="6">
        <v>4</v>
      </c>
      <c r="G295" s="15">
        <v>1</v>
      </c>
      <c r="H295" s="15"/>
      <c r="I295" s="15" t="s">
        <v>1505</v>
      </c>
      <c r="J295" s="15">
        <v>23677149</v>
      </c>
      <c r="K295" s="15" t="s">
        <v>287</v>
      </c>
      <c r="L295" s="15" t="s">
        <v>367</v>
      </c>
      <c r="M295" s="16">
        <v>259900</v>
      </c>
      <c r="N295" s="9">
        <v>0.95</v>
      </c>
      <c r="O295" s="8">
        <f t="shared" si="12"/>
        <v>12995</v>
      </c>
      <c r="P295" s="6" t="s">
        <v>15</v>
      </c>
    </row>
    <row r="296" spans="1:16" x14ac:dyDescent="0.25">
      <c r="A296" s="6" t="s">
        <v>3920</v>
      </c>
      <c r="B296" s="7">
        <f t="shared" si="13"/>
        <v>46114</v>
      </c>
      <c r="C296" s="7">
        <f t="shared" si="14"/>
        <v>46120</v>
      </c>
      <c r="D296" s="6">
        <v>3280</v>
      </c>
      <c r="E296" s="6">
        <v>337</v>
      </c>
      <c r="F296" s="6">
        <v>4</v>
      </c>
      <c r="G296" s="15">
        <v>1</v>
      </c>
      <c r="H296" s="15"/>
      <c r="I296" s="15" t="s">
        <v>1505</v>
      </c>
      <c r="J296" s="15">
        <v>23656108</v>
      </c>
      <c r="K296" s="15" t="s">
        <v>221</v>
      </c>
      <c r="L296" s="15" t="s">
        <v>368</v>
      </c>
      <c r="M296" s="16">
        <v>329900</v>
      </c>
      <c r="N296" s="9">
        <v>0.95</v>
      </c>
      <c r="O296" s="8">
        <f t="shared" si="12"/>
        <v>16495</v>
      </c>
      <c r="P296" s="6" t="s">
        <v>15</v>
      </c>
    </row>
    <row r="297" spans="1:16" x14ac:dyDescent="0.25">
      <c r="A297" s="6" t="s">
        <v>3920</v>
      </c>
      <c r="B297" s="7">
        <f t="shared" si="13"/>
        <v>46114</v>
      </c>
      <c r="C297" s="7">
        <f t="shared" si="14"/>
        <v>46120</v>
      </c>
      <c r="D297" s="6">
        <v>3280</v>
      </c>
      <c r="E297" s="6">
        <v>337</v>
      </c>
      <c r="F297" s="6">
        <v>4</v>
      </c>
      <c r="G297" s="15">
        <v>1</v>
      </c>
      <c r="H297" s="15"/>
      <c r="I297" s="15" t="s">
        <v>1505</v>
      </c>
      <c r="J297" s="15">
        <v>23679101</v>
      </c>
      <c r="K297" s="15" t="s">
        <v>299</v>
      </c>
      <c r="L297" s="15" t="s">
        <v>369</v>
      </c>
      <c r="M297" s="16">
        <v>259900</v>
      </c>
      <c r="N297" s="9">
        <v>0.95</v>
      </c>
      <c r="O297" s="8">
        <f t="shared" si="12"/>
        <v>12995</v>
      </c>
      <c r="P297" s="6" t="s">
        <v>15</v>
      </c>
    </row>
    <row r="298" spans="1:16" x14ac:dyDescent="0.25">
      <c r="A298" s="6" t="s">
        <v>3920</v>
      </c>
      <c r="B298" s="7">
        <f t="shared" si="13"/>
        <v>46114</v>
      </c>
      <c r="C298" s="7">
        <f t="shared" si="14"/>
        <v>46120</v>
      </c>
      <c r="D298" s="6">
        <v>3280</v>
      </c>
      <c r="E298" s="6">
        <v>337</v>
      </c>
      <c r="F298" s="6">
        <v>4</v>
      </c>
      <c r="G298" s="15">
        <v>1</v>
      </c>
      <c r="H298" s="15"/>
      <c r="I298" s="15" t="s">
        <v>1505</v>
      </c>
      <c r="J298" s="15">
        <v>23679094</v>
      </c>
      <c r="K298" s="15" t="s">
        <v>299</v>
      </c>
      <c r="L298" s="15" t="s">
        <v>370</v>
      </c>
      <c r="M298" s="16">
        <v>259900</v>
      </c>
      <c r="N298" s="9">
        <v>0.95</v>
      </c>
      <c r="O298" s="8">
        <f t="shared" si="12"/>
        <v>12995</v>
      </c>
      <c r="P298" s="6" t="s">
        <v>15</v>
      </c>
    </row>
    <row r="299" spans="1:16" x14ac:dyDescent="0.25">
      <c r="A299" s="6" t="s">
        <v>3920</v>
      </c>
      <c r="B299" s="7">
        <f t="shared" si="13"/>
        <v>46114</v>
      </c>
      <c r="C299" s="7">
        <f t="shared" si="14"/>
        <v>46120</v>
      </c>
      <c r="D299" s="6">
        <v>3280</v>
      </c>
      <c r="E299" s="6">
        <v>337</v>
      </c>
      <c r="F299" s="6">
        <v>4</v>
      </c>
      <c r="G299" s="15">
        <v>1</v>
      </c>
      <c r="H299" s="15"/>
      <c r="I299" s="15" t="s">
        <v>1505</v>
      </c>
      <c r="J299" s="15">
        <v>23735442</v>
      </c>
      <c r="K299" s="15" t="s">
        <v>349</v>
      </c>
      <c r="L299" s="15" t="s">
        <v>371</v>
      </c>
      <c r="M299" s="16">
        <v>209900</v>
      </c>
      <c r="N299" s="9">
        <v>0.95</v>
      </c>
      <c r="O299" s="8">
        <f t="shared" si="12"/>
        <v>10495</v>
      </c>
      <c r="P299" s="6" t="s">
        <v>15</v>
      </c>
    </row>
    <row r="300" spans="1:16" x14ac:dyDescent="0.25">
      <c r="A300" s="6" t="s">
        <v>3920</v>
      </c>
      <c r="B300" s="7">
        <f t="shared" si="13"/>
        <v>46114</v>
      </c>
      <c r="C300" s="7">
        <f t="shared" si="14"/>
        <v>46120</v>
      </c>
      <c r="D300" s="6">
        <v>3280</v>
      </c>
      <c r="E300" s="6">
        <v>337</v>
      </c>
      <c r="F300" s="6">
        <v>4</v>
      </c>
      <c r="G300" s="15">
        <v>1</v>
      </c>
      <c r="H300" s="15"/>
      <c r="I300" s="15" t="s">
        <v>1505</v>
      </c>
      <c r="J300" s="15">
        <v>23718738</v>
      </c>
      <c r="K300" s="15" t="s">
        <v>213</v>
      </c>
      <c r="L300" s="15" t="s">
        <v>372</v>
      </c>
      <c r="M300" s="16">
        <v>209900</v>
      </c>
      <c r="N300" s="9">
        <v>0.95</v>
      </c>
      <c r="O300" s="8">
        <f t="shared" si="12"/>
        <v>10495</v>
      </c>
      <c r="P300" s="6" t="s">
        <v>15</v>
      </c>
    </row>
    <row r="301" spans="1:16" x14ac:dyDescent="0.25">
      <c r="A301" s="6" t="s">
        <v>3920</v>
      </c>
      <c r="B301" s="7">
        <f t="shared" si="13"/>
        <v>46114</v>
      </c>
      <c r="C301" s="7">
        <f t="shared" si="14"/>
        <v>46120</v>
      </c>
      <c r="D301" s="6">
        <v>3280</v>
      </c>
      <c r="E301" s="6">
        <v>337</v>
      </c>
      <c r="F301" s="6">
        <v>4</v>
      </c>
      <c r="G301" s="15">
        <v>1</v>
      </c>
      <c r="H301" s="15"/>
      <c r="I301" s="15" t="s">
        <v>1505</v>
      </c>
      <c r="J301" s="15">
        <v>23679085</v>
      </c>
      <c r="K301" s="15" t="s">
        <v>299</v>
      </c>
      <c r="L301" s="15" t="s">
        <v>373</v>
      </c>
      <c r="M301" s="16">
        <v>259900</v>
      </c>
      <c r="N301" s="9">
        <v>0.95</v>
      </c>
      <c r="O301" s="8">
        <f t="shared" si="12"/>
        <v>12995</v>
      </c>
      <c r="P301" s="6" t="s">
        <v>15</v>
      </c>
    </row>
    <row r="302" spans="1:16" x14ac:dyDescent="0.25">
      <c r="A302" s="6" t="s">
        <v>3920</v>
      </c>
      <c r="B302" s="7">
        <f t="shared" si="13"/>
        <v>46114</v>
      </c>
      <c r="C302" s="7">
        <f t="shared" si="14"/>
        <v>46120</v>
      </c>
      <c r="D302" s="6">
        <v>3280</v>
      </c>
      <c r="E302" s="6">
        <v>337</v>
      </c>
      <c r="F302" s="6">
        <v>4</v>
      </c>
      <c r="G302" s="15">
        <v>1</v>
      </c>
      <c r="H302" s="15"/>
      <c r="I302" s="15" t="s">
        <v>1505</v>
      </c>
      <c r="J302" s="15">
        <v>23735451</v>
      </c>
      <c r="K302" s="15" t="s">
        <v>349</v>
      </c>
      <c r="L302" s="15" t="s">
        <v>374</v>
      </c>
      <c r="M302" s="16">
        <v>219900</v>
      </c>
      <c r="N302" s="9">
        <v>0.95</v>
      </c>
      <c r="O302" s="8">
        <f t="shared" si="12"/>
        <v>10995</v>
      </c>
      <c r="P302" s="6" t="s">
        <v>15</v>
      </c>
    </row>
    <row r="303" spans="1:16" x14ac:dyDescent="0.25">
      <c r="A303" s="6" t="s">
        <v>3920</v>
      </c>
      <c r="B303" s="7">
        <f t="shared" si="13"/>
        <v>46114</v>
      </c>
      <c r="C303" s="7">
        <f t="shared" si="14"/>
        <v>46120</v>
      </c>
      <c r="D303" s="6">
        <v>3280</v>
      </c>
      <c r="E303" s="6">
        <v>337</v>
      </c>
      <c r="F303" s="6">
        <v>4</v>
      </c>
      <c r="G303" s="15">
        <v>1</v>
      </c>
      <c r="H303" s="15"/>
      <c r="I303" s="15" t="s">
        <v>1505</v>
      </c>
      <c r="J303" s="15">
        <v>23677158</v>
      </c>
      <c r="K303" s="15" t="s">
        <v>287</v>
      </c>
      <c r="L303" s="15" t="s">
        <v>375</v>
      </c>
      <c r="M303" s="16">
        <v>259900</v>
      </c>
      <c r="N303" s="9">
        <v>0.95</v>
      </c>
      <c r="O303" s="8">
        <f t="shared" si="12"/>
        <v>12995</v>
      </c>
      <c r="P303" s="6" t="s">
        <v>15</v>
      </c>
    </row>
    <row r="304" spans="1:16" x14ac:dyDescent="0.25">
      <c r="A304" s="6" t="s">
        <v>3920</v>
      </c>
      <c r="B304" s="7">
        <f t="shared" si="13"/>
        <v>46114</v>
      </c>
      <c r="C304" s="7">
        <f t="shared" si="14"/>
        <v>46120</v>
      </c>
      <c r="D304" s="6">
        <v>3280</v>
      </c>
      <c r="E304" s="6">
        <v>337</v>
      </c>
      <c r="F304" s="6">
        <v>4</v>
      </c>
      <c r="G304" s="15">
        <v>1</v>
      </c>
      <c r="H304" s="15"/>
      <c r="I304" s="15" t="s">
        <v>1505</v>
      </c>
      <c r="J304" s="15">
        <v>23735460</v>
      </c>
      <c r="K304" s="15" t="s">
        <v>349</v>
      </c>
      <c r="L304" s="15" t="s">
        <v>376</v>
      </c>
      <c r="M304" s="16">
        <v>219900</v>
      </c>
      <c r="N304" s="9">
        <v>0.95</v>
      </c>
      <c r="O304" s="8">
        <f t="shared" si="12"/>
        <v>10995</v>
      </c>
      <c r="P304" s="6" t="s">
        <v>15</v>
      </c>
    </row>
    <row r="305" spans="1:16" x14ac:dyDescent="0.25">
      <c r="A305" s="6" t="s">
        <v>3920</v>
      </c>
      <c r="B305" s="7">
        <f t="shared" si="13"/>
        <v>46114</v>
      </c>
      <c r="C305" s="7">
        <f t="shared" si="14"/>
        <v>46120</v>
      </c>
      <c r="D305" s="6">
        <v>3280</v>
      </c>
      <c r="E305" s="6">
        <v>337</v>
      </c>
      <c r="F305" s="6">
        <v>4</v>
      </c>
      <c r="G305" s="15">
        <v>1</v>
      </c>
      <c r="H305" s="15"/>
      <c r="I305" s="15" t="s">
        <v>1505</v>
      </c>
      <c r="J305" s="15">
        <v>23718550</v>
      </c>
      <c r="K305" s="15" t="s">
        <v>377</v>
      </c>
      <c r="L305" s="15" t="s">
        <v>378</v>
      </c>
      <c r="M305" s="16">
        <v>199900</v>
      </c>
      <c r="N305" s="9">
        <v>0.95</v>
      </c>
      <c r="O305" s="8">
        <f t="shared" si="12"/>
        <v>9995</v>
      </c>
      <c r="P305" s="6" t="s">
        <v>15</v>
      </c>
    </row>
    <row r="306" spans="1:16" x14ac:dyDescent="0.25">
      <c r="A306" s="6" t="s">
        <v>3920</v>
      </c>
      <c r="B306" s="7">
        <f t="shared" si="13"/>
        <v>46114</v>
      </c>
      <c r="C306" s="7">
        <f t="shared" si="14"/>
        <v>46120</v>
      </c>
      <c r="D306" s="6">
        <v>3280</v>
      </c>
      <c r="E306" s="6">
        <v>337</v>
      </c>
      <c r="F306" s="6">
        <v>4</v>
      </c>
      <c r="G306" s="15">
        <v>1</v>
      </c>
      <c r="H306" s="15"/>
      <c r="I306" s="15" t="s">
        <v>1505</v>
      </c>
      <c r="J306" s="15">
        <v>23718630</v>
      </c>
      <c r="K306" s="15" t="s">
        <v>379</v>
      </c>
      <c r="L306" s="15" t="s">
        <v>380</v>
      </c>
      <c r="M306" s="16">
        <v>209900</v>
      </c>
      <c r="N306" s="9">
        <v>0.95</v>
      </c>
      <c r="O306" s="8">
        <f t="shared" si="12"/>
        <v>10495</v>
      </c>
      <c r="P306" s="6" t="s">
        <v>15</v>
      </c>
    </row>
    <row r="307" spans="1:16" x14ac:dyDescent="0.25">
      <c r="A307" s="6" t="s">
        <v>3920</v>
      </c>
      <c r="B307" s="7">
        <f t="shared" si="13"/>
        <v>46114</v>
      </c>
      <c r="C307" s="7">
        <f t="shared" si="14"/>
        <v>46120</v>
      </c>
      <c r="D307" s="6">
        <v>3280</v>
      </c>
      <c r="E307" s="6">
        <v>337</v>
      </c>
      <c r="F307" s="6">
        <v>4</v>
      </c>
      <c r="G307" s="15">
        <v>1</v>
      </c>
      <c r="H307" s="15"/>
      <c r="I307" s="15" t="s">
        <v>1505</v>
      </c>
      <c r="J307" s="15">
        <v>23718774</v>
      </c>
      <c r="K307" s="15" t="s">
        <v>381</v>
      </c>
      <c r="L307" s="15" t="s">
        <v>382</v>
      </c>
      <c r="M307" s="16">
        <v>179900</v>
      </c>
      <c r="N307" s="9">
        <v>0.95</v>
      </c>
      <c r="O307" s="8">
        <f t="shared" si="12"/>
        <v>8995</v>
      </c>
      <c r="P307" s="6" t="s">
        <v>15</v>
      </c>
    </row>
    <row r="308" spans="1:16" x14ac:dyDescent="0.25">
      <c r="A308" s="6" t="s">
        <v>3920</v>
      </c>
      <c r="B308" s="7">
        <f t="shared" si="13"/>
        <v>46114</v>
      </c>
      <c r="C308" s="7">
        <f t="shared" si="14"/>
        <v>46120</v>
      </c>
      <c r="D308" s="6">
        <v>3280</v>
      </c>
      <c r="E308" s="6">
        <v>337</v>
      </c>
      <c r="F308" s="6">
        <v>4</v>
      </c>
      <c r="G308" s="15">
        <v>1</v>
      </c>
      <c r="H308" s="15"/>
      <c r="I308" s="15" t="s">
        <v>1505</v>
      </c>
      <c r="J308" s="15">
        <v>23767042</v>
      </c>
      <c r="K308" s="15" t="s">
        <v>383</v>
      </c>
      <c r="L308" s="15" t="s">
        <v>384</v>
      </c>
      <c r="M308" s="16">
        <v>199900</v>
      </c>
      <c r="N308" s="9">
        <v>0.95</v>
      </c>
      <c r="O308" s="8">
        <f t="shared" si="12"/>
        <v>9995</v>
      </c>
      <c r="P308" s="6" t="s">
        <v>15</v>
      </c>
    </row>
    <row r="309" spans="1:16" x14ac:dyDescent="0.25">
      <c r="A309" s="6" t="s">
        <v>3920</v>
      </c>
      <c r="B309" s="7">
        <f t="shared" si="13"/>
        <v>46114</v>
      </c>
      <c r="C309" s="7">
        <f t="shared" si="14"/>
        <v>46120</v>
      </c>
      <c r="D309" s="6">
        <v>3280</v>
      </c>
      <c r="E309" s="6">
        <v>337</v>
      </c>
      <c r="F309" s="6">
        <v>4</v>
      </c>
      <c r="G309" s="15">
        <v>1</v>
      </c>
      <c r="H309" s="15"/>
      <c r="I309" s="15" t="s">
        <v>1505</v>
      </c>
      <c r="J309" s="15">
        <v>23767202</v>
      </c>
      <c r="K309" s="15" t="s">
        <v>385</v>
      </c>
      <c r="L309" s="15" t="s">
        <v>386</v>
      </c>
      <c r="M309" s="16">
        <v>199900</v>
      </c>
      <c r="N309" s="9">
        <v>0.95</v>
      </c>
      <c r="O309" s="8">
        <f t="shared" si="12"/>
        <v>9995</v>
      </c>
      <c r="P309" s="6" t="s">
        <v>15</v>
      </c>
    </row>
    <row r="310" spans="1:16" x14ac:dyDescent="0.25">
      <c r="A310" s="6" t="s">
        <v>3920</v>
      </c>
      <c r="B310" s="7">
        <f t="shared" si="13"/>
        <v>46114</v>
      </c>
      <c r="C310" s="7">
        <f t="shared" si="14"/>
        <v>46120</v>
      </c>
      <c r="D310" s="6">
        <v>3280</v>
      </c>
      <c r="E310" s="6">
        <v>337</v>
      </c>
      <c r="F310" s="6">
        <v>4</v>
      </c>
      <c r="G310" s="15">
        <v>1</v>
      </c>
      <c r="H310" s="15"/>
      <c r="I310" s="15" t="s">
        <v>1505</v>
      </c>
      <c r="J310" s="15">
        <v>23718694</v>
      </c>
      <c r="K310" s="15" t="s">
        <v>387</v>
      </c>
      <c r="L310" s="15" t="s">
        <v>388</v>
      </c>
      <c r="M310" s="16">
        <v>199900</v>
      </c>
      <c r="N310" s="9">
        <v>0.95</v>
      </c>
      <c r="O310" s="8">
        <f t="shared" si="12"/>
        <v>9995</v>
      </c>
      <c r="P310" s="6" t="s">
        <v>15</v>
      </c>
    </row>
    <row r="311" spans="1:16" x14ac:dyDescent="0.25">
      <c r="A311" s="6" t="s">
        <v>3920</v>
      </c>
      <c r="B311" s="7">
        <f t="shared" si="13"/>
        <v>46114</v>
      </c>
      <c r="C311" s="7">
        <f t="shared" si="14"/>
        <v>46120</v>
      </c>
      <c r="D311" s="6">
        <v>3280</v>
      </c>
      <c r="E311" s="6">
        <v>337</v>
      </c>
      <c r="F311" s="6">
        <v>4</v>
      </c>
      <c r="G311" s="15">
        <v>1</v>
      </c>
      <c r="H311" s="15"/>
      <c r="I311" s="15" t="s">
        <v>1505</v>
      </c>
      <c r="J311" s="15">
        <v>23767122</v>
      </c>
      <c r="K311" s="15" t="s">
        <v>389</v>
      </c>
      <c r="L311" s="15" t="s">
        <v>390</v>
      </c>
      <c r="M311" s="16">
        <v>209900</v>
      </c>
      <c r="N311" s="9">
        <v>0.95</v>
      </c>
      <c r="O311" s="8">
        <f t="shared" si="12"/>
        <v>10495</v>
      </c>
      <c r="P311" s="6" t="s">
        <v>15</v>
      </c>
    </row>
    <row r="312" spans="1:16" x14ac:dyDescent="0.25">
      <c r="A312" s="6" t="s">
        <v>3920</v>
      </c>
      <c r="B312" s="7">
        <f t="shared" si="13"/>
        <v>46114</v>
      </c>
      <c r="C312" s="7">
        <f t="shared" si="14"/>
        <v>46120</v>
      </c>
      <c r="D312" s="6">
        <v>3280</v>
      </c>
      <c r="E312" s="6">
        <v>337</v>
      </c>
      <c r="F312" s="6">
        <v>4</v>
      </c>
      <c r="G312" s="15">
        <v>1</v>
      </c>
      <c r="H312" s="15"/>
      <c r="I312" s="15" t="s">
        <v>1505</v>
      </c>
      <c r="J312" s="15">
        <v>23637567</v>
      </c>
      <c r="K312" s="15" t="s">
        <v>391</v>
      </c>
      <c r="L312" s="15" t="s">
        <v>392</v>
      </c>
      <c r="M312" s="16">
        <v>189900</v>
      </c>
      <c r="N312" s="9">
        <v>0.95</v>
      </c>
      <c r="O312" s="8">
        <f t="shared" si="12"/>
        <v>9495</v>
      </c>
      <c r="P312" s="6" t="s">
        <v>15</v>
      </c>
    </row>
    <row r="313" spans="1:16" x14ac:dyDescent="0.25">
      <c r="A313" s="6" t="s">
        <v>3920</v>
      </c>
      <c r="B313" s="7">
        <f t="shared" si="13"/>
        <v>46114</v>
      </c>
      <c r="C313" s="7">
        <f t="shared" si="14"/>
        <v>46120</v>
      </c>
      <c r="D313" s="6">
        <v>3280</v>
      </c>
      <c r="E313" s="6">
        <v>337</v>
      </c>
      <c r="F313" s="6">
        <v>4</v>
      </c>
      <c r="G313" s="15">
        <v>1</v>
      </c>
      <c r="H313" s="15"/>
      <c r="I313" s="15" t="s">
        <v>1505</v>
      </c>
      <c r="J313" s="15">
        <v>23637629</v>
      </c>
      <c r="K313" s="15" t="s">
        <v>393</v>
      </c>
      <c r="L313" s="15" t="s">
        <v>394</v>
      </c>
      <c r="M313" s="16">
        <v>189900</v>
      </c>
      <c r="N313" s="9">
        <v>0.95</v>
      </c>
      <c r="O313" s="8">
        <f t="shared" si="12"/>
        <v>9495</v>
      </c>
      <c r="P313" s="6" t="s">
        <v>15</v>
      </c>
    </row>
    <row r="314" spans="1:16" x14ac:dyDescent="0.25">
      <c r="A314" s="6" t="s">
        <v>3920</v>
      </c>
      <c r="B314" s="7">
        <f t="shared" si="13"/>
        <v>46114</v>
      </c>
      <c r="C314" s="7">
        <f t="shared" si="14"/>
        <v>46120</v>
      </c>
      <c r="D314" s="6">
        <v>3280</v>
      </c>
      <c r="E314" s="6">
        <v>337</v>
      </c>
      <c r="F314" s="6">
        <v>4</v>
      </c>
      <c r="G314" s="15">
        <v>1</v>
      </c>
      <c r="H314" s="15"/>
      <c r="I314" s="15" t="s">
        <v>1505</v>
      </c>
      <c r="J314" s="15">
        <v>23637638</v>
      </c>
      <c r="K314" s="15" t="s">
        <v>393</v>
      </c>
      <c r="L314" s="15" t="s">
        <v>395</v>
      </c>
      <c r="M314" s="16">
        <v>189900</v>
      </c>
      <c r="N314" s="9">
        <v>0.95</v>
      </c>
      <c r="O314" s="8">
        <f t="shared" si="12"/>
        <v>9495</v>
      </c>
      <c r="P314" s="6" t="s">
        <v>15</v>
      </c>
    </row>
    <row r="315" spans="1:16" x14ac:dyDescent="0.25">
      <c r="A315" s="6" t="s">
        <v>3920</v>
      </c>
      <c r="B315" s="7">
        <f t="shared" si="13"/>
        <v>46114</v>
      </c>
      <c r="C315" s="7">
        <f t="shared" si="14"/>
        <v>46120</v>
      </c>
      <c r="D315" s="6">
        <v>3280</v>
      </c>
      <c r="E315" s="6">
        <v>337</v>
      </c>
      <c r="F315" s="6">
        <v>4</v>
      </c>
      <c r="G315" s="15">
        <v>1</v>
      </c>
      <c r="H315" s="15"/>
      <c r="I315" s="15" t="s">
        <v>1505</v>
      </c>
      <c r="J315" s="15">
        <v>23637647</v>
      </c>
      <c r="K315" s="15" t="s">
        <v>393</v>
      </c>
      <c r="L315" s="15" t="s">
        <v>396</v>
      </c>
      <c r="M315" s="16">
        <v>189900</v>
      </c>
      <c r="N315" s="9">
        <v>0.95</v>
      </c>
      <c r="O315" s="8">
        <f t="shared" si="12"/>
        <v>9495</v>
      </c>
      <c r="P315" s="6" t="s">
        <v>15</v>
      </c>
    </row>
    <row r="316" spans="1:16" x14ac:dyDescent="0.25">
      <c r="A316" s="6" t="s">
        <v>3920</v>
      </c>
      <c r="B316" s="7">
        <f t="shared" si="13"/>
        <v>46114</v>
      </c>
      <c r="C316" s="7">
        <f t="shared" si="14"/>
        <v>46120</v>
      </c>
      <c r="D316" s="6">
        <v>3280</v>
      </c>
      <c r="E316" s="6">
        <v>337</v>
      </c>
      <c r="F316" s="6">
        <v>4</v>
      </c>
      <c r="G316" s="15">
        <v>1</v>
      </c>
      <c r="H316" s="15"/>
      <c r="I316" s="15" t="s">
        <v>1505</v>
      </c>
      <c r="J316" s="15">
        <v>23637709</v>
      </c>
      <c r="K316" s="15" t="s">
        <v>397</v>
      </c>
      <c r="L316" s="15" t="s">
        <v>398</v>
      </c>
      <c r="M316" s="16">
        <v>189900</v>
      </c>
      <c r="N316" s="9">
        <v>0.95</v>
      </c>
      <c r="O316" s="8">
        <f t="shared" si="12"/>
        <v>9495</v>
      </c>
      <c r="P316" s="6" t="s">
        <v>15</v>
      </c>
    </row>
    <row r="317" spans="1:16" x14ac:dyDescent="0.25">
      <c r="A317" s="6" t="s">
        <v>3920</v>
      </c>
      <c r="B317" s="7">
        <f t="shared" si="13"/>
        <v>46114</v>
      </c>
      <c r="C317" s="7">
        <f t="shared" si="14"/>
        <v>46120</v>
      </c>
      <c r="D317" s="6">
        <v>3280</v>
      </c>
      <c r="E317" s="6">
        <v>337</v>
      </c>
      <c r="F317" s="6">
        <v>4</v>
      </c>
      <c r="G317" s="15">
        <v>1</v>
      </c>
      <c r="H317" s="15"/>
      <c r="I317" s="15" t="s">
        <v>1505</v>
      </c>
      <c r="J317" s="15">
        <v>23637718</v>
      </c>
      <c r="K317" s="15" t="s">
        <v>397</v>
      </c>
      <c r="L317" s="15" t="s">
        <v>399</v>
      </c>
      <c r="M317" s="16">
        <v>199900</v>
      </c>
      <c r="N317" s="9">
        <v>0.95</v>
      </c>
      <c r="O317" s="8">
        <f t="shared" si="12"/>
        <v>9995</v>
      </c>
      <c r="P317" s="6" t="s">
        <v>15</v>
      </c>
    </row>
    <row r="318" spans="1:16" x14ac:dyDescent="0.25">
      <c r="A318" s="6" t="s">
        <v>3920</v>
      </c>
      <c r="B318" s="7">
        <f t="shared" si="13"/>
        <v>46114</v>
      </c>
      <c r="C318" s="7">
        <f t="shared" si="14"/>
        <v>46120</v>
      </c>
      <c r="D318" s="6">
        <v>3280</v>
      </c>
      <c r="E318" s="6">
        <v>337</v>
      </c>
      <c r="F318" s="6">
        <v>4</v>
      </c>
      <c r="G318" s="15">
        <v>1</v>
      </c>
      <c r="H318" s="15"/>
      <c r="I318" s="15" t="s">
        <v>1505</v>
      </c>
      <c r="J318" s="15">
        <v>23637727</v>
      </c>
      <c r="K318" s="15" t="s">
        <v>397</v>
      </c>
      <c r="L318" s="15" t="s">
        <v>400</v>
      </c>
      <c r="M318" s="16">
        <v>199900</v>
      </c>
      <c r="N318" s="9">
        <v>0.95</v>
      </c>
      <c r="O318" s="8">
        <f t="shared" si="12"/>
        <v>9995</v>
      </c>
      <c r="P318" s="6" t="s">
        <v>15</v>
      </c>
    </row>
    <row r="319" spans="1:16" x14ac:dyDescent="0.25">
      <c r="A319" s="6" t="s">
        <v>3920</v>
      </c>
      <c r="B319" s="7">
        <f t="shared" si="13"/>
        <v>46114</v>
      </c>
      <c r="C319" s="7">
        <f t="shared" si="14"/>
        <v>46120</v>
      </c>
      <c r="D319" s="6">
        <v>3280</v>
      </c>
      <c r="E319" s="6">
        <v>337</v>
      </c>
      <c r="F319" s="6">
        <v>4</v>
      </c>
      <c r="G319" s="15">
        <v>1</v>
      </c>
      <c r="H319" s="15"/>
      <c r="I319" s="15" t="s">
        <v>1505</v>
      </c>
      <c r="J319" s="15">
        <v>23638959</v>
      </c>
      <c r="K319" s="15" t="s">
        <v>401</v>
      </c>
      <c r="L319" s="15" t="s">
        <v>402</v>
      </c>
      <c r="M319" s="16">
        <v>199900</v>
      </c>
      <c r="N319" s="9">
        <v>0.95</v>
      </c>
      <c r="O319" s="8">
        <f t="shared" si="12"/>
        <v>9995</v>
      </c>
      <c r="P319" s="6" t="s">
        <v>15</v>
      </c>
    </row>
    <row r="320" spans="1:16" x14ac:dyDescent="0.25">
      <c r="A320" s="6" t="s">
        <v>3920</v>
      </c>
      <c r="B320" s="7">
        <f t="shared" si="13"/>
        <v>46114</v>
      </c>
      <c r="C320" s="7">
        <f t="shared" si="14"/>
        <v>46120</v>
      </c>
      <c r="D320" s="6">
        <v>3280</v>
      </c>
      <c r="E320" s="6">
        <v>337</v>
      </c>
      <c r="F320" s="6">
        <v>4</v>
      </c>
      <c r="G320" s="15">
        <v>1</v>
      </c>
      <c r="H320" s="15"/>
      <c r="I320" s="15" t="s">
        <v>1505</v>
      </c>
      <c r="J320" s="15">
        <v>23639001</v>
      </c>
      <c r="K320" s="15" t="s">
        <v>401</v>
      </c>
      <c r="L320" s="15" t="s">
        <v>403</v>
      </c>
      <c r="M320" s="16">
        <v>209900</v>
      </c>
      <c r="N320" s="9">
        <v>0.95</v>
      </c>
      <c r="O320" s="8">
        <f t="shared" si="12"/>
        <v>10495</v>
      </c>
      <c r="P320" s="6" t="s">
        <v>15</v>
      </c>
    </row>
    <row r="321" spans="1:16" x14ac:dyDescent="0.25">
      <c r="A321" s="6" t="s">
        <v>3920</v>
      </c>
      <c r="B321" s="7">
        <f t="shared" si="13"/>
        <v>46114</v>
      </c>
      <c r="C321" s="7">
        <f t="shared" si="14"/>
        <v>46120</v>
      </c>
      <c r="D321" s="6">
        <v>3280</v>
      </c>
      <c r="E321" s="6">
        <v>337</v>
      </c>
      <c r="F321" s="6">
        <v>4</v>
      </c>
      <c r="G321" s="15">
        <v>1</v>
      </c>
      <c r="H321" s="15"/>
      <c r="I321" s="15" t="s">
        <v>1505</v>
      </c>
      <c r="J321" s="15">
        <v>23651701</v>
      </c>
      <c r="K321" s="15" t="s">
        <v>404</v>
      </c>
      <c r="L321" s="15" t="s">
        <v>405</v>
      </c>
      <c r="M321" s="16">
        <v>189900</v>
      </c>
      <c r="N321" s="9">
        <v>0.95</v>
      </c>
      <c r="O321" s="8">
        <f t="shared" si="12"/>
        <v>9495</v>
      </c>
      <c r="P321" s="6" t="s">
        <v>15</v>
      </c>
    </row>
    <row r="322" spans="1:16" x14ac:dyDescent="0.25">
      <c r="A322" s="6" t="s">
        <v>3920</v>
      </c>
      <c r="B322" s="7">
        <f t="shared" si="13"/>
        <v>46114</v>
      </c>
      <c r="C322" s="7">
        <f t="shared" si="14"/>
        <v>46120</v>
      </c>
      <c r="D322" s="6">
        <v>3280</v>
      </c>
      <c r="E322" s="6">
        <v>337</v>
      </c>
      <c r="F322" s="6">
        <v>4</v>
      </c>
      <c r="G322" s="15">
        <v>1</v>
      </c>
      <c r="H322" s="15"/>
      <c r="I322" s="15" t="s">
        <v>1505</v>
      </c>
      <c r="J322" s="15">
        <v>23651710</v>
      </c>
      <c r="K322" s="15" t="s">
        <v>404</v>
      </c>
      <c r="L322" s="15" t="s">
        <v>406</v>
      </c>
      <c r="M322" s="16">
        <v>189900</v>
      </c>
      <c r="N322" s="9">
        <v>0.95</v>
      </c>
      <c r="O322" s="8">
        <f t="shared" ref="O322:O385" si="15">M322-((95*M322)/100)</f>
        <v>9495</v>
      </c>
      <c r="P322" s="6" t="s">
        <v>15</v>
      </c>
    </row>
    <row r="323" spans="1:16" x14ac:dyDescent="0.25">
      <c r="A323" s="6" t="s">
        <v>3920</v>
      </c>
      <c r="B323" s="7">
        <f t="shared" si="13"/>
        <v>46114</v>
      </c>
      <c r="C323" s="7">
        <f t="shared" si="14"/>
        <v>46120</v>
      </c>
      <c r="D323" s="6">
        <v>3280</v>
      </c>
      <c r="E323" s="6">
        <v>337</v>
      </c>
      <c r="F323" s="6">
        <v>4</v>
      </c>
      <c r="G323" s="15">
        <v>1</v>
      </c>
      <c r="H323" s="15"/>
      <c r="I323" s="15" t="s">
        <v>1505</v>
      </c>
      <c r="J323" s="15">
        <v>23652406</v>
      </c>
      <c r="K323" s="15" t="s">
        <v>407</v>
      </c>
      <c r="L323" s="15" t="s">
        <v>408</v>
      </c>
      <c r="M323" s="16">
        <v>189900</v>
      </c>
      <c r="N323" s="9">
        <v>0.95</v>
      </c>
      <c r="O323" s="8">
        <f t="shared" si="15"/>
        <v>9495</v>
      </c>
      <c r="P323" s="6" t="s">
        <v>15</v>
      </c>
    </row>
    <row r="324" spans="1:16" x14ac:dyDescent="0.25">
      <c r="A324" s="6" t="s">
        <v>3920</v>
      </c>
      <c r="B324" s="7">
        <f t="shared" ref="B324:B387" si="16">B323</f>
        <v>46114</v>
      </c>
      <c r="C324" s="7">
        <f t="shared" ref="C324:C387" si="17">C323</f>
        <v>46120</v>
      </c>
      <c r="D324" s="6">
        <v>3280</v>
      </c>
      <c r="E324" s="6">
        <v>337</v>
      </c>
      <c r="F324" s="6">
        <v>4</v>
      </c>
      <c r="G324" s="15">
        <v>1</v>
      </c>
      <c r="H324" s="15"/>
      <c r="I324" s="15" t="s">
        <v>1505</v>
      </c>
      <c r="J324" s="15">
        <v>23718783</v>
      </c>
      <c r="K324" s="15" t="s">
        <v>381</v>
      </c>
      <c r="L324" s="15" t="s">
        <v>409</v>
      </c>
      <c r="M324" s="16">
        <v>179900</v>
      </c>
      <c r="N324" s="9">
        <v>0.95</v>
      </c>
      <c r="O324" s="8">
        <f t="shared" si="15"/>
        <v>8995</v>
      </c>
      <c r="P324" s="6" t="s">
        <v>15</v>
      </c>
    </row>
    <row r="325" spans="1:16" x14ac:dyDescent="0.25">
      <c r="A325" s="6" t="s">
        <v>3920</v>
      </c>
      <c r="B325" s="7">
        <f t="shared" si="16"/>
        <v>46114</v>
      </c>
      <c r="C325" s="7">
        <f t="shared" si="17"/>
        <v>46120</v>
      </c>
      <c r="D325" s="6">
        <v>3280</v>
      </c>
      <c r="E325" s="6">
        <v>337</v>
      </c>
      <c r="F325" s="6">
        <v>4</v>
      </c>
      <c r="G325" s="15">
        <v>1</v>
      </c>
      <c r="H325" s="15"/>
      <c r="I325" s="15" t="s">
        <v>1505</v>
      </c>
      <c r="J325" s="15">
        <v>23718792</v>
      </c>
      <c r="K325" s="15" t="s">
        <v>381</v>
      </c>
      <c r="L325" s="15" t="s">
        <v>410</v>
      </c>
      <c r="M325" s="16">
        <v>179900</v>
      </c>
      <c r="N325" s="9">
        <v>0.95</v>
      </c>
      <c r="O325" s="8">
        <f t="shared" si="15"/>
        <v>8995</v>
      </c>
      <c r="P325" s="6" t="s">
        <v>15</v>
      </c>
    </row>
    <row r="326" spans="1:16" x14ac:dyDescent="0.25">
      <c r="A326" s="6" t="s">
        <v>3920</v>
      </c>
      <c r="B326" s="7">
        <f t="shared" si="16"/>
        <v>46114</v>
      </c>
      <c r="C326" s="7">
        <f t="shared" si="17"/>
        <v>46120</v>
      </c>
      <c r="D326" s="6">
        <v>3280</v>
      </c>
      <c r="E326" s="6">
        <v>337</v>
      </c>
      <c r="F326" s="6">
        <v>4</v>
      </c>
      <c r="G326" s="15">
        <v>1</v>
      </c>
      <c r="H326" s="15"/>
      <c r="I326" s="15" t="s">
        <v>1505</v>
      </c>
      <c r="J326" s="15">
        <v>23720672</v>
      </c>
      <c r="K326" s="15" t="s">
        <v>411</v>
      </c>
      <c r="L326" s="15" t="s">
        <v>412</v>
      </c>
      <c r="M326" s="16">
        <v>199900</v>
      </c>
      <c r="N326" s="9">
        <v>0.95</v>
      </c>
      <c r="O326" s="8">
        <f t="shared" si="15"/>
        <v>9995</v>
      </c>
      <c r="P326" s="6" t="s">
        <v>15</v>
      </c>
    </row>
    <row r="327" spans="1:16" x14ac:dyDescent="0.25">
      <c r="A327" s="6" t="s">
        <v>3920</v>
      </c>
      <c r="B327" s="7">
        <f t="shared" si="16"/>
        <v>46114</v>
      </c>
      <c r="C327" s="7">
        <f t="shared" si="17"/>
        <v>46120</v>
      </c>
      <c r="D327" s="6">
        <v>3280</v>
      </c>
      <c r="E327" s="6">
        <v>337</v>
      </c>
      <c r="F327" s="6">
        <v>4</v>
      </c>
      <c r="G327" s="15">
        <v>1</v>
      </c>
      <c r="H327" s="15"/>
      <c r="I327" s="15" t="s">
        <v>1505</v>
      </c>
      <c r="J327" s="15">
        <v>23720707</v>
      </c>
      <c r="K327" s="15" t="s">
        <v>411</v>
      </c>
      <c r="L327" s="15" t="s">
        <v>413</v>
      </c>
      <c r="M327" s="16">
        <v>209900</v>
      </c>
      <c r="N327" s="9">
        <v>0.95</v>
      </c>
      <c r="O327" s="8">
        <f t="shared" si="15"/>
        <v>10495</v>
      </c>
      <c r="P327" s="6" t="s">
        <v>15</v>
      </c>
    </row>
    <row r="328" spans="1:16" x14ac:dyDescent="0.25">
      <c r="A328" s="6" t="s">
        <v>3920</v>
      </c>
      <c r="B328" s="7">
        <f t="shared" si="16"/>
        <v>46114</v>
      </c>
      <c r="C328" s="7">
        <f t="shared" si="17"/>
        <v>46120</v>
      </c>
      <c r="D328" s="6">
        <v>3280</v>
      </c>
      <c r="E328" s="6">
        <v>337</v>
      </c>
      <c r="F328" s="6">
        <v>4</v>
      </c>
      <c r="G328" s="15">
        <v>1</v>
      </c>
      <c r="H328" s="15"/>
      <c r="I328" s="15" t="s">
        <v>1505</v>
      </c>
      <c r="J328" s="15">
        <v>23720716</v>
      </c>
      <c r="K328" s="15" t="s">
        <v>411</v>
      </c>
      <c r="L328" s="15" t="s">
        <v>414</v>
      </c>
      <c r="M328" s="16">
        <v>209900</v>
      </c>
      <c r="N328" s="9">
        <v>0.95</v>
      </c>
      <c r="O328" s="8">
        <f t="shared" si="15"/>
        <v>10495</v>
      </c>
      <c r="P328" s="6" t="s">
        <v>15</v>
      </c>
    </row>
    <row r="329" spans="1:16" x14ac:dyDescent="0.25">
      <c r="A329" s="6" t="s">
        <v>3920</v>
      </c>
      <c r="B329" s="7">
        <f t="shared" si="16"/>
        <v>46114</v>
      </c>
      <c r="C329" s="7">
        <f t="shared" si="17"/>
        <v>46120</v>
      </c>
      <c r="D329" s="6">
        <v>3280</v>
      </c>
      <c r="E329" s="6">
        <v>337</v>
      </c>
      <c r="F329" s="6">
        <v>4</v>
      </c>
      <c r="G329" s="15">
        <v>1</v>
      </c>
      <c r="H329" s="15"/>
      <c r="I329" s="15" t="s">
        <v>1505</v>
      </c>
      <c r="J329" s="15">
        <v>23720725</v>
      </c>
      <c r="K329" s="15" t="s">
        <v>411</v>
      </c>
      <c r="L329" s="15" t="s">
        <v>415</v>
      </c>
      <c r="M329" s="16">
        <v>209900</v>
      </c>
      <c r="N329" s="9">
        <v>0.95</v>
      </c>
      <c r="O329" s="8">
        <f t="shared" si="15"/>
        <v>10495</v>
      </c>
      <c r="P329" s="6" t="s">
        <v>15</v>
      </c>
    </row>
    <row r="330" spans="1:16" x14ac:dyDescent="0.25">
      <c r="A330" s="6" t="s">
        <v>3920</v>
      </c>
      <c r="B330" s="7">
        <f t="shared" si="16"/>
        <v>46114</v>
      </c>
      <c r="C330" s="7">
        <f t="shared" si="17"/>
        <v>46120</v>
      </c>
      <c r="D330" s="6">
        <v>3280</v>
      </c>
      <c r="E330" s="6">
        <v>337</v>
      </c>
      <c r="F330" s="6">
        <v>4</v>
      </c>
      <c r="G330" s="15">
        <v>1</v>
      </c>
      <c r="H330" s="15"/>
      <c r="I330" s="15" t="s">
        <v>1505</v>
      </c>
      <c r="J330" s="15">
        <v>23731795</v>
      </c>
      <c r="K330" s="15" t="s">
        <v>416</v>
      </c>
      <c r="L330" s="15" t="s">
        <v>417</v>
      </c>
      <c r="M330" s="16">
        <v>199900</v>
      </c>
      <c r="N330" s="9">
        <v>0.95</v>
      </c>
      <c r="O330" s="8">
        <f t="shared" si="15"/>
        <v>9995</v>
      </c>
      <c r="P330" s="6" t="s">
        <v>15</v>
      </c>
    </row>
    <row r="331" spans="1:16" x14ac:dyDescent="0.25">
      <c r="A331" s="6" t="s">
        <v>3920</v>
      </c>
      <c r="B331" s="7">
        <f t="shared" si="16"/>
        <v>46114</v>
      </c>
      <c r="C331" s="7">
        <f t="shared" si="17"/>
        <v>46120</v>
      </c>
      <c r="D331" s="6">
        <v>3280</v>
      </c>
      <c r="E331" s="6">
        <v>337</v>
      </c>
      <c r="F331" s="6">
        <v>4</v>
      </c>
      <c r="G331" s="15">
        <v>1</v>
      </c>
      <c r="H331" s="15"/>
      <c r="I331" s="15" t="s">
        <v>1505</v>
      </c>
      <c r="J331" s="15">
        <v>23731802</v>
      </c>
      <c r="K331" s="15" t="s">
        <v>416</v>
      </c>
      <c r="L331" s="15" t="s">
        <v>418</v>
      </c>
      <c r="M331" s="16">
        <v>199900</v>
      </c>
      <c r="N331" s="9">
        <v>0.95</v>
      </c>
      <c r="O331" s="8">
        <f t="shared" si="15"/>
        <v>9995</v>
      </c>
      <c r="P331" s="6" t="s">
        <v>15</v>
      </c>
    </row>
    <row r="332" spans="1:16" x14ac:dyDescent="0.25">
      <c r="A332" s="6" t="s">
        <v>3920</v>
      </c>
      <c r="B332" s="7">
        <f t="shared" si="16"/>
        <v>46114</v>
      </c>
      <c r="C332" s="7">
        <f t="shared" si="17"/>
        <v>46120</v>
      </c>
      <c r="D332" s="6">
        <v>3280</v>
      </c>
      <c r="E332" s="6">
        <v>337</v>
      </c>
      <c r="F332" s="6">
        <v>4</v>
      </c>
      <c r="G332" s="15">
        <v>1</v>
      </c>
      <c r="H332" s="15"/>
      <c r="I332" s="15" t="s">
        <v>1505</v>
      </c>
      <c r="J332" s="15">
        <v>23731811</v>
      </c>
      <c r="K332" s="15" t="s">
        <v>416</v>
      </c>
      <c r="L332" s="15" t="s">
        <v>419</v>
      </c>
      <c r="M332" s="16">
        <v>199900</v>
      </c>
      <c r="N332" s="9">
        <v>0.95</v>
      </c>
      <c r="O332" s="8">
        <f t="shared" si="15"/>
        <v>9995</v>
      </c>
      <c r="P332" s="6" t="s">
        <v>15</v>
      </c>
    </row>
    <row r="333" spans="1:16" x14ac:dyDescent="0.25">
      <c r="A333" s="6" t="s">
        <v>3920</v>
      </c>
      <c r="B333" s="7">
        <f t="shared" si="16"/>
        <v>46114</v>
      </c>
      <c r="C333" s="7">
        <f t="shared" si="17"/>
        <v>46120</v>
      </c>
      <c r="D333" s="6">
        <v>3280</v>
      </c>
      <c r="E333" s="6">
        <v>337</v>
      </c>
      <c r="F333" s="6">
        <v>4</v>
      </c>
      <c r="G333" s="15">
        <v>1</v>
      </c>
      <c r="H333" s="15"/>
      <c r="I333" s="15" t="s">
        <v>1505</v>
      </c>
      <c r="J333" s="15">
        <v>23731820</v>
      </c>
      <c r="K333" s="15" t="s">
        <v>416</v>
      </c>
      <c r="L333" s="15" t="s">
        <v>420</v>
      </c>
      <c r="M333" s="16">
        <v>209900</v>
      </c>
      <c r="N333" s="9">
        <v>0.95</v>
      </c>
      <c r="O333" s="8">
        <f t="shared" si="15"/>
        <v>10495</v>
      </c>
      <c r="P333" s="6" t="s">
        <v>15</v>
      </c>
    </row>
    <row r="334" spans="1:16" x14ac:dyDescent="0.25">
      <c r="A334" s="6" t="s">
        <v>3920</v>
      </c>
      <c r="B334" s="7">
        <f t="shared" si="16"/>
        <v>46114</v>
      </c>
      <c r="C334" s="7">
        <f t="shared" si="17"/>
        <v>46120</v>
      </c>
      <c r="D334" s="6">
        <v>3280</v>
      </c>
      <c r="E334" s="6">
        <v>337</v>
      </c>
      <c r="F334" s="6">
        <v>4</v>
      </c>
      <c r="G334" s="15">
        <v>1</v>
      </c>
      <c r="H334" s="15"/>
      <c r="I334" s="15" t="s">
        <v>1505</v>
      </c>
      <c r="J334" s="15">
        <v>23731839</v>
      </c>
      <c r="K334" s="15" t="s">
        <v>416</v>
      </c>
      <c r="L334" s="15" t="s">
        <v>421</v>
      </c>
      <c r="M334" s="16">
        <v>209900</v>
      </c>
      <c r="N334" s="9">
        <v>0.95</v>
      </c>
      <c r="O334" s="8">
        <f t="shared" si="15"/>
        <v>10495</v>
      </c>
      <c r="P334" s="6" t="s">
        <v>15</v>
      </c>
    </row>
    <row r="335" spans="1:16" x14ac:dyDescent="0.25">
      <c r="A335" s="6" t="s">
        <v>3920</v>
      </c>
      <c r="B335" s="7">
        <f t="shared" si="16"/>
        <v>46114</v>
      </c>
      <c r="C335" s="7">
        <f t="shared" si="17"/>
        <v>46120</v>
      </c>
      <c r="D335" s="6">
        <v>3280</v>
      </c>
      <c r="E335" s="6">
        <v>337</v>
      </c>
      <c r="F335" s="6">
        <v>4</v>
      </c>
      <c r="G335" s="15">
        <v>1</v>
      </c>
      <c r="H335" s="15"/>
      <c r="I335" s="15" t="s">
        <v>1505</v>
      </c>
      <c r="J335" s="15">
        <v>23731848</v>
      </c>
      <c r="K335" s="15" t="s">
        <v>416</v>
      </c>
      <c r="L335" s="15" t="s">
        <v>422</v>
      </c>
      <c r="M335" s="16">
        <v>209900</v>
      </c>
      <c r="N335" s="9">
        <v>0.95</v>
      </c>
      <c r="O335" s="8">
        <f t="shared" si="15"/>
        <v>10495</v>
      </c>
      <c r="P335" s="6" t="s">
        <v>15</v>
      </c>
    </row>
    <row r="336" spans="1:16" x14ac:dyDescent="0.25">
      <c r="A336" s="6" t="s">
        <v>3920</v>
      </c>
      <c r="B336" s="7">
        <f t="shared" si="16"/>
        <v>46114</v>
      </c>
      <c r="C336" s="7">
        <f t="shared" si="17"/>
        <v>46120</v>
      </c>
      <c r="D336" s="6">
        <v>3280</v>
      </c>
      <c r="E336" s="6">
        <v>337</v>
      </c>
      <c r="F336" s="6">
        <v>4</v>
      </c>
      <c r="G336" s="15">
        <v>1</v>
      </c>
      <c r="H336" s="15"/>
      <c r="I336" s="15" t="s">
        <v>1505</v>
      </c>
      <c r="J336" s="15">
        <v>23739377</v>
      </c>
      <c r="K336" s="15" t="s">
        <v>423</v>
      </c>
      <c r="L336" s="15" t="s">
        <v>424</v>
      </c>
      <c r="M336" s="16">
        <v>199900</v>
      </c>
      <c r="N336" s="9">
        <v>0.95</v>
      </c>
      <c r="O336" s="8">
        <f t="shared" si="15"/>
        <v>9995</v>
      </c>
      <c r="P336" s="6" t="s">
        <v>15</v>
      </c>
    </row>
    <row r="337" spans="1:16" x14ac:dyDescent="0.25">
      <c r="A337" s="6" t="s">
        <v>3920</v>
      </c>
      <c r="B337" s="7">
        <f t="shared" si="16"/>
        <v>46114</v>
      </c>
      <c r="C337" s="7">
        <f t="shared" si="17"/>
        <v>46120</v>
      </c>
      <c r="D337" s="6">
        <v>3280</v>
      </c>
      <c r="E337" s="6">
        <v>337</v>
      </c>
      <c r="F337" s="6">
        <v>4</v>
      </c>
      <c r="G337" s="15">
        <v>1</v>
      </c>
      <c r="H337" s="15"/>
      <c r="I337" s="15" t="s">
        <v>1505</v>
      </c>
      <c r="J337" s="15">
        <v>23739386</v>
      </c>
      <c r="K337" s="15" t="s">
        <v>423</v>
      </c>
      <c r="L337" s="15" t="s">
        <v>425</v>
      </c>
      <c r="M337" s="16">
        <v>199900</v>
      </c>
      <c r="N337" s="9">
        <v>0.95</v>
      </c>
      <c r="O337" s="8">
        <f t="shared" si="15"/>
        <v>9995</v>
      </c>
      <c r="P337" s="6" t="s">
        <v>15</v>
      </c>
    </row>
    <row r="338" spans="1:16" x14ac:dyDescent="0.25">
      <c r="A338" s="6" t="s">
        <v>3920</v>
      </c>
      <c r="B338" s="7">
        <f t="shared" si="16"/>
        <v>46114</v>
      </c>
      <c r="C338" s="7">
        <f t="shared" si="17"/>
        <v>46120</v>
      </c>
      <c r="D338" s="6">
        <v>3280</v>
      </c>
      <c r="E338" s="6">
        <v>337</v>
      </c>
      <c r="F338" s="6">
        <v>4</v>
      </c>
      <c r="G338" s="15">
        <v>1</v>
      </c>
      <c r="H338" s="15"/>
      <c r="I338" s="15" t="s">
        <v>1505</v>
      </c>
      <c r="J338" s="15">
        <v>23739395</v>
      </c>
      <c r="K338" s="15" t="s">
        <v>423</v>
      </c>
      <c r="L338" s="15" t="s">
        <v>426</v>
      </c>
      <c r="M338" s="16">
        <v>199900</v>
      </c>
      <c r="N338" s="9">
        <v>0.95</v>
      </c>
      <c r="O338" s="8">
        <f t="shared" si="15"/>
        <v>9995</v>
      </c>
      <c r="P338" s="6" t="s">
        <v>15</v>
      </c>
    </row>
    <row r="339" spans="1:16" x14ac:dyDescent="0.25">
      <c r="A339" s="6" t="s">
        <v>3920</v>
      </c>
      <c r="B339" s="7">
        <f t="shared" si="16"/>
        <v>46114</v>
      </c>
      <c r="C339" s="7">
        <f t="shared" si="17"/>
        <v>46120</v>
      </c>
      <c r="D339" s="6">
        <v>3280</v>
      </c>
      <c r="E339" s="6">
        <v>337</v>
      </c>
      <c r="F339" s="6">
        <v>4</v>
      </c>
      <c r="G339" s="15">
        <v>1</v>
      </c>
      <c r="H339" s="15"/>
      <c r="I339" s="15" t="s">
        <v>1505</v>
      </c>
      <c r="J339" s="15">
        <v>23739402</v>
      </c>
      <c r="K339" s="15" t="s">
        <v>423</v>
      </c>
      <c r="L339" s="15" t="s">
        <v>427</v>
      </c>
      <c r="M339" s="16">
        <v>209900</v>
      </c>
      <c r="N339" s="9">
        <v>0.95</v>
      </c>
      <c r="O339" s="8">
        <f t="shared" si="15"/>
        <v>10495</v>
      </c>
      <c r="P339" s="6" t="s">
        <v>15</v>
      </c>
    </row>
    <row r="340" spans="1:16" x14ac:dyDescent="0.25">
      <c r="A340" s="6" t="s">
        <v>3920</v>
      </c>
      <c r="B340" s="7">
        <f t="shared" si="16"/>
        <v>46114</v>
      </c>
      <c r="C340" s="7">
        <f t="shared" si="17"/>
        <v>46120</v>
      </c>
      <c r="D340" s="6">
        <v>3280</v>
      </c>
      <c r="E340" s="6">
        <v>337</v>
      </c>
      <c r="F340" s="6">
        <v>4</v>
      </c>
      <c r="G340" s="15">
        <v>1</v>
      </c>
      <c r="H340" s="15"/>
      <c r="I340" s="15" t="s">
        <v>1505</v>
      </c>
      <c r="J340" s="15">
        <v>23739411</v>
      </c>
      <c r="K340" s="15" t="s">
        <v>423</v>
      </c>
      <c r="L340" s="15" t="s">
        <v>428</v>
      </c>
      <c r="M340" s="16">
        <v>209900</v>
      </c>
      <c r="N340" s="9">
        <v>0.95</v>
      </c>
      <c r="O340" s="8">
        <f t="shared" si="15"/>
        <v>10495</v>
      </c>
      <c r="P340" s="6" t="s">
        <v>15</v>
      </c>
    </row>
    <row r="341" spans="1:16" x14ac:dyDescent="0.25">
      <c r="A341" s="6" t="s">
        <v>3920</v>
      </c>
      <c r="B341" s="7">
        <f t="shared" si="16"/>
        <v>46114</v>
      </c>
      <c r="C341" s="7">
        <f t="shared" si="17"/>
        <v>46120</v>
      </c>
      <c r="D341" s="6">
        <v>3280</v>
      </c>
      <c r="E341" s="6">
        <v>337</v>
      </c>
      <c r="F341" s="6">
        <v>4</v>
      </c>
      <c r="G341" s="15">
        <v>1</v>
      </c>
      <c r="H341" s="15"/>
      <c r="I341" s="15" t="s">
        <v>1505</v>
      </c>
      <c r="J341" s="15">
        <v>23739420</v>
      </c>
      <c r="K341" s="15" t="s">
        <v>423</v>
      </c>
      <c r="L341" s="15" t="s">
        <v>429</v>
      </c>
      <c r="M341" s="16">
        <v>209900</v>
      </c>
      <c r="N341" s="9">
        <v>0.95</v>
      </c>
      <c r="O341" s="8">
        <f t="shared" si="15"/>
        <v>10495</v>
      </c>
      <c r="P341" s="6" t="s">
        <v>15</v>
      </c>
    </row>
    <row r="342" spans="1:16" x14ac:dyDescent="0.25">
      <c r="A342" s="6" t="s">
        <v>3920</v>
      </c>
      <c r="B342" s="7">
        <f t="shared" si="16"/>
        <v>46114</v>
      </c>
      <c r="C342" s="7">
        <f t="shared" si="17"/>
        <v>46120</v>
      </c>
      <c r="D342" s="6">
        <v>3280</v>
      </c>
      <c r="E342" s="6">
        <v>337</v>
      </c>
      <c r="F342" s="6">
        <v>4</v>
      </c>
      <c r="G342" s="15">
        <v>1</v>
      </c>
      <c r="H342" s="15"/>
      <c r="I342" s="15" t="s">
        <v>1505</v>
      </c>
      <c r="J342" s="15">
        <v>23766892</v>
      </c>
      <c r="K342" s="15" t="s">
        <v>430</v>
      </c>
      <c r="L342" s="15" t="s">
        <v>431</v>
      </c>
      <c r="M342" s="16">
        <v>209900</v>
      </c>
      <c r="N342" s="9">
        <v>0.95</v>
      </c>
      <c r="O342" s="8">
        <f t="shared" si="15"/>
        <v>10495</v>
      </c>
      <c r="P342" s="6" t="s">
        <v>15</v>
      </c>
    </row>
    <row r="343" spans="1:16" x14ac:dyDescent="0.25">
      <c r="A343" s="6" t="s">
        <v>3920</v>
      </c>
      <c r="B343" s="7">
        <f t="shared" si="16"/>
        <v>46114</v>
      </c>
      <c r="C343" s="7">
        <f t="shared" si="17"/>
        <v>46120</v>
      </c>
      <c r="D343" s="6">
        <v>3280</v>
      </c>
      <c r="E343" s="6">
        <v>337</v>
      </c>
      <c r="F343" s="6">
        <v>4</v>
      </c>
      <c r="G343" s="15">
        <v>1</v>
      </c>
      <c r="H343" s="15"/>
      <c r="I343" s="15" t="s">
        <v>1505</v>
      </c>
      <c r="J343" s="15">
        <v>23766909</v>
      </c>
      <c r="K343" s="15" t="s">
        <v>430</v>
      </c>
      <c r="L343" s="15" t="s">
        <v>432</v>
      </c>
      <c r="M343" s="16">
        <v>209900</v>
      </c>
      <c r="N343" s="9">
        <v>0.95</v>
      </c>
      <c r="O343" s="8">
        <f t="shared" si="15"/>
        <v>10495</v>
      </c>
      <c r="P343" s="6" t="s">
        <v>15</v>
      </c>
    </row>
    <row r="344" spans="1:16" x14ac:dyDescent="0.25">
      <c r="A344" s="6" t="s">
        <v>3920</v>
      </c>
      <c r="B344" s="7">
        <f t="shared" si="16"/>
        <v>46114</v>
      </c>
      <c r="C344" s="7">
        <f t="shared" si="17"/>
        <v>46120</v>
      </c>
      <c r="D344" s="6">
        <v>3280</v>
      </c>
      <c r="E344" s="6">
        <v>337</v>
      </c>
      <c r="F344" s="6">
        <v>4</v>
      </c>
      <c r="G344" s="15">
        <v>1</v>
      </c>
      <c r="H344" s="15"/>
      <c r="I344" s="15" t="s">
        <v>1505</v>
      </c>
      <c r="J344" s="15">
        <v>23766918</v>
      </c>
      <c r="K344" s="15" t="s">
        <v>430</v>
      </c>
      <c r="L344" s="15" t="s">
        <v>433</v>
      </c>
      <c r="M344" s="16">
        <v>209900</v>
      </c>
      <c r="N344" s="9">
        <v>0.95</v>
      </c>
      <c r="O344" s="8">
        <f t="shared" si="15"/>
        <v>10495</v>
      </c>
      <c r="P344" s="6" t="s">
        <v>15</v>
      </c>
    </row>
    <row r="345" spans="1:16" x14ac:dyDescent="0.25">
      <c r="A345" s="6" t="s">
        <v>3920</v>
      </c>
      <c r="B345" s="7">
        <f t="shared" si="16"/>
        <v>46114</v>
      </c>
      <c r="C345" s="7">
        <f t="shared" si="17"/>
        <v>46120</v>
      </c>
      <c r="D345" s="6">
        <v>3280</v>
      </c>
      <c r="E345" s="6">
        <v>337</v>
      </c>
      <c r="F345" s="6">
        <v>4</v>
      </c>
      <c r="G345" s="15">
        <v>1</v>
      </c>
      <c r="H345" s="15"/>
      <c r="I345" s="15" t="s">
        <v>1505</v>
      </c>
      <c r="J345" s="15">
        <v>23766927</v>
      </c>
      <c r="K345" s="15" t="s">
        <v>430</v>
      </c>
      <c r="L345" s="15" t="s">
        <v>434</v>
      </c>
      <c r="M345" s="16">
        <v>219900</v>
      </c>
      <c r="N345" s="9">
        <v>0.95</v>
      </c>
      <c r="O345" s="8">
        <f t="shared" si="15"/>
        <v>10995</v>
      </c>
      <c r="P345" s="6" t="s">
        <v>15</v>
      </c>
    </row>
    <row r="346" spans="1:16" x14ac:dyDescent="0.25">
      <c r="A346" s="6" t="s">
        <v>3920</v>
      </c>
      <c r="B346" s="7">
        <f t="shared" si="16"/>
        <v>46114</v>
      </c>
      <c r="C346" s="7">
        <f t="shared" si="17"/>
        <v>46120</v>
      </c>
      <c r="D346" s="6">
        <v>3280</v>
      </c>
      <c r="E346" s="6">
        <v>337</v>
      </c>
      <c r="F346" s="6">
        <v>4</v>
      </c>
      <c r="G346" s="15">
        <v>1</v>
      </c>
      <c r="H346" s="15"/>
      <c r="I346" s="15" t="s">
        <v>1505</v>
      </c>
      <c r="J346" s="15">
        <v>23766936</v>
      </c>
      <c r="K346" s="15" t="s">
        <v>430</v>
      </c>
      <c r="L346" s="15" t="s">
        <v>435</v>
      </c>
      <c r="M346" s="16">
        <v>219900</v>
      </c>
      <c r="N346" s="9">
        <v>0.95</v>
      </c>
      <c r="O346" s="8">
        <f t="shared" si="15"/>
        <v>10995</v>
      </c>
      <c r="P346" s="6" t="s">
        <v>15</v>
      </c>
    </row>
    <row r="347" spans="1:16" x14ac:dyDescent="0.25">
      <c r="A347" s="6" t="s">
        <v>3920</v>
      </c>
      <c r="B347" s="7">
        <f t="shared" si="16"/>
        <v>46114</v>
      </c>
      <c r="C347" s="7">
        <f t="shared" si="17"/>
        <v>46120</v>
      </c>
      <c r="D347" s="6">
        <v>3280</v>
      </c>
      <c r="E347" s="6">
        <v>337</v>
      </c>
      <c r="F347" s="6">
        <v>4</v>
      </c>
      <c r="G347" s="15">
        <v>1</v>
      </c>
      <c r="H347" s="15"/>
      <c r="I347" s="15" t="s">
        <v>1505</v>
      </c>
      <c r="J347" s="15">
        <v>23766945</v>
      </c>
      <c r="K347" s="15" t="s">
        <v>430</v>
      </c>
      <c r="L347" s="15" t="s">
        <v>436</v>
      </c>
      <c r="M347" s="16">
        <v>219900</v>
      </c>
      <c r="N347" s="9">
        <v>0.95</v>
      </c>
      <c r="O347" s="8">
        <f t="shared" si="15"/>
        <v>10995</v>
      </c>
      <c r="P347" s="6" t="s">
        <v>15</v>
      </c>
    </row>
    <row r="348" spans="1:16" x14ac:dyDescent="0.25">
      <c r="A348" s="6" t="s">
        <v>3920</v>
      </c>
      <c r="B348" s="7">
        <f t="shared" si="16"/>
        <v>46114</v>
      </c>
      <c r="C348" s="7">
        <f t="shared" si="17"/>
        <v>46120</v>
      </c>
      <c r="D348" s="6">
        <v>3280</v>
      </c>
      <c r="E348" s="6">
        <v>337</v>
      </c>
      <c r="F348" s="6">
        <v>4</v>
      </c>
      <c r="G348" s="15">
        <v>1</v>
      </c>
      <c r="H348" s="15"/>
      <c r="I348" s="15" t="s">
        <v>1505</v>
      </c>
      <c r="J348" s="15">
        <v>23766954</v>
      </c>
      <c r="K348" s="15" t="s">
        <v>437</v>
      </c>
      <c r="L348" s="15" t="s">
        <v>438</v>
      </c>
      <c r="M348" s="16">
        <v>199900</v>
      </c>
      <c r="N348" s="9">
        <v>0.95</v>
      </c>
      <c r="O348" s="8">
        <f t="shared" si="15"/>
        <v>9995</v>
      </c>
      <c r="P348" s="6" t="s">
        <v>15</v>
      </c>
    </row>
    <row r="349" spans="1:16" x14ac:dyDescent="0.25">
      <c r="A349" s="6" t="s">
        <v>3920</v>
      </c>
      <c r="B349" s="7">
        <f t="shared" si="16"/>
        <v>46114</v>
      </c>
      <c r="C349" s="7">
        <f t="shared" si="17"/>
        <v>46120</v>
      </c>
      <c r="D349" s="6">
        <v>3280</v>
      </c>
      <c r="E349" s="6">
        <v>337</v>
      </c>
      <c r="F349" s="6">
        <v>4</v>
      </c>
      <c r="G349" s="15">
        <v>1</v>
      </c>
      <c r="H349" s="15"/>
      <c r="I349" s="15" t="s">
        <v>1505</v>
      </c>
      <c r="J349" s="15">
        <v>23766963</v>
      </c>
      <c r="K349" s="15" t="s">
        <v>437</v>
      </c>
      <c r="L349" s="15" t="s">
        <v>439</v>
      </c>
      <c r="M349" s="16">
        <v>199900</v>
      </c>
      <c r="N349" s="9">
        <v>0.95</v>
      </c>
      <c r="O349" s="8">
        <f t="shared" si="15"/>
        <v>9995</v>
      </c>
      <c r="P349" s="6" t="s">
        <v>15</v>
      </c>
    </row>
    <row r="350" spans="1:16" x14ac:dyDescent="0.25">
      <c r="A350" s="6" t="s">
        <v>3920</v>
      </c>
      <c r="B350" s="7">
        <f t="shared" si="16"/>
        <v>46114</v>
      </c>
      <c r="C350" s="7">
        <f t="shared" si="17"/>
        <v>46120</v>
      </c>
      <c r="D350" s="6">
        <v>3280</v>
      </c>
      <c r="E350" s="6">
        <v>337</v>
      </c>
      <c r="F350" s="6">
        <v>4</v>
      </c>
      <c r="G350" s="15">
        <v>1</v>
      </c>
      <c r="H350" s="15"/>
      <c r="I350" s="15" t="s">
        <v>1505</v>
      </c>
      <c r="J350" s="15">
        <v>23766972</v>
      </c>
      <c r="K350" s="15" t="s">
        <v>437</v>
      </c>
      <c r="L350" s="15" t="s">
        <v>440</v>
      </c>
      <c r="M350" s="16">
        <v>199900</v>
      </c>
      <c r="N350" s="9">
        <v>0.95</v>
      </c>
      <c r="O350" s="8">
        <f t="shared" si="15"/>
        <v>9995</v>
      </c>
      <c r="P350" s="6" t="s">
        <v>15</v>
      </c>
    </row>
    <row r="351" spans="1:16" x14ac:dyDescent="0.25">
      <c r="A351" s="6" t="s">
        <v>3920</v>
      </c>
      <c r="B351" s="7">
        <f t="shared" si="16"/>
        <v>46114</v>
      </c>
      <c r="C351" s="7">
        <f t="shared" si="17"/>
        <v>46120</v>
      </c>
      <c r="D351" s="6">
        <v>3280</v>
      </c>
      <c r="E351" s="6">
        <v>337</v>
      </c>
      <c r="F351" s="6">
        <v>4</v>
      </c>
      <c r="G351" s="15">
        <v>1</v>
      </c>
      <c r="H351" s="15"/>
      <c r="I351" s="15" t="s">
        <v>1505</v>
      </c>
      <c r="J351" s="15">
        <v>23767051</v>
      </c>
      <c r="K351" s="15" t="s">
        <v>383</v>
      </c>
      <c r="L351" s="15" t="s">
        <v>441</v>
      </c>
      <c r="M351" s="16">
        <v>199900</v>
      </c>
      <c r="N351" s="9">
        <v>0.95</v>
      </c>
      <c r="O351" s="8">
        <f t="shared" si="15"/>
        <v>9995</v>
      </c>
      <c r="P351" s="6" t="s">
        <v>15</v>
      </c>
    </row>
    <row r="352" spans="1:16" x14ac:dyDescent="0.25">
      <c r="A352" s="6" t="s">
        <v>3920</v>
      </c>
      <c r="B352" s="7">
        <f t="shared" si="16"/>
        <v>46114</v>
      </c>
      <c r="C352" s="7">
        <f t="shared" si="17"/>
        <v>46120</v>
      </c>
      <c r="D352" s="6">
        <v>3280</v>
      </c>
      <c r="E352" s="6">
        <v>337</v>
      </c>
      <c r="F352" s="6">
        <v>4</v>
      </c>
      <c r="G352" s="15">
        <v>1</v>
      </c>
      <c r="H352" s="15"/>
      <c r="I352" s="15" t="s">
        <v>1505</v>
      </c>
      <c r="J352" s="15">
        <v>23767060</v>
      </c>
      <c r="K352" s="15" t="s">
        <v>383</v>
      </c>
      <c r="L352" s="15" t="s">
        <v>442</v>
      </c>
      <c r="M352" s="16">
        <v>199900</v>
      </c>
      <c r="N352" s="9">
        <v>0.95</v>
      </c>
      <c r="O352" s="8">
        <f t="shared" si="15"/>
        <v>9995</v>
      </c>
      <c r="P352" s="6" t="s">
        <v>15</v>
      </c>
    </row>
    <row r="353" spans="1:16" x14ac:dyDescent="0.25">
      <c r="A353" s="6" t="s">
        <v>3920</v>
      </c>
      <c r="B353" s="7">
        <f t="shared" si="16"/>
        <v>46114</v>
      </c>
      <c r="C353" s="7">
        <f t="shared" si="17"/>
        <v>46120</v>
      </c>
      <c r="D353" s="6">
        <v>3280</v>
      </c>
      <c r="E353" s="6">
        <v>337</v>
      </c>
      <c r="F353" s="6">
        <v>4</v>
      </c>
      <c r="G353" s="15">
        <v>1</v>
      </c>
      <c r="H353" s="15"/>
      <c r="I353" s="15" t="s">
        <v>1505</v>
      </c>
      <c r="J353" s="15">
        <v>23767211</v>
      </c>
      <c r="K353" s="15" t="s">
        <v>385</v>
      </c>
      <c r="L353" s="15" t="s">
        <v>443</v>
      </c>
      <c r="M353" s="16">
        <v>199900</v>
      </c>
      <c r="N353" s="9">
        <v>0.95</v>
      </c>
      <c r="O353" s="8">
        <f t="shared" si="15"/>
        <v>9995</v>
      </c>
      <c r="P353" s="6" t="s">
        <v>15</v>
      </c>
    </row>
    <row r="354" spans="1:16" x14ac:dyDescent="0.25">
      <c r="A354" s="6" t="s">
        <v>3920</v>
      </c>
      <c r="B354" s="7">
        <f t="shared" si="16"/>
        <v>46114</v>
      </c>
      <c r="C354" s="7">
        <f t="shared" si="17"/>
        <v>46120</v>
      </c>
      <c r="D354" s="6">
        <v>3280</v>
      </c>
      <c r="E354" s="6">
        <v>337</v>
      </c>
      <c r="F354" s="6">
        <v>4</v>
      </c>
      <c r="G354" s="15">
        <v>1</v>
      </c>
      <c r="H354" s="15"/>
      <c r="I354" s="15" t="s">
        <v>1505</v>
      </c>
      <c r="J354" s="15">
        <v>23767220</v>
      </c>
      <c r="K354" s="15" t="s">
        <v>385</v>
      </c>
      <c r="L354" s="15" t="s">
        <v>444</v>
      </c>
      <c r="M354" s="16">
        <v>199900</v>
      </c>
      <c r="N354" s="9">
        <v>0.95</v>
      </c>
      <c r="O354" s="8">
        <f t="shared" si="15"/>
        <v>9995</v>
      </c>
      <c r="P354" s="6" t="s">
        <v>15</v>
      </c>
    </row>
    <row r="355" spans="1:16" x14ac:dyDescent="0.25">
      <c r="A355" s="6" t="s">
        <v>3920</v>
      </c>
      <c r="B355" s="7">
        <f t="shared" si="16"/>
        <v>46114</v>
      </c>
      <c r="C355" s="7">
        <f t="shared" si="17"/>
        <v>46120</v>
      </c>
      <c r="D355" s="6">
        <v>3280</v>
      </c>
      <c r="E355" s="6">
        <v>337</v>
      </c>
      <c r="F355" s="6">
        <v>4</v>
      </c>
      <c r="G355" s="15">
        <v>1</v>
      </c>
      <c r="H355" s="15"/>
      <c r="I355" s="15" t="s">
        <v>1505</v>
      </c>
      <c r="J355" s="15">
        <v>23772634</v>
      </c>
      <c r="K355" s="15" t="s">
        <v>445</v>
      </c>
      <c r="L355" s="15" t="s">
        <v>446</v>
      </c>
      <c r="M355" s="16">
        <v>199900</v>
      </c>
      <c r="N355" s="9">
        <v>0.95</v>
      </c>
      <c r="O355" s="8">
        <f t="shared" si="15"/>
        <v>9995</v>
      </c>
      <c r="P355" s="6" t="s">
        <v>15</v>
      </c>
    </row>
    <row r="356" spans="1:16" x14ac:dyDescent="0.25">
      <c r="A356" s="6" t="s">
        <v>3920</v>
      </c>
      <c r="B356" s="7">
        <f t="shared" si="16"/>
        <v>46114</v>
      </c>
      <c r="C356" s="7">
        <f t="shared" si="17"/>
        <v>46120</v>
      </c>
      <c r="D356" s="6">
        <v>3280</v>
      </c>
      <c r="E356" s="6">
        <v>337</v>
      </c>
      <c r="F356" s="6">
        <v>4</v>
      </c>
      <c r="G356" s="15">
        <v>1</v>
      </c>
      <c r="H356" s="15"/>
      <c r="I356" s="15" t="s">
        <v>1505</v>
      </c>
      <c r="J356" s="15">
        <v>23772643</v>
      </c>
      <c r="K356" s="15" t="s">
        <v>445</v>
      </c>
      <c r="L356" s="15" t="s">
        <v>447</v>
      </c>
      <c r="M356" s="16">
        <v>199900</v>
      </c>
      <c r="N356" s="9">
        <v>0.95</v>
      </c>
      <c r="O356" s="8">
        <f t="shared" si="15"/>
        <v>9995</v>
      </c>
      <c r="P356" s="6" t="s">
        <v>15</v>
      </c>
    </row>
    <row r="357" spans="1:16" x14ac:dyDescent="0.25">
      <c r="A357" s="6" t="s">
        <v>3920</v>
      </c>
      <c r="B357" s="7">
        <f t="shared" si="16"/>
        <v>46114</v>
      </c>
      <c r="C357" s="7">
        <f t="shared" si="17"/>
        <v>46120</v>
      </c>
      <c r="D357" s="6">
        <v>3280</v>
      </c>
      <c r="E357" s="6">
        <v>337</v>
      </c>
      <c r="F357" s="6">
        <v>4</v>
      </c>
      <c r="G357" s="15">
        <v>1</v>
      </c>
      <c r="H357" s="15"/>
      <c r="I357" s="15" t="s">
        <v>1505</v>
      </c>
      <c r="J357" s="15">
        <v>23772652</v>
      </c>
      <c r="K357" s="15" t="s">
        <v>445</v>
      </c>
      <c r="L357" s="15" t="s">
        <v>448</v>
      </c>
      <c r="M357" s="16">
        <v>199900</v>
      </c>
      <c r="N357" s="9">
        <v>0.95</v>
      </c>
      <c r="O357" s="8">
        <f t="shared" si="15"/>
        <v>9995</v>
      </c>
      <c r="P357" s="6" t="s">
        <v>15</v>
      </c>
    </row>
    <row r="358" spans="1:16" x14ac:dyDescent="0.25">
      <c r="A358" s="6" t="s">
        <v>3920</v>
      </c>
      <c r="B358" s="7">
        <f t="shared" si="16"/>
        <v>46114</v>
      </c>
      <c r="C358" s="7">
        <f t="shared" si="17"/>
        <v>46120</v>
      </c>
      <c r="D358" s="6">
        <v>3280</v>
      </c>
      <c r="E358" s="6">
        <v>337</v>
      </c>
      <c r="F358" s="6">
        <v>4</v>
      </c>
      <c r="G358" s="15">
        <v>1</v>
      </c>
      <c r="H358" s="15"/>
      <c r="I358" s="15" t="s">
        <v>1505</v>
      </c>
      <c r="J358" s="15">
        <v>23772689</v>
      </c>
      <c r="K358" s="15" t="s">
        <v>445</v>
      </c>
      <c r="L358" s="15" t="s">
        <v>449</v>
      </c>
      <c r="M358" s="16">
        <v>209900</v>
      </c>
      <c r="N358" s="9">
        <v>0.95</v>
      </c>
      <c r="O358" s="8">
        <f t="shared" si="15"/>
        <v>10495</v>
      </c>
      <c r="P358" s="6" t="s">
        <v>15</v>
      </c>
    </row>
    <row r="359" spans="1:16" x14ac:dyDescent="0.25">
      <c r="A359" s="6" t="s">
        <v>3920</v>
      </c>
      <c r="B359" s="7">
        <f t="shared" si="16"/>
        <v>46114</v>
      </c>
      <c r="C359" s="7">
        <f t="shared" si="17"/>
        <v>46120</v>
      </c>
      <c r="D359" s="6">
        <v>3280</v>
      </c>
      <c r="E359" s="6">
        <v>337</v>
      </c>
      <c r="F359" s="6">
        <v>4</v>
      </c>
      <c r="G359" s="15">
        <v>1</v>
      </c>
      <c r="H359" s="15"/>
      <c r="I359" s="15" t="s">
        <v>1505</v>
      </c>
      <c r="J359" s="15">
        <v>23832873</v>
      </c>
      <c r="K359" s="15" t="s">
        <v>450</v>
      </c>
      <c r="L359" s="15" t="s">
        <v>451</v>
      </c>
      <c r="M359" s="16">
        <v>189900</v>
      </c>
      <c r="N359" s="9">
        <v>0.95</v>
      </c>
      <c r="O359" s="8">
        <f t="shared" si="15"/>
        <v>9495</v>
      </c>
      <c r="P359" s="6" t="s">
        <v>15</v>
      </c>
    </row>
    <row r="360" spans="1:16" x14ac:dyDescent="0.25">
      <c r="A360" s="6" t="s">
        <v>3920</v>
      </c>
      <c r="B360" s="7">
        <f t="shared" si="16"/>
        <v>46114</v>
      </c>
      <c r="C360" s="7">
        <f t="shared" si="17"/>
        <v>46120</v>
      </c>
      <c r="D360" s="6">
        <v>3280</v>
      </c>
      <c r="E360" s="6">
        <v>337</v>
      </c>
      <c r="F360" s="6">
        <v>4</v>
      </c>
      <c r="G360" s="15">
        <v>1</v>
      </c>
      <c r="H360" s="15"/>
      <c r="I360" s="15" t="s">
        <v>1505</v>
      </c>
      <c r="J360" s="15">
        <v>23832882</v>
      </c>
      <c r="K360" s="15" t="s">
        <v>450</v>
      </c>
      <c r="L360" s="15" t="s">
        <v>452</v>
      </c>
      <c r="M360" s="16">
        <v>189900</v>
      </c>
      <c r="N360" s="9">
        <v>0.95</v>
      </c>
      <c r="O360" s="8">
        <f t="shared" si="15"/>
        <v>9495</v>
      </c>
      <c r="P360" s="6" t="s">
        <v>15</v>
      </c>
    </row>
    <row r="361" spans="1:16" x14ac:dyDescent="0.25">
      <c r="A361" s="6" t="s">
        <v>3920</v>
      </c>
      <c r="B361" s="7">
        <f t="shared" si="16"/>
        <v>46114</v>
      </c>
      <c r="C361" s="7">
        <f t="shared" si="17"/>
        <v>46120</v>
      </c>
      <c r="D361" s="6">
        <v>3280</v>
      </c>
      <c r="E361" s="6">
        <v>337</v>
      </c>
      <c r="F361" s="6">
        <v>4</v>
      </c>
      <c r="G361" s="15">
        <v>1</v>
      </c>
      <c r="H361" s="15"/>
      <c r="I361" s="15" t="s">
        <v>1505</v>
      </c>
      <c r="J361" s="15">
        <v>23832891</v>
      </c>
      <c r="K361" s="15" t="s">
        <v>450</v>
      </c>
      <c r="L361" s="15" t="s">
        <v>453</v>
      </c>
      <c r="M361" s="16">
        <v>189900</v>
      </c>
      <c r="N361" s="9">
        <v>0.95</v>
      </c>
      <c r="O361" s="8">
        <f t="shared" si="15"/>
        <v>9495</v>
      </c>
      <c r="P361" s="6" t="s">
        <v>15</v>
      </c>
    </row>
    <row r="362" spans="1:16" x14ac:dyDescent="0.25">
      <c r="A362" s="6" t="s">
        <v>3920</v>
      </c>
      <c r="B362" s="7">
        <f t="shared" si="16"/>
        <v>46114</v>
      </c>
      <c r="C362" s="7">
        <f t="shared" si="17"/>
        <v>46120</v>
      </c>
      <c r="D362" s="6">
        <v>3280</v>
      </c>
      <c r="E362" s="6">
        <v>337</v>
      </c>
      <c r="F362" s="6">
        <v>4</v>
      </c>
      <c r="G362" s="15">
        <v>1</v>
      </c>
      <c r="H362" s="15"/>
      <c r="I362" s="15" t="s">
        <v>1505</v>
      </c>
      <c r="J362" s="15">
        <v>23832917</v>
      </c>
      <c r="K362" s="15" t="s">
        <v>450</v>
      </c>
      <c r="L362" s="15" t="s">
        <v>454</v>
      </c>
      <c r="M362" s="16">
        <v>199900</v>
      </c>
      <c r="N362" s="9">
        <v>0.95</v>
      </c>
      <c r="O362" s="8">
        <f t="shared" si="15"/>
        <v>9995</v>
      </c>
      <c r="P362" s="6" t="s">
        <v>15</v>
      </c>
    </row>
    <row r="363" spans="1:16" x14ac:dyDescent="0.25">
      <c r="A363" s="6" t="s">
        <v>3920</v>
      </c>
      <c r="B363" s="7">
        <f t="shared" si="16"/>
        <v>46114</v>
      </c>
      <c r="C363" s="7">
        <f t="shared" si="17"/>
        <v>46120</v>
      </c>
      <c r="D363" s="6">
        <v>3280</v>
      </c>
      <c r="E363" s="6">
        <v>337</v>
      </c>
      <c r="F363" s="6">
        <v>4</v>
      </c>
      <c r="G363" s="15">
        <v>1</v>
      </c>
      <c r="H363" s="15"/>
      <c r="I363" s="15" t="s">
        <v>1505</v>
      </c>
      <c r="J363" s="15">
        <v>23832926</v>
      </c>
      <c r="K363" s="15" t="s">
        <v>450</v>
      </c>
      <c r="L363" s="15" t="s">
        <v>455</v>
      </c>
      <c r="M363" s="16">
        <v>199900</v>
      </c>
      <c r="N363" s="9">
        <v>0.95</v>
      </c>
      <c r="O363" s="8">
        <f t="shared" si="15"/>
        <v>9995</v>
      </c>
      <c r="P363" s="6" t="s">
        <v>15</v>
      </c>
    </row>
    <row r="364" spans="1:16" x14ac:dyDescent="0.25">
      <c r="A364" s="6" t="s">
        <v>3920</v>
      </c>
      <c r="B364" s="7">
        <f t="shared" si="16"/>
        <v>46114</v>
      </c>
      <c r="C364" s="7">
        <f t="shared" si="17"/>
        <v>46120</v>
      </c>
      <c r="D364" s="6">
        <v>3280</v>
      </c>
      <c r="E364" s="6">
        <v>337</v>
      </c>
      <c r="F364" s="6">
        <v>4</v>
      </c>
      <c r="G364" s="15">
        <v>1</v>
      </c>
      <c r="H364" s="15"/>
      <c r="I364" s="15" t="s">
        <v>1505</v>
      </c>
      <c r="J364" s="15">
        <v>23833149</v>
      </c>
      <c r="K364" s="15" t="s">
        <v>456</v>
      </c>
      <c r="L364" s="15" t="s">
        <v>457</v>
      </c>
      <c r="M364" s="16">
        <v>199900</v>
      </c>
      <c r="N364" s="9">
        <v>0.95</v>
      </c>
      <c r="O364" s="8">
        <f t="shared" si="15"/>
        <v>9995</v>
      </c>
      <c r="P364" s="6" t="s">
        <v>15</v>
      </c>
    </row>
    <row r="365" spans="1:16" x14ac:dyDescent="0.25">
      <c r="A365" s="6" t="s">
        <v>3920</v>
      </c>
      <c r="B365" s="7">
        <f t="shared" si="16"/>
        <v>46114</v>
      </c>
      <c r="C365" s="7">
        <f t="shared" si="17"/>
        <v>46120</v>
      </c>
      <c r="D365" s="6">
        <v>3280</v>
      </c>
      <c r="E365" s="6">
        <v>337</v>
      </c>
      <c r="F365" s="6">
        <v>4</v>
      </c>
      <c r="G365" s="15">
        <v>1</v>
      </c>
      <c r="H365" s="15"/>
      <c r="I365" s="15" t="s">
        <v>1505</v>
      </c>
      <c r="J365" s="15">
        <v>23833621</v>
      </c>
      <c r="K365" s="15" t="s">
        <v>458</v>
      </c>
      <c r="L365" s="15" t="s">
        <v>459</v>
      </c>
      <c r="M365" s="16">
        <v>199900</v>
      </c>
      <c r="N365" s="9">
        <v>0.95</v>
      </c>
      <c r="O365" s="8">
        <f t="shared" si="15"/>
        <v>9995</v>
      </c>
      <c r="P365" s="6" t="s">
        <v>15</v>
      </c>
    </row>
    <row r="366" spans="1:16" x14ac:dyDescent="0.25">
      <c r="A366" s="6" t="s">
        <v>3920</v>
      </c>
      <c r="B366" s="7">
        <f t="shared" si="16"/>
        <v>46114</v>
      </c>
      <c r="C366" s="7">
        <f t="shared" si="17"/>
        <v>46120</v>
      </c>
      <c r="D366" s="6">
        <v>3280</v>
      </c>
      <c r="E366" s="6">
        <v>337</v>
      </c>
      <c r="F366" s="6">
        <v>4</v>
      </c>
      <c r="G366" s="15">
        <v>1</v>
      </c>
      <c r="H366" s="15"/>
      <c r="I366" s="15" t="s">
        <v>1505</v>
      </c>
      <c r="J366" s="15">
        <v>23835316</v>
      </c>
      <c r="K366" s="15" t="s">
        <v>460</v>
      </c>
      <c r="L366" s="15" t="s">
        <v>461</v>
      </c>
      <c r="M366" s="16">
        <v>209900</v>
      </c>
      <c r="N366" s="9">
        <v>0.95</v>
      </c>
      <c r="O366" s="8">
        <f t="shared" si="15"/>
        <v>10495</v>
      </c>
      <c r="P366" s="6" t="s">
        <v>15</v>
      </c>
    </row>
    <row r="367" spans="1:16" x14ac:dyDescent="0.25">
      <c r="A367" s="6" t="s">
        <v>3920</v>
      </c>
      <c r="B367" s="7">
        <f t="shared" si="16"/>
        <v>46114</v>
      </c>
      <c r="C367" s="7">
        <f t="shared" si="17"/>
        <v>46120</v>
      </c>
      <c r="D367" s="6">
        <v>3280</v>
      </c>
      <c r="E367" s="6">
        <v>337</v>
      </c>
      <c r="F367" s="6">
        <v>4</v>
      </c>
      <c r="G367" s="15">
        <v>1</v>
      </c>
      <c r="H367" s="15"/>
      <c r="I367" s="15" t="s">
        <v>1505</v>
      </c>
      <c r="J367" s="15">
        <v>23835325</v>
      </c>
      <c r="K367" s="15" t="s">
        <v>460</v>
      </c>
      <c r="L367" s="15" t="s">
        <v>462</v>
      </c>
      <c r="M367" s="16">
        <v>209900</v>
      </c>
      <c r="N367" s="9">
        <v>0.95</v>
      </c>
      <c r="O367" s="8">
        <f t="shared" si="15"/>
        <v>10495</v>
      </c>
      <c r="P367" s="6" t="s">
        <v>15</v>
      </c>
    </row>
    <row r="368" spans="1:16" x14ac:dyDescent="0.25">
      <c r="A368" s="6" t="s">
        <v>3920</v>
      </c>
      <c r="B368" s="7">
        <f t="shared" si="16"/>
        <v>46114</v>
      </c>
      <c r="C368" s="7">
        <f t="shared" si="17"/>
        <v>46120</v>
      </c>
      <c r="D368" s="6">
        <v>3280</v>
      </c>
      <c r="E368" s="6">
        <v>337</v>
      </c>
      <c r="F368" s="6">
        <v>4</v>
      </c>
      <c r="G368" s="15">
        <v>1</v>
      </c>
      <c r="H368" s="15"/>
      <c r="I368" s="15" t="s">
        <v>1505</v>
      </c>
      <c r="J368" s="15">
        <v>23841229</v>
      </c>
      <c r="K368" s="15" t="s">
        <v>463</v>
      </c>
      <c r="L368" s="15" t="s">
        <v>464</v>
      </c>
      <c r="M368" s="16">
        <v>199900</v>
      </c>
      <c r="N368" s="9">
        <v>0.95</v>
      </c>
      <c r="O368" s="8">
        <f t="shared" si="15"/>
        <v>9995</v>
      </c>
      <c r="P368" s="6" t="s">
        <v>15</v>
      </c>
    </row>
    <row r="369" spans="1:16" x14ac:dyDescent="0.25">
      <c r="A369" s="6" t="s">
        <v>3920</v>
      </c>
      <c r="B369" s="7">
        <f t="shared" si="16"/>
        <v>46114</v>
      </c>
      <c r="C369" s="7">
        <f t="shared" si="17"/>
        <v>46120</v>
      </c>
      <c r="D369" s="6">
        <v>3280</v>
      </c>
      <c r="E369" s="6">
        <v>337</v>
      </c>
      <c r="F369" s="6">
        <v>4</v>
      </c>
      <c r="G369" s="15">
        <v>1</v>
      </c>
      <c r="H369" s="15"/>
      <c r="I369" s="15" t="s">
        <v>1505</v>
      </c>
      <c r="J369" s="15">
        <v>23637665</v>
      </c>
      <c r="K369" s="15" t="s">
        <v>393</v>
      </c>
      <c r="L369" s="15" t="s">
        <v>465</v>
      </c>
      <c r="M369" s="16">
        <v>199900</v>
      </c>
      <c r="N369" s="9">
        <v>0.95</v>
      </c>
      <c r="O369" s="8">
        <f t="shared" si="15"/>
        <v>9995</v>
      </c>
      <c r="P369" s="6" t="s">
        <v>15</v>
      </c>
    </row>
    <row r="370" spans="1:16" x14ac:dyDescent="0.25">
      <c r="A370" s="6" t="s">
        <v>3920</v>
      </c>
      <c r="B370" s="7">
        <f t="shared" si="16"/>
        <v>46114</v>
      </c>
      <c r="C370" s="7">
        <f t="shared" si="17"/>
        <v>46120</v>
      </c>
      <c r="D370" s="6">
        <v>3280</v>
      </c>
      <c r="E370" s="6">
        <v>337</v>
      </c>
      <c r="F370" s="6">
        <v>4</v>
      </c>
      <c r="G370" s="15">
        <v>1</v>
      </c>
      <c r="H370" s="15"/>
      <c r="I370" s="15" t="s">
        <v>1505</v>
      </c>
      <c r="J370" s="15">
        <v>23767097</v>
      </c>
      <c r="K370" s="15" t="s">
        <v>389</v>
      </c>
      <c r="L370" s="15" t="s">
        <v>466</v>
      </c>
      <c r="M370" s="16">
        <v>199900</v>
      </c>
      <c r="N370" s="9">
        <v>0.95</v>
      </c>
      <c r="O370" s="8">
        <f t="shared" si="15"/>
        <v>9995</v>
      </c>
      <c r="P370" s="6" t="s">
        <v>15</v>
      </c>
    </row>
    <row r="371" spans="1:16" x14ac:dyDescent="0.25">
      <c r="A371" s="6" t="s">
        <v>3920</v>
      </c>
      <c r="B371" s="7">
        <f t="shared" si="16"/>
        <v>46114</v>
      </c>
      <c r="C371" s="7">
        <f t="shared" si="17"/>
        <v>46120</v>
      </c>
      <c r="D371" s="6">
        <v>3280</v>
      </c>
      <c r="E371" s="6">
        <v>337</v>
      </c>
      <c r="F371" s="6">
        <v>4</v>
      </c>
      <c r="G371" s="15">
        <v>1</v>
      </c>
      <c r="H371" s="15"/>
      <c r="I371" s="15" t="s">
        <v>1505</v>
      </c>
      <c r="J371" s="15">
        <v>23652415</v>
      </c>
      <c r="K371" s="15" t="s">
        <v>407</v>
      </c>
      <c r="L371" s="15" t="s">
        <v>467</v>
      </c>
      <c r="M371" s="16">
        <v>199900</v>
      </c>
      <c r="N371" s="9">
        <v>0.95</v>
      </c>
      <c r="O371" s="8">
        <f t="shared" si="15"/>
        <v>9995</v>
      </c>
      <c r="P371" s="6" t="s">
        <v>15</v>
      </c>
    </row>
    <row r="372" spans="1:16" x14ac:dyDescent="0.25">
      <c r="A372" s="6" t="s">
        <v>3920</v>
      </c>
      <c r="B372" s="7">
        <f t="shared" si="16"/>
        <v>46114</v>
      </c>
      <c r="C372" s="7">
        <f t="shared" si="17"/>
        <v>46120</v>
      </c>
      <c r="D372" s="6">
        <v>3280</v>
      </c>
      <c r="E372" s="6">
        <v>337</v>
      </c>
      <c r="F372" s="6">
        <v>4</v>
      </c>
      <c r="G372" s="15">
        <v>1</v>
      </c>
      <c r="H372" s="15"/>
      <c r="I372" s="15" t="s">
        <v>1505</v>
      </c>
      <c r="J372" s="15">
        <v>23720690</v>
      </c>
      <c r="K372" s="15" t="s">
        <v>411</v>
      </c>
      <c r="L372" s="15" t="s">
        <v>468</v>
      </c>
      <c r="M372" s="16">
        <v>199900</v>
      </c>
      <c r="N372" s="9">
        <v>0.95</v>
      </c>
      <c r="O372" s="8">
        <f t="shared" si="15"/>
        <v>9995</v>
      </c>
      <c r="P372" s="6" t="s">
        <v>15</v>
      </c>
    </row>
    <row r="373" spans="1:16" x14ac:dyDescent="0.25">
      <c r="A373" s="6" t="s">
        <v>3920</v>
      </c>
      <c r="B373" s="7">
        <f t="shared" si="16"/>
        <v>46114</v>
      </c>
      <c r="C373" s="7">
        <f t="shared" si="17"/>
        <v>46120</v>
      </c>
      <c r="D373" s="6">
        <v>3280</v>
      </c>
      <c r="E373" s="6">
        <v>337</v>
      </c>
      <c r="F373" s="6">
        <v>4</v>
      </c>
      <c r="G373" s="15">
        <v>1</v>
      </c>
      <c r="H373" s="15"/>
      <c r="I373" s="15" t="s">
        <v>1505</v>
      </c>
      <c r="J373" s="15">
        <v>23718676</v>
      </c>
      <c r="K373" s="15" t="s">
        <v>387</v>
      </c>
      <c r="L373" s="15" t="s">
        <v>469</v>
      </c>
      <c r="M373" s="16">
        <v>189900</v>
      </c>
      <c r="N373" s="9">
        <v>0.95</v>
      </c>
      <c r="O373" s="8">
        <f t="shared" si="15"/>
        <v>9495</v>
      </c>
      <c r="P373" s="6" t="s">
        <v>15</v>
      </c>
    </row>
    <row r="374" spans="1:16" x14ac:dyDescent="0.25">
      <c r="A374" s="6" t="s">
        <v>3920</v>
      </c>
      <c r="B374" s="7">
        <f t="shared" si="16"/>
        <v>46114</v>
      </c>
      <c r="C374" s="7">
        <f t="shared" si="17"/>
        <v>46120</v>
      </c>
      <c r="D374" s="6">
        <v>3280</v>
      </c>
      <c r="E374" s="6">
        <v>337</v>
      </c>
      <c r="F374" s="6">
        <v>4</v>
      </c>
      <c r="G374" s="15">
        <v>1</v>
      </c>
      <c r="H374" s="15"/>
      <c r="I374" s="15" t="s">
        <v>1505</v>
      </c>
      <c r="J374" s="15">
        <v>23766990</v>
      </c>
      <c r="K374" s="15" t="s">
        <v>437</v>
      </c>
      <c r="L374" s="15" t="s">
        <v>470</v>
      </c>
      <c r="M374" s="16">
        <v>209900</v>
      </c>
      <c r="N374" s="9">
        <v>0.95</v>
      </c>
      <c r="O374" s="8">
        <f t="shared" si="15"/>
        <v>10495</v>
      </c>
      <c r="P374" s="6" t="s">
        <v>15</v>
      </c>
    </row>
    <row r="375" spans="1:16" x14ac:dyDescent="0.25">
      <c r="A375" s="6" t="s">
        <v>3920</v>
      </c>
      <c r="B375" s="7">
        <f t="shared" si="16"/>
        <v>46114</v>
      </c>
      <c r="C375" s="7">
        <f t="shared" si="17"/>
        <v>46120</v>
      </c>
      <c r="D375" s="6">
        <v>3280</v>
      </c>
      <c r="E375" s="6">
        <v>337</v>
      </c>
      <c r="F375" s="6">
        <v>4</v>
      </c>
      <c r="G375" s="15">
        <v>1</v>
      </c>
      <c r="H375" s="15"/>
      <c r="I375" s="15" t="s">
        <v>1505</v>
      </c>
      <c r="J375" s="15">
        <v>23652380</v>
      </c>
      <c r="K375" s="15" t="s">
        <v>407</v>
      </c>
      <c r="L375" s="15" t="s">
        <v>471</v>
      </c>
      <c r="M375" s="16">
        <v>189900</v>
      </c>
      <c r="N375" s="9">
        <v>0.95</v>
      </c>
      <c r="O375" s="8">
        <f t="shared" si="15"/>
        <v>9495</v>
      </c>
      <c r="P375" s="6" t="s">
        <v>15</v>
      </c>
    </row>
    <row r="376" spans="1:16" x14ac:dyDescent="0.25">
      <c r="A376" s="6" t="s">
        <v>3920</v>
      </c>
      <c r="B376" s="7">
        <f t="shared" si="16"/>
        <v>46114</v>
      </c>
      <c r="C376" s="7">
        <f t="shared" si="17"/>
        <v>46120</v>
      </c>
      <c r="D376" s="6">
        <v>3280</v>
      </c>
      <c r="E376" s="6">
        <v>337</v>
      </c>
      <c r="F376" s="6">
        <v>4</v>
      </c>
      <c r="G376" s="15">
        <v>1</v>
      </c>
      <c r="H376" s="15"/>
      <c r="I376" s="15" t="s">
        <v>1505</v>
      </c>
      <c r="J376" s="15">
        <v>23637736</v>
      </c>
      <c r="K376" s="15" t="s">
        <v>397</v>
      </c>
      <c r="L376" s="15" t="s">
        <v>472</v>
      </c>
      <c r="M376" s="16">
        <v>199900</v>
      </c>
      <c r="N376" s="9">
        <v>0.95</v>
      </c>
      <c r="O376" s="8">
        <f t="shared" si="15"/>
        <v>9995</v>
      </c>
      <c r="P376" s="6" t="s">
        <v>15</v>
      </c>
    </row>
    <row r="377" spans="1:16" x14ac:dyDescent="0.25">
      <c r="A377" s="6" t="s">
        <v>3920</v>
      </c>
      <c r="B377" s="7">
        <f t="shared" si="16"/>
        <v>46114</v>
      </c>
      <c r="C377" s="7">
        <f t="shared" si="17"/>
        <v>46120</v>
      </c>
      <c r="D377" s="6">
        <v>3280</v>
      </c>
      <c r="E377" s="6">
        <v>337</v>
      </c>
      <c r="F377" s="6">
        <v>4</v>
      </c>
      <c r="G377" s="15">
        <v>1</v>
      </c>
      <c r="H377" s="15"/>
      <c r="I377" s="15" t="s">
        <v>1505</v>
      </c>
      <c r="J377" s="15">
        <v>23767248</v>
      </c>
      <c r="K377" s="15" t="s">
        <v>385</v>
      </c>
      <c r="L377" s="15" t="s">
        <v>473</v>
      </c>
      <c r="M377" s="16">
        <v>209900</v>
      </c>
      <c r="N377" s="9">
        <v>0.95</v>
      </c>
      <c r="O377" s="8">
        <f t="shared" si="15"/>
        <v>10495</v>
      </c>
      <c r="P377" s="6" t="s">
        <v>15</v>
      </c>
    </row>
    <row r="378" spans="1:16" x14ac:dyDescent="0.25">
      <c r="A378" s="6" t="s">
        <v>3920</v>
      </c>
      <c r="B378" s="7">
        <f t="shared" si="16"/>
        <v>46114</v>
      </c>
      <c r="C378" s="7">
        <f t="shared" si="17"/>
        <v>46120</v>
      </c>
      <c r="D378" s="6">
        <v>3280</v>
      </c>
      <c r="E378" s="6">
        <v>337</v>
      </c>
      <c r="F378" s="6">
        <v>4</v>
      </c>
      <c r="G378" s="15">
        <v>1</v>
      </c>
      <c r="H378" s="15"/>
      <c r="I378" s="15" t="s">
        <v>1505</v>
      </c>
      <c r="J378" s="15">
        <v>23835361</v>
      </c>
      <c r="K378" s="15" t="s">
        <v>460</v>
      </c>
      <c r="L378" s="15" t="s">
        <v>474</v>
      </c>
      <c r="M378" s="16">
        <v>219900</v>
      </c>
      <c r="N378" s="9">
        <v>0.95</v>
      </c>
      <c r="O378" s="8">
        <f t="shared" si="15"/>
        <v>10995</v>
      </c>
      <c r="P378" s="6" t="s">
        <v>15</v>
      </c>
    </row>
    <row r="379" spans="1:16" x14ac:dyDescent="0.25">
      <c r="A379" s="6" t="s">
        <v>3920</v>
      </c>
      <c r="B379" s="7">
        <f t="shared" si="16"/>
        <v>46114</v>
      </c>
      <c r="C379" s="7">
        <f t="shared" si="17"/>
        <v>46120</v>
      </c>
      <c r="D379" s="6">
        <v>3280</v>
      </c>
      <c r="E379" s="6">
        <v>337</v>
      </c>
      <c r="F379" s="6">
        <v>4</v>
      </c>
      <c r="G379" s="15">
        <v>1</v>
      </c>
      <c r="H379" s="15"/>
      <c r="I379" s="15" t="s">
        <v>1505</v>
      </c>
      <c r="J379" s="15">
        <v>23767257</v>
      </c>
      <c r="K379" s="15" t="s">
        <v>385</v>
      </c>
      <c r="L379" s="15" t="s">
        <v>475</v>
      </c>
      <c r="M379" s="16">
        <v>209900</v>
      </c>
      <c r="N379" s="9">
        <v>0.95</v>
      </c>
      <c r="O379" s="8">
        <f t="shared" si="15"/>
        <v>10495</v>
      </c>
      <c r="P379" s="6" t="s">
        <v>15</v>
      </c>
    </row>
    <row r="380" spans="1:16" x14ac:dyDescent="0.25">
      <c r="A380" s="6" t="s">
        <v>3920</v>
      </c>
      <c r="B380" s="7">
        <f t="shared" si="16"/>
        <v>46114</v>
      </c>
      <c r="C380" s="7">
        <f t="shared" si="17"/>
        <v>46120</v>
      </c>
      <c r="D380" s="6">
        <v>3280</v>
      </c>
      <c r="E380" s="6">
        <v>337</v>
      </c>
      <c r="F380" s="6">
        <v>4</v>
      </c>
      <c r="G380" s="15">
        <v>1</v>
      </c>
      <c r="H380" s="15"/>
      <c r="I380" s="15" t="s">
        <v>1505</v>
      </c>
      <c r="J380" s="15">
        <v>23718578</v>
      </c>
      <c r="K380" s="15" t="s">
        <v>377</v>
      </c>
      <c r="L380" s="15" t="s">
        <v>476</v>
      </c>
      <c r="M380" s="16">
        <v>209900</v>
      </c>
      <c r="N380" s="9">
        <v>0.95</v>
      </c>
      <c r="O380" s="8">
        <f t="shared" si="15"/>
        <v>10495</v>
      </c>
      <c r="P380" s="6" t="s">
        <v>15</v>
      </c>
    </row>
    <row r="381" spans="1:16" x14ac:dyDescent="0.25">
      <c r="A381" s="6" t="s">
        <v>3920</v>
      </c>
      <c r="B381" s="7">
        <f t="shared" si="16"/>
        <v>46114</v>
      </c>
      <c r="C381" s="7">
        <f t="shared" si="17"/>
        <v>46120</v>
      </c>
      <c r="D381" s="6">
        <v>3280</v>
      </c>
      <c r="E381" s="6">
        <v>337</v>
      </c>
      <c r="F381" s="6">
        <v>4</v>
      </c>
      <c r="G381" s="15">
        <v>1</v>
      </c>
      <c r="H381" s="15"/>
      <c r="I381" s="15" t="s">
        <v>1505</v>
      </c>
      <c r="J381" s="15">
        <v>23652399</v>
      </c>
      <c r="K381" s="15" t="s">
        <v>407</v>
      </c>
      <c r="L381" s="15" t="s">
        <v>477</v>
      </c>
      <c r="M381" s="16">
        <v>189900</v>
      </c>
      <c r="N381" s="9">
        <v>0.95</v>
      </c>
      <c r="O381" s="8">
        <f t="shared" si="15"/>
        <v>9495</v>
      </c>
      <c r="P381" s="6" t="s">
        <v>15</v>
      </c>
    </row>
    <row r="382" spans="1:16" x14ac:dyDescent="0.25">
      <c r="A382" s="6" t="s">
        <v>3920</v>
      </c>
      <c r="B382" s="7">
        <f t="shared" si="16"/>
        <v>46114</v>
      </c>
      <c r="C382" s="7">
        <f t="shared" si="17"/>
        <v>46120</v>
      </c>
      <c r="D382" s="6">
        <v>3280</v>
      </c>
      <c r="E382" s="6">
        <v>337</v>
      </c>
      <c r="F382" s="6">
        <v>4</v>
      </c>
      <c r="G382" s="15">
        <v>1</v>
      </c>
      <c r="H382" s="15"/>
      <c r="I382" s="15" t="s">
        <v>1505</v>
      </c>
      <c r="J382" s="15">
        <v>23772661</v>
      </c>
      <c r="K382" s="15" t="s">
        <v>445</v>
      </c>
      <c r="L382" s="15" t="s">
        <v>478</v>
      </c>
      <c r="M382" s="16">
        <v>209900</v>
      </c>
      <c r="N382" s="9">
        <v>0.95</v>
      </c>
      <c r="O382" s="8">
        <f t="shared" si="15"/>
        <v>10495</v>
      </c>
      <c r="P382" s="6" t="s">
        <v>15</v>
      </c>
    </row>
    <row r="383" spans="1:16" x14ac:dyDescent="0.25">
      <c r="A383" s="6" t="s">
        <v>3920</v>
      </c>
      <c r="B383" s="7">
        <f t="shared" si="16"/>
        <v>46114</v>
      </c>
      <c r="C383" s="7">
        <f t="shared" si="17"/>
        <v>46120</v>
      </c>
      <c r="D383" s="6">
        <v>3280</v>
      </c>
      <c r="E383" s="6">
        <v>337</v>
      </c>
      <c r="F383" s="6">
        <v>4</v>
      </c>
      <c r="G383" s="15">
        <v>1</v>
      </c>
      <c r="H383" s="15"/>
      <c r="I383" s="15" t="s">
        <v>1505</v>
      </c>
      <c r="J383" s="15">
        <v>23637692</v>
      </c>
      <c r="K383" s="15" t="s">
        <v>397</v>
      </c>
      <c r="L383" s="15" t="s">
        <v>479</v>
      </c>
      <c r="M383" s="16">
        <v>189900</v>
      </c>
      <c r="N383" s="9">
        <v>0.95</v>
      </c>
      <c r="O383" s="8">
        <f t="shared" si="15"/>
        <v>9495</v>
      </c>
      <c r="P383" s="6" t="s">
        <v>15</v>
      </c>
    </row>
    <row r="384" spans="1:16" x14ac:dyDescent="0.25">
      <c r="A384" s="6" t="s">
        <v>3920</v>
      </c>
      <c r="B384" s="7">
        <f t="shared" si="16"/>
        <v>46114</v>
      </c>
      <c r="C384" s="7">
        <f t="shared" si="17"/>
        <v>46120</v>
      </c>
      <c r="D384" s="6">
        <v>3280</v>
      </c>
      <c r="E384" s="6">
        <v>337</v>
      </c>
      <c r="F384" s="6">
        <v>4</v>
      </c>
      <c r="G384" s="15">
        <v>1</v>
      </c>
      <c r="H384" s="15"/>
      <c r="I384" s="15" t="s">
        <v>1505</v>
      </c>
      <c r="J384" s="15">
        <v>23718658</v>
      </c>
      <c r="K384" s="15" t="s">
        <v>387</v>
      </c>
      <c r="L384" s="15" t="s">
        <v>480</v>
      </c>
      <c r="M384" s="16">
        <v>189900</v>
      </c>
      <c r="N384" s="9">
        <v>0.95</v>
      </c>
      <c r="O384" s="8">
        <f t="shared" si="15"/>
        <v>9495</v>
      </c>
      <c r="P384" s="6" t="s">
        <v>15</v>
      </c>
    </row>
    <row r="385" spans="1:16" x14ac:dyDescent="0.25">
      <c r="A385" s="6" t="s">
        <v>3920</v>
      </c>
      <c r="B385" s="7">
        <f t="shared" si="16"/>
        <v>46114</v>
      </c>
      <c r="C385" s="7">
        <f t="shared" si="17"/>
        <v>46120</v>
      </c>
      <c r="D385" s="6">
        <v>3280</v>
      </c>
      <c r="E385" s="6">
        <v>337</v>
      </c>
      <c r="F385" s="6">
        <v>4</v>
      </c>
      <c r="G385" s="15">
        <v>1</v>
      </c>
      <c r="H385" s="15"/>
      <c r="I385" s="15" t="s">
        <v>1505</v>
      </c>
      <c r="J385" s="15">
        <v>23637674</v>
      </c>
      <c r="K385" s="15" t="s">
        <v>393</v>
      </c>
      <c r="L385" s="15" t="s">
        <v>481</v>
      </c>
      <c r="M385" s="16">
        <v>199900</v>
      </c>
      <c r="N385" s="9">
        <v>0.95</v>
      </c>
      <c r="O385" s="8">
        <f t="shared" si="15"/>
        <v>9995</v>
      </c>
      <c r="P385" s="6" t="s">
        <v>15</v>
      </c>
    </row>
    <row r="386" spans="1:16" x14ac:dyDescent="0.25">
      <c r="A386" s="6" t="s">
        <v>3920</v>
      </c>
      <c r="B386" s="7">
        <f t="shared" si="16"/>
        <v>46114</v>
      </c>
      <c r="C386" s="7">
        <f t="shared" si="17"/>
        <v>46120</v>
      </c>
      <c r="D386" s="6">
        <v>3280</v>
      </c>
      <c r="E386" s="6">
        <v>337</v>
      </c>
      <c r="F386" s="6">
        <v>4</v>
      </c>
      <c r="G386" s="15">
        <v>1</v>
      </c>
      <c r="H386" s="15"/>
      <c r="I386" s="15" t="s">
        <v>1505</v>
      </c>
      <c r="J386" s="15">
        <v>23718603</v>
      </c>
      <c r="K386" s="15" t="s">
        <v>379</v>
      </c>
      <c r="L386" s="15" t="s">
        <v>482</v>
      </c>
      <c r="M386" s="16">
        <v>199900</v>
      </c>
      <c r="N386" s="9">
        <v>0.95</v>
      </c>
      <c r="O386" s="8">
        <f t="shared" ref="O386:O449" si="18">M386-((95*M386)/100)</f>
        <v>9995</v>
      </c>
      <c r="P386" s="6" t="s">
        <v>15</v>
      </c>
    </row>
    <row r="387" spans="1:16" x14ac:dyDescent="0.25">
      <c r="A387" s="6" t="s">
        <v>3920</v>
      </c>
      <c r="B387" s="7">
        <f t="shared" si="16"/>
        <v>46114</v>
      </c>
      <c r="C387" s="7">
        <f t="shared" si="17"/>
        <v>46120</v>
      </c>
      <c r="D387" s="6">
        <v>3280</v>
      </c>
      <c r="E387" s="6">
        <v>337</v>
      </c>
      <c r="F387" s="6">
        <v>4</v>
      </c>
      <c r="G387" s="15">
        <v>1</v>
      </c>
      <c r="H387" s="15"/>
      <c r="I387" s="15" t="s">
        <v>1505</v>
      </c>
      <c r="J387" s="15">
        <v>23652424</v>
      </c>
      <c r="K387" s="15" t="s">
        <v>407</v>
      </c>
      <c r="L387" s="15" t="s">
        <v>483</v>
      </c>
      <c r="M387" s="16">
        <v>199900</v>
      </c>
      <c r="N387" s="9">
        <v>0.95</v>
      </c>
      <c r="O387" s="8">
        <f t="shared" si="18"/>
        <v>9995</v>
      </c>
      <c r="P387" s="6" t="s">
        <v>15</v>
      </c>
    </row>
    <row r="388" spans="1:16" x14ac:dyDescent="0.25">
      <c r="A388" s="6" t="s">
        <v>3920</v>
      </c>
      <c r="B388" s="7">
        <f t="shared" ref="B388:B451" si="19">B387</f>
        <v>46114</v>
      </c>
      <c r="C388" s="7">
        <f t="shared" ref="C388:C451" si="20">C387</f>
        <v>46120</v>
      </c>
      <c r="D388" s="6">
        <v>3280</v>
      </c>
      <c r="E388" s="6">
        <v>337</v>
      </c>
      <c r="F388" s="6">
        <v>4</v>
      </c>
      <c r="G388" s="15">
        <v>1</v>
      </c>
      <c r="H388" s="15"/>
      <c r="I388" s="15" t="s">
        <v>1505</v>
      </c>
      <c r="J388" s="15">
        <v>23767079</v>
      </c>
      <c r="K388" s="15" t="s">
        <v>389</v>
      </c>
      <c r="L388" s="15" t="s">
        <v>484</v>
      </c>
      <c r="M388" s="16">
        <v>199900</v>
      </c>
      <c r="N388" s="9">
        <v>0.95</v>
      </c>
      <c r="O388" s="8">
        <f t="shared" si="18"/>
        <v>9995</v>
      </c>
      <c r="P388" s="6" t="s">
        <v>15</v>
      </c>
    </row>
    <row r="389" spans="1:16" x14ac:dyDescent="0.25">
      <c r="A389" s="6" t="s">
        <v>3920</v>
      </c>
      <c r="B389" s="7">
        <f t="shared" si="19"/>
        <v>46114</v>
      </c>
      <c r="C389" s="7">
        <f t="shared" si="20"/>
        <v>46120</v>
      </c>
      <c r="D389" s="6">
        <v>3280</v>
      </c>
      <c r="E389" s="6">
        <v>337</v>
      </c>
      <c r="F389" s="6">
        <v>4</v>
      </c>
      <c r="G389" s="15">
        <v>1</v>
      </c>
      <c r="H389" s="15"/>
      <c r="I389" s="15" t="s">
        <v>1505</v>
      </c>
      <c r="J389" s="15">
        <v>23637585</v>
      </c>
      <c r="K389" s="15" t="s">
        <v>391</v>
      </c>
      <c r="L389" s="15" t="s">
        <v>485</v>
      </c>
      <c r="M389" s="16">
        <v>189900</v>
      </c>
      <c r="N389" s="9">
        <v>0.95</v>
      </c>
      <c r="O389" s="8">
        <f t="shared" si="18"/>
        <v>9495</v>
      </c>
      <c r="P389" s="6" t="s">
        <v>15</v>
      </c>
    </row>
    <row r="390" spans="1:16" x14ac:dyDescent="0.25">
      <c r="A390" s="6" t="s">
        <v>3920</v>
      </c>
      <c r="B390" s="7">
        <f t="shared" si="19"/>
        <v>46114</v>
      </c>
      <c r="C390" s="7">
        <f t="shared" si="20"/>
        <v>46120</v>
      </c>
      <c r="D390" s="6">
        <v>3280</v>
      </c>
      <c r="E390" s="6">
        <v>337</v>
      </c>
      <c r="F390" s="6">
        <v>4</v>
      </c>
      <c r="G390" s="15">
        <v>1</v>
      </c>
      <c r="H390" s="15"/>
      <c r="I390" s="15" t="s">
        <v>1505</v>
      </c>
      <c r="J390" s="15">
        <v>23718685</v>
      </c>
      <c r="K390" s="15" t="s">
        <v>387</v>
      </c>
      <c r="L390" s="15" t="s">
        <v>486</v>
      </c>
      <c r="M390" s="16">
        <v>199900</v>
      </c>
      <c r="N390" s="9">
        <v>0.95</v>
      </c>
      <c r="O390" s="8">
        <f t="shared" si="18"/>
        <v>9995</v>
      </c>
      <c r="P390" s="6" t="s">
        <v>15</v>
      </c>
    </row>
    <row r="391" spans="1:16" x14ac:dyDescent="0.25">
      <c r="A391" s="6" t="s">
        <v>3920</v>
      </c>
      <c r="B391" s="7">
        <f t="shared" si="19"/>
        <v>46114</v>
      </c>
      <c r="C391" s="7">
        <f t="shared" si="20"/>
        <v>46120</v>
      </c>
      <c r="D391" s="6">
        <v>3280</v>
      </c>
      <c r="E391" s="6">
        <v>337</v>
      </c>
      <c r="F391" s="6">
        <v>4</v>
      </c>
      <c r="G391" s="15">
        <v>1</v>
      </c>
      <c r="H391" s="15"/>
      <c r="I391" s="15" t="s">
        <v>1505</v>
      </c>
      <c r="J391" s="15">
        <v>23833176</v>
      </c>
      <c r="K391" s="15" t="s">
        <v>456</v>
      </c>
      <c r="L391" s="15" t="s">
        <v>487</v>
      </c>
      <c r="M391" s="16">
        <v>209900</v>
      </c>
      <c r="N391" s="9">
        <v>0.95</v>
      </c>
      <c r="O391" s="8">
        <f t="shared" si="18"/>
        <v>10495</v>
      </c>
      <c r="P391" s="6" t="s">
        <v>15</v>
      </c>
    </row>
    <row r="392" spans="1:16" x14ac:dyDescent="0.25">
      <c r="A392" s="6" t="s">
        <v>3920</v>
      </c>
      <c r="B392" s="7">
        <f t="shared" si="19"/>
        <v>46114</v>
      </c>
      <c r="C392" s="7">
        <f t="shared" si="20"/>
        <v>46120</v>
      </c>
      <c r="D392" s="6">
        <v>3280</v>
      </c>
      <c r="E392" s="6">
        <v>337</v>
      </c>
      <c r="F392" s="6">
        <v>4</v>
      </c>
      <c r="G392" s="15">
        <v>1</v>
      </c>
      <c r="H392" s="15"/>
      <c r="I392" s="15" t="s">
        <v>1505</v>
      </c>
      <c r="J392" s="15">
        <v>23718569</v>
      </c>
      <c r="K392" s="15" t="s">
        <v>377</v>
      </c>
      <c r="L392" s="15" t="s">
        <v>488</v>
      </c>
      <c r="M392" s="16">
        <v>209900</v>
      </c>
      <c r="N392" s="9">
        <v>0.95</v>
      </c>
      <c r="O392" s="8">
        <f t="shared" si="18"/>
        <v>10495</v>
      </c>
      <c r="P392" s="6" t="s">
        <v>15</v>
      </c>
    </row>
    <row r="393" spans="1:16" x14ac:dyDescent="0.25">
      <c r="A393" s="6" t="s">
        <v>3920</v>
      </c>
      <c r="B393" s="7">
        <f t="shared" si="19"/>
        <v>46114</v>
      </c>
      <c r="C393" s="7">
        <f t="shared" si="20"/>
        <v>46120</v>
      </c>
      <c r="D393" s="6">
        <v>3280</v>
      </c>
      <c r="E393" s="6">
        <v>337</v>
      </c>
      <c r="F393" s="6">
        <v>4</v>
      </c>
      <c r="G393" s="15">
        <v>1</v>
      </c>
      <c r="H393" s="15"/>
      <c r="I393" s="15" t="s">
        <v>1505</v>
      </c>
      <c r="J393" s="15">
        <v>23718532</v>
      </c>
      <c r="K393" s="15" t="s">
        <v>377</v>
      </c>
      <c r="L393" s="15" t="s">
        <v>489</v>
      </c>
      <c r="M393" s="16">
        <v>199900</v>
      </c>
      <c r="N393" s="9">
        <v>0.95</v>
      </c>
      <c r="O393" s="8">
        <f t="shared" si="18"/>
        <v>9995</v>
      </c>
      <c r="P393" s="6" t="s">
        <v>15</v>
      </c>
    </row>
    <row r="394" spans="1:16" x14ac:dyDescent="0.25">
      <c r="A394" s="6" t="s">
        <v>3920</v>
      </c>
      <c r="B394" s="7">
        <f t="shared" si="19"/>
        <v>46114</v>
      </c>
      <c r="C394" s="7">
        <f t="shared" si="20"/>
        <v>46120</v>
      </c>
      <c r="D394" s="6">
        <v>3280</v>
      </c>
      <c r="E394" s="6">
        <v>337</v>
      </c>
      <c r="F394" s="6">
        <v>4</v>
      </c>
      <c r="G394" s="15">
        <v>1</v>
      </c>
      <c r="H394" s="15"/>
      <c r="I394" s="15" t="s">
        <v>1505</v>
      </c>
      <c r="J394" s="15">
        <v>23637683</v>
      </c>
      <c r="K394" s="15" t="s">
        <v>397</v>
      </c>
      <c r="L394" s="15" t="s">
        <v>490</v>
      </c>
      <c r="M394" s="16">
        <v>189900</v>
      </c>
      <c r="N394" s="9">
        <v>0.95</v>
      </c>
      <c r="O394" s="8">
        <f t="shared" si="18"/>
        <v>9495</v>
      </c>
      <c r="P394" s="6" t="s">
        <v>15</v>
      </c>
    </row>
    <row r="395" spans="1:16" x14ac:dyDescent="0.25">
      <c r="A395" s="6" t="s">
        <v>3920</v>
      </c>
      <c r="B395" s="7">
        <f t="shared" si="19"/>
        <v>46114</v>
      </c>
      <c r="C395" s="7">
        <f t="shared" si="20"/>
        <v>46120</v>
      </c>
      <c r="D395" s="6">
        <v>3280</v>
      </c>
      <c r="E395" s="6">
        <v>337</v>
      </c>
      <c r="F395" s="6">
        <v>4</v>
      </c>
      <c r="G395" s="15">
        <v>1</v>
      </c>
      <c r="H395" s="15"/>
      <c r="I395" s="15" t="s">
        <v>1505</v>
      </c>
      <c r="J395" s="15">
        <v>23718809</v>
      </c>
      <c r="K395" s="15" t="s">
        <v>381</v>
      </c>
      <c r="L395" s="15" t="s">
        <v>491</v>
      </c>
      <c r="M395" s="16">
        <v>189900</v>
      </c>
      <c r="N395" s="9">
        <v>0.95</v>
      </c>
      <c r="O395" s="8">
        <f t="shared" si="18"/>
        <v>9495</v>
      </c>
      <c r="P395" s="6" t="s">
        <v>15</v>
      </c>
    </row>
    <row r="396" spans="1:16" x14ac:dyDescent="0.25">
      <c r="A396" s="6" t="s">
        <v>3920</v>
      </c>
      <c r="B396" s="7">
        <f t="shared" si="19"/>
        <v>46114</v>
      </c>
      <c r="C396" s="7">
        <f t="shared" si="20"/>
        <v>46120</v>
      </c>
      <c r="D396" s="6">
        <v>3280</v>
      </c>
      <c r="E396" s="6">
        <v>337</v>
      </c>
      <c r="F396" s="6">
        <v>4</v>
      </c>
      <c r="G396" s="15">
        <v>1</v>
      </c>
      <c r="H396" s="15"/>
      <c r="I396" s="15" t="s">
        <v>1505</v>
      </c>
      <c r="J396" s="15">
        <v>23718818</v>
      </c>
      <c r="K396" s="15" t="s">
        <v>381</v>
      </c>
      <c r="L396" s="15" t="s">
        <v>492</v>
      </c>
      <c r="M396" s="16">
        <v>189900</v>
      </c>
      <c r="N396" s="9">
        <v>0.95</v>
      </c>
      <c r="O396" s="8">
        <f t="shared" si="18"/>
        <v>9495</v>
      </c>
      <c r="P396" s="6" t="s">
        <v>15</v>
      </c>
    </row>
    <row r="397" spans="1:16" x14ac:dyDescent="0.25">
      <c r="A397" s="6" t="s">
        <v>3920</v>
      </c>
      <c r="B397" s="7">
        <f t="shared" si="19"/>
        <v>46114</v>
      </c>
      <c r="C397" s="7">
        <f t="shared" si="20"/>
        <v>46120</v>
      </c>
      <c r="D397" s="6">
        <v>3280</v>
      </c>
      <c r="E397" s="6">
        <v>337</v>
      </c>
      <c r="F397" s="6">
        <v>4</v>
      </c>
      <c r="G397" s="15">
        <v>1</v>
      </c>
      <c r="H397" s="15"/>
      <c r="I397" s="15" t="s">
        <v>1505</v>
      </c>
      <c r="J397" s="15">
        <v>23767113</v>
      </c>
      <c r="K397" s="15" t="s">
        <v>389</v>
      </c>
      <c r="L397" s="15" t="s">
        <v>493</v>
      </c>
      <c r="M397" s="16">
        <v>209900</v>
      </c>
      <c r="N397" s="9">
        <v>0.95</v>
      </c>
      <c r="O397" s="8">
        <f t="shared" si="18"/>
        <v>10495</v>
      </c>
      <c r="P397" s="6" t="s">
        <v>15</v>
      </c>
    </row>
    <row r="398" spans="1:16" x14ac:dyDescent="0.25">
      <c r="A398" s="6" t="s">
        <v>3920</v>
      </c>
      <c r="B398" s="7">
        <f t="shared" si="19"/>
        <v>46114</v>
      </c>
      <c r="C398" s="7">
        <f t="shared" si="20"/>
        <v>46120</v>
      </c>
      <c r="D398" s="6">
        <v>3280</v>
      </c>
      <c r="E398" s="6">
        <v>337</v>
      </c>
      <c r="F398" s="6">
        <v>4</v>
      </c>
      <c r="G398" s="15">
        <v>1</v>
      </c>
      <c r="H398" s="15"/>
      <c r="I398" s="15" t="s">
        <v>1505</v>
      </c>
      <c r="J398" s="15">
        <v>23832908</v>
      </c>
      <c r="K398" s="15" t="s">
        <v>450</v>
      </c>
      <c r="L398" s="15" t="s">
        <v>494</v>
      </c>
      <c r="M398" s="16">
        <v>199900</v>
      </c>
      <c r="N398" s="9">
        <v>0.95</v>
      </c>
      <c r="O398" s="8">
        <f t="shared" si="18"/>
        <v>9995</v>
      </c>
      <c r="P398" s="6" t="s">
        <v>15</v>
      </c>
    </row>
    <row r="399" spans="1:16" x14ac:dyDescent="0.25">
      <c r="A399" s="6" t="s">
        <v>3920</v>
      </c>
      <c r="B399" s="7">
        <f t="shared" si="19"/>
        <v>46114</v>
      </c>
      <c r="C399" s="7">
        <f t="shared" si="20"/>
        <v>46120</v>
      </c>
      <c r="D399" s="6">
        <v>3280</v>
      </c>
      <c r="E399" s="6">
        <v>337</v>
      </c>
      <c r="F399" s="6">
        <v>4</v>
      </c>
      <c r="G399" s="15">
        <v>1</v>
      </c>
      <c r="H399" s="15"/>
      <c r="I399" s="15" t="s">
        <v>1505</v>
      </c>
      <c r="J399" s="15">
        <v>23638986</v>
      </c>
      <c r="K399" s="15" t="s">
        <v>401</v>
      </c>
      <c r="L399" s="15" t="s">
        <v>495</v>
      </c>
      <c r="M399" s="16">
        <v>209900</v>
      </c>
      <c r="N399" s="9">
        <v>0.95</v>
      </c>
      <c r="O399" s="8">
        <f t="shared" si="18"/>
        <v>10495</v>
      </c>
      <c r="P399" s="6" t="s">
        <v>15</v>
      </c>
    </row>
    <row r="400" spans="1:16" x14ac:dyDescent="0.25">
      <c r="A400" s="6" t="s">
        <v>3920</v>
      </c>
      <c r="B400" s="7">
        <f t="shared" si="19"/>
        <v>46114</v>
      </c>
      <c r="C400" s="7">
        <f t="shared" si="20"/>
        <v>46120</v>
      </c>
      <c r="D400" s="6">
        <v>3280</v>
      </c>
      <c r="E400" s="6">
        <v>337</v>
      </c>
      <c r="F400" s="6">
        <v>4</v>
      </c>
      <c r="G400" s="15">
        <v>1</v>
      </c>
      <c r="H400" s="15"/>
      <c r="I400" s="15" t="s">
        <v>1505</v>
      </c>
      <c r="J400" s="15">
        <v>23767088</v>
      </c>
      <c r="K400" s="15" t="s">
        <v>389</v>
      </c>
      <c r="L400" s="15" t="s">
        <v>496</v>
      </c>
      <c r="M400" s="16">
        <v>199900</v>
      </c>
      <c r="N400" s="9">
        <v>0.95</v>
      </c>
      <c r="O400" s="8">
        <f t="shared" si="18"/>
        <v>9995</v>
      </c>
      <c r="P400" s="6" t="s">
        <v>15</v>
      </c>
    </row>
    <row r="401" spans="1:16" x14ac:dyDescent="0.25">
      <c r="A401" s="6" t="s">
        <v>3920</v>
      </c>
      <c r="B401" s="7">
        <f t="shared" si="19"/>
        <v>46114</v>
      </c>
      <c r="C401" s="7">
        <f t="shared" si="20"/>
        <v>46120</v>
      </c>
      <c r="D401" s="6">
        <v>3280</v>
      </c>
      <c r="E401" s="6">
        <v>337</v>
      </c>
      <c r="F401" s="6">
        <v>4</v>
      </c>
      <c r="G401" s="15">
        <v>1</v>
      </c>
      <c r="H401" s="15"/>
      <c r="I401" s="15" t="s">
        <v>1505</v>
      </c>
      <c r="J401" s="15">
        <v>23637594</v>
      </c>
      <c r="K401" s="15" t="s">
        <v>391</v>
      </c>
      <c r="L401" s="15" t="s">
        <v>497</v>
      </c>
      <c r="M401" s="16">
        <v>199900</v>
      </c>
      <c r="N401" s="9">
        <v>0.95</v>
      </c>
      <c r="O401" s="8">
        <f t="shared" si="18"/>
        <v>9995</v>
      </c>
      <c r="P401" s="6" t="s">
        <v>15</v>
      </c>
    </row>
    <row r="402" spans="1:16" x14ac:dyDescent="0.25">
      <c r="A402" s="6" t="s">
        <v>3920</v>
      </c>
      <c r="B402" s="7">
        <f t="shared" si="19"/>
        <v>46114</v>
      </c>
      <c r="C402" s="7">
        <f t="shared" si="20"/>
        <v>46120</v>
      </c>
      <c r="D402" s="6">
        <v>3280</v>
      </c>
      <c r="E402" s="6">
        <v>337</v>
      </c>
      <c r="F402" s="6">
        <v>4</v>
      </c>
      <c r="G402" s="15">
        <v>1</v>
      </c>
      <c r="H402" s="15"/>
      <c r="I402" s="15" t="s">
        <v>1505</v>
      </c>
      <c r="J402" s="15">
        <v>23833612</v>
      </c>
      <c r="K402" s="15" t="s">
        <v>458</v>
      </c>
      <c r="L402" s="15" t="s">
        <v>498</v>
      </c>
      <c r="M402" s="16">
        <v>189900</v>
      </c>
      <c r="N402" s="9">
        <v>0.95</v>
      </c>
      <c r="O402" s="8">
        <f t="shared" si="18"/>
        <v>9495</v>
      </c>
      <c r="P402" s="6" t="s">
        <v>15</v>
      </c>
    </row>
    <row r="403" spans="1:16" x14ac:dyDescent="0.25">
      <c r="A403" s="6" t="s">
        <v>3920</v>
      </c>
      <c r="B403" s="7">
        <f t="shared" si="19"/>
        <v>46114</v>
      </c>
      <c r="C403" s="7">
        <f t="shared" si="20"/>
        <v>46120</v>
      </c>
      <c r="D403" s="6">
        <v>3280</v>
      </c>
      <c r="E403" s="6">
        <v>337</v>
      </c>
      <c r="F403" s="6">
        <v>4</v>
      </c>
      <c r="G403" s="15">
        <v>1</v>
      </c>
      <c r="H403" s="15"/>
      <c r="I403" s="15" t="s">
        <v>1505</v>
      </c>
      <c r="J403" s="15">
        <v>23638977</v>
      </c>
      <c r="K403" s="15" t="s">
        <v>401</v>
      </c>
      <c r="L403" s="15" t="s">
        <v>499</v>
      </c>
      <c r="M403" s="16">
        <v>199900</v>
      </c>
      <c r="N403" s="9">
        <v>0.95</v>
      </c>
      <c r="O403" s="8">
        <f t="shared" si="18"/>
        <v>9995</v>
      </c>
      <c r="P403" s="6" t="s">
        <v>15</v>
      </c>
    </row>
    <row r="404" spans="1:16" x14ac:dyDescent="0.25">
      <c r="A404" s="6" t="s">
        <v>3920</v>
      </c>
      <c r="B404" s="7">
        <f t="shared" si="19"/>
        <v>46114</v>
      </c>
      <c r="C404" s="7">
        <f t="shared" si="20"/>
        <v>46120</v>
      </c>
      <c r="D404" s="6">
        <v>3280</v>
      </c>
      <c r="E404" s="6">
        <v>337</v>
      </c>
      <c r="F404" s="6">
        <v>4</v>
      </c>
      <c r="G404" s="15">
        <v>1</v>
      </c>
      <c r="H404" s="15"/>
      <c r="I404" s="15" t="s">
        <v>1505</v>
      </c>
      <c r="J404" s="15">
        <v>23718612</v>
      </c>
      <c r="K404" s="15" t="s">
        <v>379</v>
      </c>
      <c r="L404" s="15" t="s">
        <v>500</v>
      </c>
      <c r="M404" s="16">
        <v>199900</v>
      </c>
      <c r="N404" s="9">
        <v>0.95</v>
      </c>
      <c r="O404" s="8">
        <f t="shared" si="18"/>
        <v>9995</v>
      </c>
      <c r="P404" s="6" t="s">
        <v>15</v>
      </c>
    </row>
    <row r="405" spans="1:16" x14ac:dyDescent="0.25">
      <c r="A405" s="6" t="s">
        <v>3920</v>
      </c>
      <c r="B405" s="7">
        <f t="shared" si="19"/>
        <v>46114</v>
      </c>
      <c r="C405" s="7">
        <f t="shared" si="20"/>
        <v>46120</v>
      </c>
      <c r="D405" s="6">
        <v>3280</v>
      </c>
      <c r="E405" s="6">
        <v>337</v>
      </c>
      <c r="F405" s="6">
        <v>4</v>
      </c>
      <c r="G405" s="15">
        <v>1</v>
      </c>
      <c r="H405" s="15"/>
      <c r="I405" s="15" t="s">
        <v>1505</v>
      </c>
      <c r="J405" s="15">
        <v>23718541</v>
      </c>
      <c r="K405" s="15" t="s">
        <v>377</v>
      </c>
      <c r="L405" s="15" t="s">
        <v>501</v>
      </c>
      <c r="M405" s="16">
        <v>199900</v>
      </c>
      <c r="N405" s="9">
        <v>0.95</v>
      </c>
      <c r="O405" s="8">
        <f t="shared" si="18"/>
        <v>9995</v>
      </c>
      <c r="P405" s="6" t="s">
        <v>15</v>
      </c>
    </row>
    <row r="406" spans="1:16" x14ac:dyDescent="0.25">
      <c r="A406" s="6" t="s">
        <v>3920</v>
      </c>
      <c r="B406" s="7">
        <f t="shared" si="19"/>
        <v>46114</v>
      </c>
      <c r="C406" s="7">
        <f t="shared" si="20"/>
        <v>46120</v>
      </c>
      <c r="D406" s="6">
        <v>3280</v>
      </c>
      <c r="E406" s="6">
        <v>337</v>
      </c>
      <c r="F406" s="6">
        <v>4</v>
      </c>
      <c r="G406" s="15">
        <v>1</v>
      </c>
      <c r="H406" s="15"/>
      <c r="I406" s="15" t="s">
        <v>1505</v>
      </c>
      <c r="J406" s="15">
        <v>23767024</v>
      </c>
      <c r="K406" s="15" t="s">
        <v>383</v>
      </c>
      <c r="L406" s="15" t="s">
        <v>502</v>
      </c>
      <c r="M406" s="16">
        <v>189900</v>
      </c>
      <c r="N406" s="9">
        <v>0.95</v>
      </c>
      <c r="O406" s="8">
        <f t="shared" si="18"/>
        <v>9495</v>
      </c>
      <c r="P406" s="6" t="s">
        <v>15</v>
      </c>
    </row>
    <row r="407" spans="1:16" x14ac:dyDescent="0.25">
      <c r="A407" s="6" t="s">
        <v>3920</v>
      </c>
      <c r="B407" s="7">
        <f t="shared" si="19"/>
        <v>46114</v>
      </c>
      <c r="C407" s="7">
        <f t="shared" si="20"/>
        <v>46120</v>
      </c>
      <c r="D407" s="6">
        <v>3280</v>
      </c>
      <c r="E407" s="6">
        <v>337</v>
      </c>
      <c r="F407" s="6">
        <v>4</v>
      </c>
      <c r="G407" s="15">
        <v>1</v>
      </c>
      <c r="H407" s="15"/>
      <c r="I407" s="15" t="s">
        <v>1505</v>
      </c>
      <c r="J407" s="15">
        <v>23718667</v>
      </c>
      <c r="K407" s="15" t="s">
        <v>387</v>
      </c>
      <c r="L407" s="15" t="s">
        <v>503</v>
      </c>
      <c r="M407" s="16">
        <v>189900</v>
      </c>
      <c r="N407" s="9">
        <v>0.95</v>
      </c>
      <c r="O407" s="8">
        <f t="shared" si="18"/>
        <v>9495</v>
      </c>
      <c r="P407" s="6" t="s">
        <v>15</v>
      </c>
    </row>
    <row r="408" spans="1:16" x14ac:dyDescent="0.25">
      <c r="A408" s="6" t="s">
        <v>3920</v>
      </c>
      <c r="B408" s="7">
        <f t="shared" si="19"/>
        <v>46114</v>
      </c>
      <c r="C408" s="7">
        <f t="shared" si="20"/>
        <v>46120</v>
      </c>
      <c r="D408" s="6">
        <v>3280</v>
      </c>
      <c r="E408" s="6">
        <v>337</v>
      </c>
      <c r="F408" s="6">
        <v>4</v>
      </c>
      <c r="G408" s="15">
        <v>1</v>
      </c>
      <c r="H408" s="15"/>
      <c r="I408" s="15" t="s">
        <v>1505</v>
      </c>
      <c r="J408" s="15">
        <v>23651729</v>
      </c>
      <c r="K408" s="15" t="s">
        <v>404</v>
      </c>
      <c r="L408" s="15" t="s">
        <v>504</v>
      </c>
      <c r="M408" s="16">
        <v>189900</v>
      </c>
      <c r="N408" s="9">
        <v>0.95</v>
      </c>
      <c r="O408" s="8">
        <f t="shared" si="18"/>
        <v>9495</v>
      </c>
      <c r="P408" s="6" t="s">
        <v>15</v>
      </c>
    </row>
    <row r="409" spans="1:16" x14ac:dyDescent="0.25">
      <c r="A409" s="6" t="s">
        <v>3920</v>
      </c>
      <c r="B409" s="7">
        <f t="shared" si="19"/>
        <v>46114</v>
      </c>
      <c r="C409" s="7">
        <f t="shared" si="20"/>
        <v>46120</v>
      </c>
      <c r="D409" s="6">
        <v>3280</v>
      </c>
      <c r="E409" s="6">
        <v>337</v>
      </c>
      <c r="F409" s="6">
        <v>4</v>
      </c>
      <c r="G409" s="15">
        <v>1</v>
      </c>
      <c r="H409" s="15"/>
      <c r="I409" s="15" t="s">
        <v>1505</v>
      </c>
      <c r="J409" s="15">
        <v>23841238</v>
      </c>
      <c r="K409" s="15" t="s">
        <v>463</v>
      </c>
      <c r="L409" s="15" t="s">
        <v>505</v>
      </c>
      <c r="M409" s="16">
        <v>199900</v>
      </c>
      <c r="N409" s="9">
        <v>0.95</v>
      </c>
      <c r="O409" s="8">
        <f t="shared" si="18"/>
        <v>9995</v>
      </c>
      <c r="P409" s="6" t="s">
        <v>15</v>
      </c>
    </row>
    <row r="410" spans="1:16" x14ac:dyDescent="0.25">
      <c r="A410" s="6" t="s">
        <v>3920</v>
      </c>
      <c r="B410" s="7">
        <f t="shared" si="19"/>
        <v>46114</v>
      </c>
      <c r="C410" s="7">
        <f t="shared" si="20"/>
        <v>46120</v>
      </c>
      <c r="D410" s="6">
        <v>3280</v>
      </c>
      <c r="E410" s="6">
        <v>337</v>
      </c>
      <c r="F410" s="6">
        <v>4</v>
      </c>
      <c r="G410" s="15">
        <v>1</v>
      </c>
      <c r="H410" s="15"/>
      <c r="I410" s="15" t="s">
        <v>1505</v>
      </c>
      <c r="J410" s="15">
        <v>23841274</v>
      </c>
      <c r="K410" s="15" t="s">
        <v>463</v>
      </c>
      <c r="L410" s="15" t="s">
        <v>506</v>
      </c>
      <c r="M410" s="16">
        <v>209900</v>
      </c>
      <c r="N410" s="9">
        <v>0.95</v>
      </c>
      <c r="O410" s="8">
        <f t="shared" si="18"/>
        <v>10495</v>
      </c>
      <c r="P410" s="6" t="s">
        <v>15</v>
      </c>
    </row>
    <row r="411" spans="1:16" x14ac:dyDescent="0.25">
      <c r="A411" s="6" t="s">
        <v>3920</v>
      </c>
      <c r="B411" s="7">
        <f t="shared" si="19"/>
        <v>46114</v>
      </c>
      <c r="C411" s="7">
        <f t="shared" si="20"/>
        <v>46120</v>
      </c>
      <c r="D411" s="6">
        <v>3280</v>
      </c>
      <c r="E411" s="6">
        <v>337</v>
      </c>
      <c r="F411" s="6">
        <v>4</v>
      </c>
      <c r="G411" s="15">
        <v>1</v>
      </c>
      <c r="H411" s="15"/>
      <c r="I411" s="15" t="s">
        <v>1505</v>
      </c>
      <c r="J411" s="15">
        <v>23637601</v>
      </c>
      <c r="K411" s="15" t="s">
        <v>391</v>
      </c>
      <c r="L411" s="15" t="s">
        <v>507</v>
      </c>
      <c r="M411" s="16">
        <v>199900</v>
      </c>
      <c r="N411" s="9">
        <v>0.95</v>
      </c>
      <c r="O411" s="8">
        <f t="shared" si="18"/>
        <v>9995</v>
      </c>
      <c r="P411" s="6" t="s">
        <v>15</v>
      </c>
    </row>
    <row r="412" spans="1:16" x14ac:dyDescent="0.25">
      <c r="A412" s="6" t="s">
        <v>3920</v>
      </c>
      <c r="B412" s="7">
        <f t="shared" si="19"/>
        <v>46114</v>
      </c>
      <c r="C412" s="7">
        <f t="shared" si="20"/>
        <v>46120</v>
      </c>
      <c r="D412" s="6">
        <v>3280</v>
      </c>
      <c r="E412" s="6">
        <v>337</v>
      </c>
      <c r="F412" s="6">
        <v>4</v>
      </c>
      <c r="G412" s="15">
        <v>1</v>
      </c>
      <c r="H412" s="15"/>
      <c r="I412" s="15" t="s">
        <v>1505</v>
      </c>
      <c r="J412" s="15">
        <v>23720681</v>
      </c>
      <c r="K412" s="15" t="s">
        <v>411</v>
      </c>
      <c r="L412" s="15" t="s">
        <v>508</v>
      </c>
      <c r="M412" s="16">
        <v>199900</v>
      </c>
      <c r="N412" s="9">
        <v>0.95</v>
      </c>
      <c r="O412" s="8">
        <f t="shared" si="18"/>
        <v>9995</v>
      </c>
      <c r="P412" s="6" t="s">
        <v>15</v>
      </c>
    </row>
    <row r="413" spans="1:16" x14ac:dyDescent="0.25">
      <c r="A413" s="6" t="s">
        <v>3920</v>
      </c>
      <c r="B413" s="7">
        <f t="shared" si="19"/>
        <v>46114</v>
      </c>
      <c r="C413" s="7">
        <f t="shared" si="20"/>
        <v>46120</v>
      </c>
      <c r="D413" s="6">
        <v>3280</v>
      </c>
      <c r="E413" s="6">
        <v>337</v>
      </c>
      <c r="F413" s="6">
        <v>4</v>
      </c>
      <c r="G413" s="15">
        <v>1</v>
      </c>
      <c r="H413" s="15"/>
      <c r="I413" s="15" t="s">
        <v>1505</v>
      </c>
      <c r="J413" s="15">
        <v>23833167</v>
      </c>
      <c r="K413" s="15" t="s">
        <v>456</v>
      </c>
      <c r="L413" s="15" t="s">
        <v>509</v>
      </c>
      <c r="M413" s="16">
        <v>209900</v>
      </c>
      <c r="N413" s="9">
        <v>0.95</v>
      </c>
      <c r="O413" s="8">
        <f t="shared" si="18"/>
        <v>10495</v>
      </c>
      <c r="P413" s="6" t="s">
        <v>15</v>
      </c>
    </row>
    <row r="414" spans="1:16" x14ac:dyDescent="0.25">
      <c r="A414" s="6" t="s">
        <v>3920</v>
      </c>
      <c r="B414" s="7">
        <f t="shared" si="19"/>
        <v>46114</v>
      </c>
      <c r="C414" s="7">
        <f t="shared" si="20"/>
        <v>46120</v>
      </c>
      <c r="D414" s="6">
        <v>3280</v>
      </c>
      <c r="E414" s="6">
        <v>337</v>
      </c>
      <c r="F414" s="6">
        <v>4</v>
      </c>
      <c r="G414" s="15">
        <v>1</v>
      </c>
      <c r="H414" s="15"/>
      <c r="I414" s="15" t="s">
        <v>1505</v>
      </c>
      <c r="J414" s="15">
        <v>23718621</v>
      </c>
      <c r="K414" s="15" t="s">
        <v>379</v>
      </c>
      <c r="L414" s="15" t="s">
        <v>510</v>
      </c>
      <c r="M414" s="16">
        <v>209900</v>
      </c>
      <c r="N414" s="9">
        <v>0.95</v>
      </c>
      <c r="O414" s="8">
        <f t="shared" si="18"/>
        <v>10495</v>
      </c>
      <c r="P414" s="6" t="s">
        <v>15</v>
      </c>
    </row>
    <row r="415" spans="1:16" x14ac:dyDescent="0.25">
      <c r="A415" s="6" t="s">
        <v>3920</v>
      </c>
      <c r="B415" s="7">
        <f t="shared" si="19"/>
        <v>46114</v>
      </c>
      <c r="C415" s="7">
        <f t="shared" si="20"/>
        <v>46120</v>
      </c>
      <c r="D415" s="6">
        <v>3280</v>
      </c>
      <c r="E415" s="6">
        <v>337</v>
      </c>
      <c r="F415" s="6">
        <v>4</v>
      </c>
      <c r="G415" s="15">
        <v>1</v>
      </c>
      <c r="H415" s="15"/>
      <c r="I415" s="15" t="s">
        <v>1505</v>
      </c>
      <c r="J415" s="15">
        <v>23652433</v>
      </c>
      <c r="K415" s="15" t="s">
        <v>407</v>
      </c>
      <c r="L415" s="15" t="s">
        <v>511</v>
      </c>
      <c r="M415" s="16">
        <v>199900</v>
      </c>
      <c r="N415" s="9">
        <v>0.95</v>
      </c>
      <c r="O415" s="8">
        <f t="shared" si="18"/>
        <v>9995</v>
      </c>
      <c r="P415" s="6" t="s">
        <v>15</v>
      </c>
    </row>
    <row r="416" spans="1:16" x14ac:dyDescent="0.25">
      <c r="A416" s="6" t="s">
        <v>3920</v>
      </c>
      <c r="B416" s="7">
        <f t="shared" si="19"/>
        <v>46114</v>
      </c>
      <c r="C416" s="7">
        <f t="shared" si="20"/>
        <v>46120</v>
      </c>
      <c r="D416" s="6">
        <v>3280</v>
      </c>
      <c r="E416" s="6">
        <v>337</v>
      </c>
      <c r="F416" s="6">
        <v>4</v>
      </c>
      <c r="G416" s="15">
        <v>1</v>
      </c>
      <c r="H416" s="15"/>
      <c r="I416" s="15" t="s">
        <v>1505</v>
      </c>
      <c r="J416" s="15">
        <v>23637656</v>
      </c>
      <c r="K416" s="15" t="s">
        <v>393</v>
      </c>
      <c r="L416" s="15" t="s">
        <v>512</v>
      </c>
      <c r="M416" s="16">
        <v>199900</v>
      </c>
      <c r="N416" s="9">
        <v>0.95</v>
      </c>
      <c r="O416" s="8">
        <f t="shared" si="18"/>
        <v>9995</v>
      </c>
      <c r="P416" s="6" t="s">
        <v>15</v>
      </c>
    </row>
    <row r="417" spans="1:16" x14ac:dyDescent="0.25">
      <c r="A417" s="6" t="s">
        <v>3920</v>
      </c>
      <c r="B417" s="7">
        <f t="shared" si="19"/>
        <v>46114</v>
      </c>
      <c r="C417" s="7">
        <f t="shared" si="20"/>
        <v>46120</v>
      </c>
      <c r="D417" s="6">
        <v>3280</v>
      </c>
      <c r="E417" s="6">
        <v>337</v>
      </c>
      <c r="F417" s="6">
        <v>4</v>
      </c>
      <c r="G417" s="15">
        <v>1</v>
      </c>
      <c r="H417" s="15"/>
      <c r="I417" s="15" t="s">
        <v>1505</v>
      </c>
      <c r="J417" s="15">
        <v>23833185</v>
      </c>
      <c r="K417" s="15" t="s">
        <v>456</v>
      </c>
      <c r="L417" s="15" t="s">
        <v>513</v>
      </c>
      <c r="M417" s="16">
        <v>209900</v>
      </c>
      <c r="N417" s="9">
        <v>0.95</v>
      </c>
      <c r="O417" s="8">
        <f t="shared" si="18"/>
        <v>10495</v>
      </c>
      <c r="P417" s="6" t="s">
        <v>15</v>
      </c>
    </row>
    <row r="418" spans="1:16" x14ac:dyDescent="0.25">
      <c r="A418" s="6" t="s">
        <v>3920</v>
      </c>
      <c r="B418" s="7">
        <f t="shared" si="19"/>
        <v>46114</v>
      </c>
      <c r="C418" s="7">
        <f t="shared" si="20"/>
        <v>46120</v>
      </c>
      <c r="D418" s="6">
        <v>3280</v>
      </c>
      <c r="E418" s="6">
        <v>337</v>
      </c>
      <c r="F418" s="6">
        <v>4</v>
      </c>
      <c r="G418" s="15">
        <v>1</v>
      </c>
      <c r="H418" s="15"/>
      <c r="I418" s="15" t="s">
        <v>1505</v>
      </c>
      <c r="J418" s="15">
        <v>23638968</v>
      </c>
      <c r="K418" s="15" t="s">
        <v>401</v>
      </c>
      <c r="L418" s="15" t="s">
        <v>514</v>
      </c>
      <c r="M418" s="16">
        <v>199900</v>
      </c>
      <c r="N418" s="9">
        <v>0.95</v>
      </c>
      <c r="O418" s="8">
        <f t="shared" si="18"/>
        <v>9995</v>
      </c>
      <c r="P418" s="6" t="s">
        <v>15</v>
      </c>
    </row>
    <row r="419" spans="1:16" x14ac:dyDescent="0.25">
      <c r="A419" s="6" t="s">
        <v>3920</v>
      </c>
      <c r="B419" s="7">
        <f t="shared" si="19"/>
        <v>46114</v>
      </c>
      <c r="C419" s="7">
        <f t="shared" si="20"/>
        <v>46120</v>
      </c>
      <c r="D419" s="6">
        <v>3280</v>
      </c>
      <c r="E419" s="6">
        <v>337</v>
      </c>
      <c r="F419" s="6">
        <v>4</v>
      </c>
      <c r="G419" s="15">
        <v>1</v>
      </c>
      <c r="H419" s="15"/>
      <c r="I419" s="15" t="s">
        <v>1505</v>
      </c>
      <c r="J419" s="15">
        <v>23841256</v>
      </c>
      <c r="K419" s="15" t="s">
        <v>463</v>
      </c>
      <c r="L419" s="15" t="s">
        <v>515</v>
      </c>
      <c r="M419" s="16">
        <v>209900</v>
      </c>
      <c r="N419" s="9">
        <v>0.95</v>
      </c>
      <c r="O419" s="8">
        <f t="shared" si="18"/>
        <v>10495</v>
      </c>
      <c r="P419" s="6" t="s">
        <v>15</v>
      </c>
    </row>
    <row r="420" spans="1:16" x14ac:dyDescent="0.25">
      <c r="A420" s="6" t="s">
        <v>3920</v>
      </c>
      <c r="B420" s="7">
        <f t="shared" si="19"/>
        <v>46114</v>
      </c>
      <c r="C420" s="7">
        <f t="shared" si="20"/>
        <v>46120</v>
      </c>
      <c r="D420" s="6">
        <v>3280</v>
      </c>
      <c r="E420" s="6">
        <v>337</v>
      </c>
      <c r="F420" s="6">
        <v>4</v>
      </c>
      <c r="G420" s="15">
        <v>1</v>
      </c>
      <c r="H420" s="15"/>
      <c r="I420" s="15" t="s">
        <v>1505</v>
      </c>
      <c r="J420" s="15">
        <v>23718827</v>
      </c>
      <c r="K420" s="15" t="s">
        <v>381</v>
      </c>
      <c r="L420" s="15" t="s">
        <v>516</v>
      </c>
      <c r="M420" s="16">
        <v>189900</v>
      </c>
      <c r="N420" s="9">
        <v>0.95</v>
      </c>
      <c r="O420" s="8">
        <f t="shared" si="18"/>
        <v>9495</v>
      </c>
      <c r="P420" s="6" t="s">
        <v>15</v>
      </c>
    </row>
    <row r="421" spans="1:16" x14ac:dyDescent="0.25">
      <c r="A421" s="6" t="s">
        <v>3920</v>
      </c>
      <c r="B421" s="7">
        <f t="shared" si="19"/>
        <v>46114</v>
      </c>
      <c r="C421" s="7">
        <f t="shared" si="20"/>
        <v>46120</v>
      </c>
      <c r="D421" s="6">
        <v>3280</v>
      </c>
      <c r="E421" s="6">
        <v>337</v>
      </c>
      <c r="F421" s="6">
        <v>4</v>
      </c>
      <c r="G421" s="15">
        <v>1</v>
      </c>
      <c r="H421" s="15"/>
      <c r="I421" s="15" t="s">
        <v>1505</v>
      </c>
      <c r="J421" s="15">
        <v>23841247</v>
      </c>
      <c r="K421" s="15" t="s">
        <v>463</v>
      </c>
      <c r="L421" s="15" t="s">
        <v>517</v>
      </c>
      <c r="M421" s="16">
        <v>199900</v>
      </c>
      <c r="N421" s="9">
        <v>0.95</v>
      </c>
      <c r="O421" s="8">
        <f t="shared" si="18"/>
        <v>9995</v>
      </c>
      <c r="P421" s="6" t="s">
        <v>15</v>
      </c>
    </row>
    <row r="422" spans="1:16" x14ac:dyDescent="0.25">
      <c r="A422" s="6" t="s">
        <v>3920</v>
      </c>
      <c r="B422" s="7">
        <f t="shared" si="19"/>
        <v>46114</v>
      </c>
      <c r="C422" s="7">
        <f t="shared" si="20"/>
        <v>46120</v>
      </c>
      <c r="D422" s="6">
        <v>3280</v>
      </c>
      <c r="E422" s="6">
        <v>337</v>
      </c>
      <c r="F422" s="6">
        <v>4</v>
      </c>
      <c r="G422" s="15">
        <v>1</v>
      </c>
      <c r="H422" s="15"/>
      <c r="I422" s="15" t="s">
        <v>1505</v>
      </c>
      <c r="J422" s="15">
        <v>23835343</v>
      </c>
      <c r="K422" s="15" t="s">
        <v>460</v>
      </c>
      <c r="L422" s="15" t="s">
        <v>518</v>
      </c>
      <c r="M422" s="16">
        <v>219900</v>
      </c>
      <c r="N422" s="9">
        <v>0.95</v>
      </c>
      <c r="O422" s="8">
        <f t="shared" si="18"/>
        <v>10995</v>
      </c>
      <c r="P422" s="6" t="s">
        <v>15</v>
      </c>
    </row>
    <row r="423" spans="1:16" x14ac:dyDescent="0.25">
      <c r="A423" s="6" t="s">
        <v>3920</v>
      </c>
      <c r="B423" s="7">
        <f t="shared" si="19"/>
        <v>46114</v>
      </c>
      <c r="C423" s="7">
        <f t="shared" si="20"/>
        <v>46120</v>
      </c>
      <c r="D423" s="6">
        <v>3280</v>
      </c>
      <c r="E423" s="6">
        <v>337</v>
      </c>
      <c r="F423" s="6">
        <v>4</v>
      </c>
      <c r="G423" s="15">
        <v>1</v>
      </c>
      <c r="H423" s="15"/>
      <c r="I423" s="15" t="s">
        <v>1505</v>
      </c>
      <c r="J423" s="15">
        <v>23767104</v>
      </c>
      <c r="K423" s="15" t="s">
        <v>389</v>
      </c>
      <c r="L423" s="15" t="s">
        <v>519</v>
      </c>
      <c r="M423" s="16">
        <v>209900</v>
      </c>
      <c r="N423" s="9">
        <v>0.95</v>
      </c>
      <c r="O423" s="8">
        <f t="shared" si="18"/>
        <v>10495</v>
      </c>
      <c r="P423" s="6" t="s">
        <v>15</v>
      </c>
    </row>
    <row r="424" spans="1:16" x14ac:dyDescent="0.25">
      <c r="A424" s="6" t="s">
        <v>3920</v>
      </c>
      <c r="B424" s="7">
        <f t="shared" si="19"/>
        <v>46114</v>
      </c>
      <c r="C424" s="7">
        <f t="shared" si="20"/>
        <v>46120</v>
      </c>
      <c r="D424" s="6">
        <v>3280</v>
      </c>
      <c r="E424" s="6">
        <v>337</v>
      </c>
      <c r="F424" s="6">
        <v>4</v>
      </c>
      <c r="G424" s="15">
        <v>1</v>
      </c>
      <c r="H424" s="15"/>
      <c r="I424" s="15" t="s">
        <v>1505</v>
      </c>
      <c r="J424" s="15">
        <v>23718701</v>
      </c>
      <c r="K424" s="15" t="s">
        <v>387</v>
      </c>
      <c r="L424" s="15" t="s">
        <v>520</v>
      </c>
      <c r="M424" s="16">
        <v>199900</v>
      </c>
      <c r="N424" s="9">
        <v>0.95</v>
      </c>
      <c r="O424" s="8">
        <f t="shared" si="18"/>
        <v>9995</v>
      </c>
      <c r="P424" s="6" t="s">
        <v>15</v>
      </c>
    </row>
    <row r="425" spans="1:16" x14ac:dyDescent="0.25">
      <c r="A425" s="6" t="s">
        <v>3920</v>
      </c>
      <c r="B425" s="7">
        <f t="shared" si="19"/>
        <v>46114</v>
      </c>
      <c r="C425" s="7">
        <f t="shared" si="20"/>
        <v>46120</v>
      </c>
      <c r="D425" s="6">
        <v>3280</v>
      </c>
      <c r="E425" s="6">
        <v>337</v>
      </c>
      <c r="F425" s="6">
        <v>4</v>
      </c>
      <c r="G425" s="15">
        <v>1</v>
      </c>
      <c r="H425" s="15"/>
      <c r="I425" s="15" t="s">
        <v>1505</v>
      </c>
      <c r="J425" s="15">
        <v>23766981</v>
      </c>
      <c r="K425" s="15" t="s">
        <v>437</v>
      </c>
      <c r="L425" s="15" t="s">
        <v>521</v>
      </c>
      <c r="M425" s="16">
        <v>209900</v>
      </c>
      <c r="N425" s="9">
        <v>0.95</v>
      </c>
      <c r="O425" s="8">
        <f t="shared" si="18"/>
        <v>10495</v>
      </c>
      <c r="P425" s="6" t="s">
        <v>15</v>
      </c>
    </row>
    <row r="426" spans="1:16" x14ac:dyDescent="0.25">
      <c r="A426" s="6" t="s">
        <v>3920</v>
      </c>
      <c r="B426" s="7">
        <f t="shared" si="19"/>
        <v>46114</v>
      </c>
      <c r="C426" s="7">
        <f t="shared" si="20"/>
        <v>46120</v>
      </c>
      <c r="D426" s="6">
        <v>3280</v>
      </c>
      <c r="E426" s="6">
        <v>337</v>
      </c>
      <c r="F426" s="6">
        <v>4</v>
      </c>
      <c r="G426" s="15">
        <v>1</v>
      </c>
      <c r="H426" s="15"/>
      <c r="I426" s="15" t="s">
        <v>1505</v>
      </c>
      <c r="J426" s="15">
        <v>23767033</v>
      </c>
      <c r="K426" s="15" t="s">
        <v>383</v>
      </c>
      <c r="L426" s="15" t="s">
        <v>522</v>
      </c>
      <c r="M426" s="16">
        <v>189900</v>
      </c>
      <c r="N426" s="9">
        <v>0.95</v>
      </c>
      <c r="O426" s="8">
        <f t="shared" si="18"/>
        <v>9495</v>
      </c>
      <c r="P426" s="6" t="s">
        <v>15</v>
      </c>
    </row>
    <row r="427" spans="1:16" x14ac:dyDescent="0.25">
      <c r="A427" s="6" t="s">
        <v>3920</v>
      </c>
      <c r="B427" s="7">
        <f t="shared" si="19"/>
        <v>46114</v>
      </c>
      <c r="C427" s="7">
        <f t="shared" si="20"/>
        <v>46120</v>
      </c>
      <c r="D427" s="6">
        <v>3280</v>
      </c>
      <c r="E427" s="6">
        <v>337</v>
      </c>
      <c r="F427" s="6">
        <v>4</v>
      </c>
      <c r="G427" s="15">
        <v>1</v>
      </c>
      <c r="H427" s="15"/>
      <c r="I427" s="15" t="s">
        <v>1505</v>
      </c>
      <c r="J427" s="15">
        <v>23718596</v>
      </c>
      <c r="K427" s="15" t="s">
        <v>379</v>
      </c>
      <c r="L427" s="15" t="s">
        <v>523</v>
      </c>
      <c r="M427" s="16">
        <v>199900</v>
      </c>
      <c r="N427" s="9">
        <v>0.95</v>
      </c>
      <c r="O427" s="8">
        <f t="shared" si="18"/>
        <v>9995</v>
      </c>
      <c r="P427" s="6" t="s">
        <v>15</v>
      </c>
    </row>
    <row r="428" spans="1:16" x14ac:dyDescent="0.25">
      <c r="A428" s="6" t="s">
        <v>3920</v>
      </c>
      <c r="B428" s="7">
        <f t="shared" si="19"/>
        <v>46114</v>
      </c>
      <c r="C428" s="7">
        <f t="shared" si="20"/>
        <v>46120</v>
      </c>
      <c r="D428" s="6">
        <v>3280</v>
      </c>
      <c r="E428" s="6">
        <v>337</v>
      </c>
      <c r="F428" s="6">
        <v>4</v>
      </c>
      <c r="G428" s="15">
        <v>1</v>
      </c>
      <c r="H428" s="15"/>
      <c r="I428" s="15" t="s">
        <v>1505</v>
      </c>
      <c r="J428" s="15">
        <v>23718649</v>
      </c>
      <c r="K428" s="15" t="s">
        <v>379</v>
      </c>
      <c r="L428" s="15" t="s">
        <v>524</v>
      </c>
      <c r="M428" s="16">
        <v>209900</v>
      </c>
      <c r="N428" s="9">
        <v>0.95</v>
      </c>
      <c r="O428" s="8">
        <f t="shared" si="18"/>
        <v>10495</v>
      </c>
      <c r="P428" s="6" t="s">
        <v>15</v>
      </c>
    </row>
    <row r="429" spans="1:16" x14ac:dyDescent="0.25">
      <c r="A429" s="6" t="s">
        <v>3920</v>
      </c>
      <c r="B429" s="7">
        <f t="shared" si="19"/>
        <v>46114</v>
      </c>
      <c r="C429" s="7">
        <f t="shared" si="20"/>
        <v>46120</v>
      </c>
      <c r="D429" s="6">
        <v>3280</v>
      </c>
      <c r="E429" s="6">
        <v>337</v>
      </c>
      <c r="F429" s="6">
        <v>4</v>
      </c>
      <c r="G429" s="15">
        <v>1</v>
      </c>
      <c r="H429" s="15"/>
      <c r="I429" s="15" t="s">
        <v>1505</v>
      </c>
      <c r="J429" s="15">
        <v>23841265</v>
      </c>
      <c r="K429" s="15" t="s">
        <v>463</v>
      </c>
      <c r="L429" s="15" t="s">
        <v>525</v>
      </c>
      <c r="M429" s="16">
        <v>209900</v>
      </c>
      <c r="N429" s="9">
        <v>0.95</v>
      </c>
      <c r="O429" s="8">
        <f t="shared" si="18"/>
        <v>10495</v>
      </c>
      <c r="P429" s="6" t="s">
        <v>15</v>
      </c>
    </row>
    <row r="430" spans="1:16" x14ac:dyDescent="0.25">
      <c r="A430" s="6" t="s">
        <v>3920</v>
      </c>
      <c r="B430" s="7">
        <f t="shared" si="19"/>
        <v>46114</v>
      </c>
      <c r="C430" s="7">
        <f t="shared" si="20"/>
        <v>46120</v>
      </c>
      <c r="D430" s="6">
        <v>3280</v>
      </c>
      <c r="E430" s="6">
        <v>337</v>
      </c>
      <c r="F430" s="6">
        <v>4</v>
      </c>
      <c r="G430" s="15">
        <v>1</v>
      </c>
      <c r="H430" s="15"/>
      <c r="I430" s="15" t="s">
        <v>1505</v>
      </c>
      <c r="J430" s="15">
        <v>23835334</v>
      </c>
      <c r="K430" s="15" t="s">
        <v>460</v>
      </c>
      <c r="L430" s="15" t="s">
        <v>526</v>
      </c>
      <c r="M430" s="16">
        <v>209900</v>
      </c>
      <c r="N430" s="9">
        <v>0.95</v>
      </c>
      <c r="O430" s="8">
        <f t="shared" si="18"/>
        <v>10495</v>
      </c>
      <c r="P430" s="6" t="s">
        <v>15</v>
      </c>
    </row>
    <row r="431" spans="1:16" x14ac:dyDescent="0.25">
      <c r="A431" s="6" t="s">
        <v>3920</v>
      </c>
      <c r="B431" s="7">
        <f t="shared" si="19"/>
        <v>46114</v>
      </c>
      <c r="C431" s="7">
        <f t="shared" si="20"/>
        <v>46120</v>
      </c>
      <c r="D431" s="6">
        <v>3280</v>
      </c>
      <c r="E431" s="6">
        <v>337</v>
      </c>
      <c r="F431" s="6">
        <v>4</v>
      </c>
      <c r="G431" s="15">
        <v>1</v>
      </c>
      <c r="H431" s="15"/>
      <c r="I431" s="15" t="s">
        <v>1505</v>
      </c>
      <c r="J431" s="15">
        <v>23637576</v>
      </c>
      <c r="K431" s="15" t="s">
        <v>391</v>
      </c>
      <c r="L431" s="15" t="s">
        <v>527</v>
      </c>
      <c r="M431" s="16">
        <v>189900</v>
      </c>
      <c r="N431" s="9">
        <v>0.95</v>
      </c>
      <c r="O431" s="8">
        <f t="shared" si="18"/>
        <v>9495</v>
      </c>
      <c r="P431" s="6" t="s">
        <v>15</v>
      </c>
    </row>
    <row r="432" spans="1:16" x14ac:dyDescent="0.25">
      <c r="A432" s="6" t="s">
        <v>3920</v>
      </c>
      <c r="B432" s="7">
        <f t="shared" si="19"/>
        <v>46114</v>
      </c>
      <c r="C432" s="7">
        <f t="shared" si="20"/>
        <v>46120</v>
      </c>
      <c r="D432" s="6">
        <v>3280</v>
      </c>
      <c r="E432" s="6">
        <v>337</v>
      </c>
      <c r="F432" s="6">
        <v>4</v>
      </c>
      <c r="G432" s="15">
        <v>1</v>
      </c>
      <c r="H432" s="15"/>
      <c r="I432" s="15" t="s">
        <v>1505</v>
      </c>
      <c r="J432" s="15">
        <v>23651756</v>
      </c>
      <c r="K432" s="15" t="s">
        <v>404</v>
      </c>
      <c r="L432" s="15" t="s">
        <v>528</v>
      </c>
      <c r="M432" s="16">
        <v>199900</v>
      </c>
      <c r="N432" s="9">
        <v>0.95</v>
      </c>
      <c r="O432" s="8">
        <f t="shared" si="18"/>
        <v>9995</v>
      </c>
      <c r="P432" s="6" t="s">
        <v>15</v>
      </c>
    </row>
    <row r="433" spans="1:16" x14ac:dyDescent="0.25">
      <c r="A433" s="6" t="s">
        <v>3920</v>
      </c>
      <c r="B433" s="7">
        <f t="shared" si="19"/>
        <v>46114</v>
      </c>
      <c r="C433" s="7">
        <f t="shared" si="20"/>
        <v>46120</v>
      </c>
      <c r="D433" s="6">
        <v>3280</v>
      </c>
      <c r="E433" s="6">
        <v>337</v>
      </c>
      <c r="F433" s="6">
        <v>4</v>
      </c>
      <c r="G433" s="15">
        <v>1</v>
      </c>
      <c r="H433" s="15"/>
      <c r="I433" s="15" t="s">
        <v>1505</v>
      </c>
      <c r="J433" s="15">
        <v>23833596</v>
      </c>
      <c r="K433" s="15" t="s">
        <v>458</v>
      </c>
      <c r="L433" s="15" t="s">
        <v>529</v>
      </c>
      <c r="M433" s="16">
        <v>189900</v>
      </c>
      <c r="N433" s="9">
        <v>0.95</v>
      </c>
      <c r="O433" s="8">
        <f t="shared" si="18"/>
        <v>9495</v>
      </c>
      <c r="P433" s="6" t="s">
        <v>15</v>
      </c>
    </row>
    <row r="434" spans="1:16" x14ac:dyDescent="0.25">
      <c r="A434" s="6" t="s">
        <v>3920</v>
      </c>
      <c r="B434" s="7">
        <f t="shared" si="19"/>
        <v>46114</v>
      </c>
      <c r="C434" s="7">
        <f t="shared" si="20"/>
        <v>46120</v>
      </c>
      <c r="D434" s="6">
        <v>3280</v>
      </c>
      <c r="E434" s="6">
        <v>337</v>
      </c>
      <c r="F434" s="6">
        <v>4</v>
      </c>
      <c r="G434" s="15">
        <v>1</v>
      </c>
      <c r="H434" s="15"/>
      <c r="I434" s="15" t="s">
        <v>1505</v>
      </c>
      <c r="J434" s="15">
        <v>23833603</v>
      </c>
      <c r="K434" s="15" t="s">
        <v>458</v>
      </c>
      <c r="L434" s="15" t="s">
        <v>530</v>
      </c>
      <c r="M434" s="16">
        <v>189900</v>
      </c>
      <c r="N434" s="9">
        <v>0.95</v>
      </c>
      <c r="O434" s="8">
        <f t="shared" si="18"/>
        <v>9495</v>
      </c>
      <c r="P434" s="6" t="s">
        <v>15</v>
      </c>
    </row>
    <row r="435" spans="1:16" x14ac:dyDescent="0.25">
      <c r="A435" s="6" t="s">
        <v>3920</v>
      </c>
      <c r="B435" s="7">
        <f t="shared" si="19"/>
        <v>46114</v>
      </c>
      <c r="C435" s="7">
        <f t="shared" si="20"/>
        <v>46120</v>
      </c>
      <c r="D435" s="6">
        <v>3280</v>
      </c>
      <c r="E435" s="6">
        <v>337</v>
      </c>
      <c r="F435" s="6">
        <v>4</v>
      </c>
      <c r="G435" s="15">
        <v>1</v>
      </c>
      <c r="H435" s="15"/>
      <c r="I435" s="15" t="s">
        <v>1505</v>
      </c>
      <c r="J435" s="15">
        <v>23767015</v>
      </c>
      <c r="K435" s="15" t="s">
        <v>383</v>
      </c>
      <c r="L435" s="15" t="s">
        <v>531</v>
      </c>
      <c r="M435" s="16">
        <v>189900</v>
      </c>
      <c r="N435" s="9">
        <v>0.95</v>
      </c>
      <c r="O435" s="8">
        <f t="shared" si="18"/>
        <v>9495</v>
      </c>
      <c r="P435" s="6" t="s">
        <v>15</v>
      </c>
    </row>
    <row r="436" spans="1:16" x14ac:dyDescent="0.25">
      <c r="A436" s="6" t="s">
        <v>3920</v>
      </c>
      <c r="B436" s="7">
        <f t="shared" si="19"/>
        <v>46114</v>
      </c>
      <c r="C436" s="7">
        <f t="shared" si="20"/>
        <v>46120</v>
      </c>
      <c r="D436" s="6">
        <v>3280</v>
      </c>
      <c r="E436" s="6">
        <v>337</v>
      </c>
      <c r="F436" s="6">
        <v>4</v>
      </c>
      <c r="G436" s="15">
        <v>1</v>
      </c>
      <c r="H436" s="15"/>
      <c r="I436" s="15" t="s">
        <v>1505</v>
      </c>
      <c r="J436" s="15">
        <v>23835352</v>
      </c>
      <c r="K436" s="15" t="s">
        <v>460</v>
      </c>
      <c r="L436" s="15" t="s">
        <v>532</v>
      </c>
      <c r="M436" s="16">
        <v>219900</v>
      </c>
      <c r="N436" s="9">
        <v>0.95</v>
      </c>
      <c r="O436" s="8">
        <f t="shared" si="18"/>
        <v>10995</v>
      </c>
      <c r="P436" s="6" t="s">
        <v>15</v>
      </c>
    </row>
    <row r="437" spans="1:16" x14ac:dyDescent="0.25">
      <c r="A437" s="6" t="s">
        <v>3920</v>
      </c>
      <c r="B437" s="7">
        <f t="shared" si="19"/>
        <v>46114</v>
      </c>
      <c r="C437" s="7">
        <f t="shared" si="20"/>
        <v>46120</v>
      </c>
      <c r="D437" s="6">
        <v>3280</v>
      </c>
      <c r="E437" s="6">
        <v>337</v>
      </c>
      <c r="F437" s="6">
        <v>4</v>
      </c>
      <c r="G437" s="15">
        <v>1</v>
      </c>
      <c r="H437" s="15"/>
      <c r="I437" s="15" t="s">
        <v>1505</v>
      </c>
      <c r="J437" s="15">
        <v>23638995</v>
      </c>
      <c r="K437" s="15" t="s">
        <v>401</v>
      </c>
      <c r="L437" s="15" t="s">
        <v>533</v>
      </c>
      <c r="M437" s="16">
        <v>209900</v>
      </c>
      <c r="N437" s="9">
        <v>0.95</v>
      </c>
      <c r="O437" s="8">
        <f t="shared" si="18"/>
        <v>10495</v>
      </c>
      <c r="P437" s="6" t="s">
        <v>15</v>
      </c>
    </row>
    <row r="438" spans="1:16" x14ac:dyDescent="0.25">
      <c r="A438" s="6" t="s">
        <v>3920</v>
      </c>
      <c r="B438" s="7">
        <f t="shared" si="19"/>
        <v>46114</v>
      </c>
      <c r="C438" s="7">
        <f t="shared" si="20"/>
        <v>46120</v>
      </c>
      <c r="D438" s="6">
        <v>3280</v>
      </c>
      <c r="E438" s="6">
        <v>337</v>
      </c>
      <c r="F438" s="6">
        <v>4</v>
      </c>
      <c r="G438" s="15">
        <v>1</v>
      </c>
      <c r="H438" s="15"/>
      <c r="I438" s="15" t="s">
        <v>1505</v>
      </c>
      <c r="J438" s="15">
        <v>23833158</v>
      </c>
      <c r="K438" s="15" t="s">
        <v>456</v>
      </c>
      <c r="L438" s="15" t="s">
        <v>534</v>
      </c>
      <c r="M438" s="16">
        <v>199900</v>
      </c>
      <c r="N438" s="9">
        <v>0.95</v>
      </c>
      <c r="O438" s="8">
        <f t="shared" si="18"/>
        <v>9995</v>
      </c>
      <c r="P438" s="6" t="s">
        <v>15</v>
      </c>
    </row>
    <row r="439" spans="1:16" x14ac:dyDescent="0.25">
      <c r="A439" s="6" t="s">
        <v>3920</v>
      </c>
      <c r="B439" s="7">
        <f t="shared" si="19"/>
        <v>46114</v>
      </c>
      <c r="C439" s="7">
        <f t="shared" si="20"/>
        <v>46120</v>
      </c>
      <c r="D439" s="6">
        <v>3280</v>
      </c>
      <c r="E439" s="6">
        <v>337</v>
      </c>
      <c r="F439" s="6">
        <v>4</v>
      </c>
      <c r="G439" s="15">
        <v>1</v>
      </c>
      <c r="H439" s="15"/>
      <c r="I439" s="15" t="s">
        <v>1505</v>
      </c>
      <c r="J439" s="15">
        <v>23651738</v>
      </c>
      <c r="K439" s="15" t="s">
        <v>404</v>
      </c>
      <c r="L439" s="15" t="s">
        <v>535</v>
      </c>
      <c r="M439" s="16">
        <v>199900</v>
      </c>
      <c r="N439" s="9">
        <v>0.95</v>
      </c>
      <c r="O439" s="8">
        <f t="shared" si="18"/>
        <v>9995</v>
      </c>
      <c r="P439" s="6" t="s">
        <v>15</v>
      </c>
    </row>
    <row r="440" spans="1:16" x14ac:dyDescent="0.25">
      <c r="A440" s="6" t="s">
        <v>3920</v>
      </c>
      <c r="B440" s="7">
        <f t="shared" si="19"/>
        <v>46114</v>
      </c>
      <c r="C440" s="7">
        <f t="shared" si="20"/>
        <v>46120</v>
      </c>
      <c r="D440" s="6">
        <v>3280</v>
      </c>
      <c r="E440" s="6">
        <v>337</v>
      </c>
      <c r="F440" s="6">
        <v>4</v>
      </c>
      <c r="G440" s="15">
        <v>1</v>
      </c>
      <c r="H440" s="15"/>
      <c r="I440" s="15" t="s">
        <v>1505</v>
      </c>
      <c r="J440" s="15">
        <v>23651747</v>
      </c>
      <c r="K440" s="15" t="s">
        <v>404</v>
      </c>
      <c r="L440" s="15" t="s">
        <v>536</v>
      </c>
      <c r="M440" s="16">
        <v>199900</v>
      </c>
      <c r="N440" s="9">
        <v>0.95</v>
      </c>
      <c r="O440" s="8">
        <f t="shared" si="18"/>
        <v>9995</v>
      </c>
      <c r="P440" s="6" t="s">
        <v>15</v>
      </c>
    </row>
    <row r="441" spans="1:16" x14ac:dyDescent="0.25">
      <c r="A441" s="6" t="s">
        <v>3920</v>
      </c>
      <c r="B441" s="7">
        <f t="shared" si="19"/>
        <v>46114</v>
      </c>
      <c r="C441" s="7">
        <f t="shared" si="20"/>
        <v>46120</v>
      </c>
      <c r="D441" s="6">
        <v>3280</v>
      </c>
      <c r="E441" s="6">
        <v>337</v>
      </c>
      <c r="F441" s="6">
        <v>4</v>
      </c>
      <c r="G441" s="15">
        <v>1</v>
      </c>
      <c r="H441" s="15"/>
      <c r="I441" s="15" t="s">
        <v>1505</v>
      </c>
      <c r="J441" s="15">
        <v>23718587</v>
      </c>
      <c r="K441" s="15" t="s">
        <v>377</v>
      </c>
      <c r="L441" s="15" t="s">
        <v>537</v>
      </c>
      <c r="M441" s="16">
        <v>209900</v>
      </c>
      <c r="N441" s="9">
        <v>0.95</v>
      </c>
      <c r="O441" s="8">
        <f t="shared" si="18"/>
        <v>10495</v>
      </c>
      <c r="P441" s="6" t="s">
        <v>15</v>
      </c>
    </row>
    <row r="442" spans="1:16" x14ac:dyDescent="0.25">
      <c r="A442" s="6" t="s">
        <v>3920</v>
      </c>
      <c r="B442" s="7">
        <f t="shared" si="19"/>
        <v>46114</v>
      </c>
      <c r="C442" s="7">
        <f t="shared" si="20"/>
        <v>46120</v>
      </c>
      <c r="D442" s="6">
        <v>3280</v>
      </c>
      <c r="E442" s="6">
        <v>337</v>
      </c>
      <c r="F442" s="6">
        <v>4</v>
      </c>
      <c r="G442" s="15">
        <v>1</v>
      </c>
      <c r="H442" s="15"/>
      <c r="I442" s="15" t="s">
        <v>1505</v>
      </c>
      <c r="J442" s="15">
        <v>23637610</v>
      </c>
      <c r="K442" s="15" t="s">
        <v>391</v>
      </c>
      <c r="L442" s="15" t="s">
        <v>538</v>
      </c>
      <c r="M442" s="16">
        <v>199900</v>
      </c>
      <c r="N442" s="9">
        <v>0.95</v>
      </c>
      <c r="O442" s="8">
        <f t="shared" si="18"/>
        <v>9995</v>
      </c>
      <c r="P442" s="6" t="s">
        <v>15</v>
      </c>
    </row>
    <row r="443" spans="1:16" x14ac:dyDescent="0.25">
      <c r="A443" s="6" t="s">
        <v>3920</v>
      </c>
      <c r="B443" s="7">
        <f t="shared" si="19"/>
        <v>46114</v>
      </c>
      <c r="C443" s="7">
        <f t="shared" si="20"/>
        <v>46120</v>
      </c>
      <c r="D443" s="6">
        <v>3280</v>
      </c>
      <c r="E443" s="6">
        <v>337</v>
      </c>
      <c r="F443" s="6">
        <v>4</v>
      </c>
      <c r="G443" s="15">
        <v>1</v>
      </c>
      <c r="H443" s="15"/>
      <c r="I443" s="15" t="s">
        <v>1505</v>
      </c>
      <c r="J443" s="15">
        <v>23772670</v>
      </c>
      <c r="K443" s="15" t="s">
        <v>445</v>
      </c>
      <c r="L443" s="15" t="s">
        <v>539</v>
      </c>
      <c r="M443" s="16">
        <v>209900</v>
      </c>
      <c r="N443" s="9">
        <v>0.95</v>
      </c>
      <c r="O443" s="8">
        <f t="shared" si="18"/>
        <v>10495</v>
      </c>
      <c r="P443" s="6" t="s">
        <v>15</v>
      </c>
    </row>
    <row r="444" spans="1:16" x14ac:dyDescent="0.25">
      <c r="A444" s="6" t="s">
        <v>3920</v>
      </c>
      <c r="B444" s="7">
        <f t="shared" si="19"/>
        <v>46114</v>
      </c>
      <c r="C444" s="7">
        <f t="shared" si="20"/>
        <v>46120</v>
      </c>
      <c r="D444" s="6">
        <v>3280</v>
      </c>
      <c r="E444" s="6">
        <v>337</v>
      </c>
      <c r="F444" s="6">
        <v>4</v>
      </c>
      <c r="G444" s="15">
        <v>1</v>
      </c>
      <c r="H444" s="15"/>
      <c r="I444" s="15" t="s">
        <v>1505</v>
      </c>
      <c r="J444" s="15">
        <v>23767006</v>
      </c>
      <c r="K444" s="15" t="s">
        <v>437</v>
      </c>
      <c r="L444" s="15" t="s">
        <v>540</v>
      </c>
      <c r="M444" s="16">
        <v>209900</v>
      </c>
      <c r="N444" s="9">
        <v>0.95</v>
      </c>
      <c r="O444" s="8">
        <f t="shared" si="18"/>
        <v>10495</v>
      </c>
      <c r="P444" s="6" t="s">
        <v>15</v>
      </c>
    </row>
    <row r="445" spans="1:16" x14ac:dyDescent="0.25">
      <c r="A445" s="6" t="s">
        <v>3920</v>
      </c>
      <c r="B445" s="7">
        <f t="shared" si="19"/>
        <v>46114</v>
      </c>
      <c r="C445" s="7">
        <f t="shared" si="20"/>
        <v>46120</v>
      </c>
      <c r="D445" s="6">
        <v>3280</v>
      </c>
      <c r="E445" s="6">
        <v>337</v>
      </c>
      <c r="F445" s="6">
        <v>4</v>
      </c>
      <c r="G445" s="15">
        <v>1</v>
      </c>
      <c r="H445" s="15"/>
      <c r="I445" s="15" t="s">
        <v>1505</v>
      </c>
      <c r="J445" s="15">
        <v>23833130</v>
      </c>
      <c r="K445" s="15" t="s">
        <v>456</v>
      </c>
      <c r="L445" s="15" t="s">
        <v>541</v>
      </c>
      <c r="M445" s="16">
        <v>199900</v>
      </c>
      <c r="N445" s="9">
        <v>0.95</v>
      </c>
      <c r="O445" s="8">
        <f t="shared" si="18"/>
        <v>9995</v>
      </c>
      <c r="P445" s="6" t="s">
        <v>15</v>
      </c>
    </row>
    <row r="446" spans="1:16" x14ac:dyDescent="0.25">
      <c r="A446" s="6" t="s">
        <v>3920</v>
      </c>
      <c r="B446" s="7">
        <f t="shared" si="19"/>
        <v>46114</v>
      </c>
      <c r="C446" s="7">
        <f t="shared" si="20"/>
        <v>46120</v>
      </c>
      <c r="D446" s="6">
        <v>3280</v>
      </c>
      <c r="E446" s="6">
        <v>337</v>
      </c>
      <c r="F446" s="6">
        <v>4</v>
      </c>
      <c r="G446" s="15">
        <v>1</v>
      </c>
      <c r="H446" s="15"/>
      <c r="I446" s="15" t="s">
        <v>1505</v>
      </c>
      <c r="J446" s="15">
        <v>23767239</v>
      </c>
      <c r="K446" s="15" t="s">
        <v>385</v>
      </c>
      <c r="L446" s="15" t="s">
        <v>542</v>
      </c>
      <c r="M446" s="16">
        <v>209900</v>
      </c>
      <c r="N446" s="9">
        <v>0.95</v>
      </c>
      <c r="O446" s="8">
        <f t="shared" si="18"/>
        <v>10495</v>
      </c>
      <c r="P446" s="6" t="s">
        <v>15</v>
      </c>
    </row>
    <row r="447" spans="1:16" x14ac:dyDescent="0.25">
      <c r="A447" s="6" t="s">
        <v>3920</v>
      </c>
      <c r="B447" s="7">
        <f t="shared" si="19"/>
        <v>46114</v>
      </c>
      <c r="C447" s="7">
        <f t="shared" si="20"/>
        <v>46120</v>
      </c>
      <c r="D447" s="6">
        <v>3280</v>
      </c>
      <c r="E447" s="6">
        <v>337</v>
      </c>
      <c r="F447" s="6">
        <v>4</v>
      </c>
      <c r="G447" s="15">
        <v>1</v>
      </c>
      <c r="H447" s="15"/>
      <c r="I447" s="15" t="s">
        <v>1505</v>
      </c>
      <c r="J447" s="15">
        <v>23841452</v>
      </c>
      <c r="K447" s="15" t="s">
        <v>543</v>
      </c>
      <c r="L447" s="15" t="s">
        <v>544</v>
      </c>
      <c r="M447" s="16">
        <v>219900</v>
      </c>
      <c r="N447" s="9">
        <v>0.95</v>
      </c>
      <c r="O447" s="8">
        <f t="shared" si="18"/>
        <v>10995</v>
      </c>
      <c r="P447" s="6" t="s">
        <v>15</v>
      </c>
    </row>
    <row r="448" spans="1:16" x14ac:dyDescent="0.25">
      <c r="A448" s="6" t="s">
        <v>3920</v>
      </c>
      <c r="B448" s="7">
        <f t="shared" si="19"/>
        <v>46114</v>
      </c>
      <c r="C448" s="7">
        <f t="shared" si="20"/>
        <v>46120</v>
      </c>
      <c r="D448" s="6">
        <v>3280</v>
      </c>
      <c r="E448" s="6">
        <v>337</v>
      </c>
      <c r="F448" s="6">
        <v>4</v>
      </c>
      <c r="G448" s="15">
        <v>1</v>
      </c>
      <c r="H448" s="15"/>
      <c r="I448" s="15" t="s">
        <v>1505</v>
      </c>
      <c r="J448" s="15">
        <v>23868353</v>
      </c>
      <c r="K448" s="15" t="s">
        <v>545</v>
      </c>
      <c r="L448" s="15" t="s">
        <v>546</v>
      </c>
      <c r="M448" s="16">
        <v>209900</v>
      </c>
      <c r="N448" s="9">
        <v>0.95</v>
      </c>
      <c r="O448" s="8">
        <f t="shared" si="18"/>
        <v>10495</v>
      </c>
      <c r="P448" s="6" t="s">
        <v>15</v>
      </c>
    </row>
    <row r="449" spans="1:16" x14ac:dyDescent="0.25">
      <c r="A449" s="6" t="s">
        <v>3920</v>
      </c>
      <c r="B449" s="7">
        <f t="shared" si="19"/>
        <v>46114</v>
      </c>
      <c r="C449" s="7">
        <f t="shared" si="20"/>
        <v>46120</v>
      </c>
      <c r="D449" s="6">
        <v>3280</v>
      </c>
      <c r="E449" s="6">
        <v>337</v>
      </c>
      <c r="F449" s="6">
        <v>4</v>
      </c>
      <c r="G449" s="15">
        <v>1</v>
      </c>
      <c r="H449" s="15"/>
      <c r="I449" s="15" t="s">
        <v>1505</v>
      </c>
      <c r="J449" s="15">
        <v>23681938</v>
      </c>
      <c r="K449" s="15" t="s">
        <v>547</v>
      </c>
      <c r="L449" s="15" t="s">
        <v>548</v>
      </c>
      <c r="M449" s="16">
        <v>299900</v>
      </c>
      <c r="N449" s="9">
        <v>0.95</v>
      </c>
      <c r="O449" s="8">
        <f t="shared" si="18"/>
        <v>14995</v>
      </c>
      <c r="P449" s="6" t="s">
        <v>15</v>
      </c>
    </row>
    <row r="450" spans="1:16" x14ac:dyDescent="0.25">
      <c r="A450" s="6" t="s">
        <v>3920</v>
      </c>
      <c r="B450" s="7">
        <f t="shared" si="19"/>
        <v>46114</v>
      </c>
      <c r="C450" s="7">
        <f t="shared" si="20"/>
        <v>46120</v>
      </c>
      <c r="D450" s="6">
        <v>3280</v>
      </c>
      <c r="E450" s="6">
        <v>337</v>
      </c>
      <c r="F450" s="6">
        <v>4</v>
      </c>
      <c r="G450" s="15">
        <v>1</v>
      </c>
      <c r="H450" s="15"/>
      <c r="I450" s="15" t="s">
        <v>1505</v>
      </c>
      <c r="J450" s="15">
        <v>23845083</v>
      </c>
      <c r="K450" s="15" t="s">
        <v>549</v>
      </c>
      <c r="L450" s="15" t="s">
        <v>550</v>
      </c>
      <c r="M450" s="16">
        <v>219900</v>
      </c>
      <c r="N450" s="9">
        <v>0.95</v>
      </c>
      <c r="O450" s="8">
        <f t="shared" ref="O450:O513" si="21">M450-((95*M450)/100)</f>
        <v>10995</v>
      </c>
      <c r="P450" s="6" t="s">
        <v>15</v>
      </c>
    </row>
    <row r="451" spans="1:16" x14ac:dyDescent="0.25">
      <c r="A451" s="6" t="s">
        <v>3920</v>
      </c>
      <c r="B451" s="7">
        <f t="shared" si="19"/>
        <v>46114</v>
      </c>
      <c r="C451" s="7">
        <f t="shared" si="20"/>
        <v>46120</v>
      </c>
      <c r="D451" s="6">
        <v>3280</v>
      </c>
      <c r="E451" s="6">
        <v>337</v>
      </c>
      <c r="F451" s="6">
        <v>4</v>
      </c>
      <c r="G451" s="15">
        <v>1</v>
      </c>
      <c r="H451" s="15"/>
      <c r="I451" s="15" t="s">
        <v>1505</v>
      </c>
      <c r="J451" s="15">
        <v>23845092</v>
      </c>
      <c r="K451" s="15" t="s">
        <v>549</v>
      </c>
      <c r="L451" s="15" t="s">
        <v>551</v>
      </c>
      <c r="M451" s="16">
        <v>219900</v>
      </c>
      <c r="N451" s="9">
        <v>0.95</v>
      </c>
      <c r="O451" s="8">
        <f t="shared" si="21"/>
        <v>10995</v>
      </c>
      <c r="P451" s="6" t="s">
        <v>15</v>
      </c>
    </row>
    <row r="452" spans="1:16" x14ac:dyDescent="0.25">
      <c r="A452" s="6" t="s">
        <v>3920</v>
      </c>
      <c r="B452" s="7">
        <f t="shared" ref="B452:B515" si="22">B451</f>
        <v>46114</v>
      </c>
      <c r="C452" s="7">
        <f t="shared" ref="C452:C515" si="23">C451</f>
        <v>46120</v>
      </c>
      <c r="D452" s="6">
        <v>3280</v>
      </c>
      <c r="E452" s="6">
        <v>337</v>
      </c>
      <c r="F452" s="6">
        <v>4</v>
      </c>
      <c r="G452" s="15">
        <v>1</v>
      </c>
      <c r="H452" s="15"/>
      <c r="I452" s="15" t="s">
        <v>1505</v>
      </c>
      <c r="J452" s="15">
        <v>23845109</v>
      </c>
      <c r="K452" s="15" t="s">
        <v>549</v>
      </c>
      <c r="L452" s="15" t="s">
        <v>552</v>
      </c>
      <c r="M452" s="16">
        <v>219900</v>
      </c>
      <c r="N452" s="9">
        <v>0.95</v>
      </c>
      <c r="O452" s="8">
        <f t="shared" si="21"/>
        <v>10995</v>
      </c>
      <c r="P452" s="6" t="s">
        <v>15</v>
      </c>
    </row>
    <row r="453" spans="1:16" x14ac:dyDescent="0.25">
      <c r="A453" s="6" t="s">
        <v>3920</v>
      </c>
      <c r="B453" s="7">
        <f t="shared" si="22"/>
        <v>46114</v>
      </c>
      <c r="C453" s="7">
        <f t="shared" si="23"/>
        <v>46120</v>
      </c>
      <c r="D453" s="6">
        <v>3280</v>
      </c>
      <c r="E453" s="6">
        <v>337</v>
      </c>
      <c r="F453" s="6">
        <v>4</v>
      </c>
      <c r="G453" s="15">
        <v>1</v>
      </c>
      <c r="H453" s="15"/>
      <c r="I453" s="15" t="s">
        <v>1505</v>
      </c>
      <c r="J453" s="15">
        <v>23845118</v>
      </c>
      <c r="K453" s="15" t="s">
        <v>549</v>
      </c>
      <c r="L453" s="15" t="s">
        <v>553</v>
      </c>
      <c r="M453" s="16">
        <v>229900</v>
      </c>
      <c r="N453" s="9">
        <v>0.95</v>
      </c>
      <c r="O453" s="8">
        <f t="shared" si="21"/>
        <v>11495</v>
      </c>
      <c r="P453" s="6" t="s">
        <v>15</v>
      </c>
    </row>
    <row r="454" spans="1:16" x14ac:dyDescent="0.25">
      <c r="A454" s="6" t="s">
        <v>3920</v>
      </c>
      <c r="B454" s="7">
        <f t="shared" si="22"/>
        <v>46114</v>
      </c>
      <c r="C454" s="7">
        <f t="shared" si="23"/>
        <v>46120</v>
      </c>
      <c r="D454" s="6">
        <v>3280</v>
      </c>
      <c r="E454" s="6">
        <v>337</v>
      </c>
      <c r="F454" s="6">
        <v>4</v>
      </c>
      <c r="G454" s="15">
        <v>1</v>
      </c>
      <c r="H454" s="15"/>
      <c r="I454" s="15" t="s">
        <v>1505</v>
      </c>
      <c r="J454" s="15">
        <v>23845127</v>
      </c>
      <c r="K454" s="15" t="s">
        <v>549</v>
      </c>
      <c r="L454" s="15" t="s">
        <v>554</v>
      </c>
      <c r="M454" s="16">
        <v>229900</v>
      </c>
      <c r="N454" s="9">
        <v>0.95</v>
      </c>
      <c r="O454" s="8">
        <f t="shared" si="21"/>
        <v>11495</v>
      </c>
      <c r="P454" s="6" t="s">
        <v>15</v>
      </c>
    </row>
    <row r="455" spans="1:16" x14ac:dyDescent="0.25">
      <c r="A455" s="6" t="s">
        <v>3920</v>
      </c>
      <c r="B455" s="7">
        <f t="shared" si="22"/>
        <v>46114</v>
      </c>
      <c r="C455" s="7">
        <f t="shared" si="23"/>
        <v>46120</v>
      </c>
      <c r="D455" s="6">
        <v>3280</v>
      </c>
      <c r="E455" s="6">
        <v>337</v>
      </c>
      <c r="F455" s="6">
        <v>4</v>
      </c>
      <c r="G455" s="15">
        <v>1</v>
      </c>
      <c r="H455" s="15"/>
      <c r="I455" s="15" t="s">
        <v>1505</v>
      </c>
      <c r="J455" s="15">
        <v>23845136</v>
      </c>
      <c r="K455" s="15" t="s">
        <v>549</v>
      </c>
      <c r="L455" s="15" t="s">
        <v>555</v>
      </c>
      <c r="M455" s="16">
        <v>229900</v>
      </c>
      <c r="N455" s="9">
        <v>0.95</v>
      </c>
      <c r="O455" s="8">
        <f t="shared" si="21"/>
        <v>11495</v>
      </c>
      <c r="P455" s="6" t="s">
        <v>15</v>
      </c>
    </row>
    <row r="456" spans="1:16" x14ac:dyDescent="0.25">
      <c r="A456" s="6" t="s">
        <v>3920</v>
      </c>
      <c r="B456" s="7">
        <f t="shared" si="22"/>
        <v>46114</v>
      </c>
      <c r="C456" s="7">
        <f t="shared" si="23"/>
        <v>46120</v>
      </c>
      <c r="D456" s="6">
        <v>3280</v>
      </c>
      <c r="E456" s="6">
        <v>337</v>
      </c>
      <c r="F456" s="6">
        <v>4</v>
      </c>
      <c r="G456" s="15">
        <v>1</v>
      </c>
      <c r="H456" s="15"/>
      <c r="I456" s="15" t="s">
        <v>1505</v>
      </c>
      <c r="J456" s="15">
        <v>23862706</v>
      </c>
      <c r="K456" s="15" t="s">
        <v>556</v>
      </c>
      <c r="L456" s="15" t="s">
        <v>557</v>
      </c>
      <c r="M456" s="16">
        <v>219900</v>
      </c>
      <c r="N456" s="9">
        <v>0.95</v>
      </c>
      <c r="O456" s="8">
        <f t="shared" si="21"/>
        <v>10995</v>
      </c>
      <c r="P456" s="6" t="s">
        <v>15</v>
      </c>
    </row>
    <row r="457" spans="1:16" x14ac:dyDescent="0.25">
      <c r="A457" s="6" t="s">
        <v>3920</v>
      </c>
      <c r="B457" s="7">
        <f t="shared" si="22"/>
        <v>46114</v>
      </c>
      <c r="C457" s="7">
        <f t="shared" si="23"/>
        <v>46120</v>
      </c>
      <c r="D457" s="6">
        <v>3280</v>
      </c>
      <c r="E457" s="6">
        <v>337</v>
      </c>
      <c r="F457" s="6">
        <v>4</v>
      </c>
      <c r="G457" s="15">
        <v>1</v>
      </c>
      <c r="H457" s="15"/>
      <c r="I457" s="15" t="s">
        <v>1505</v>
      </c>
      <c r="J457" s="15">
        <v>23863170</v>
      </c>
      <c r="K457" s="15" t="s">
        <v>558</v>
      </c>
      <c r="L457" s="15" t="s">
        <v>559</v>
      </c>
      <c r="M457" s="16">
        <v>189900</v>
      </c>
      <c r="N457" s="9">
        <v>0.95</v>
      </c>
      <c r="O457" s="8">
        <f t="shared" si="21"/>
        <v>9495</v>
      </c>
      <c r="P457" s="6" t="s">
        <v>15</v>
      </c>
    </row>
    <row r="458" spans="1:16" x14ac:dyDescent="0.25">
      <c r="A458" s="6" t="s">
        <v>3920</v>
      </c>
      <c r="B458" s="7">
        <f t="shared" si="22"/>
        <v>46114</v>
      </c>
      <c r="C458" s="7">
        <f t="shared" si="23"/>
        <v>46120</v>
      </c>
      <c r="D458" s="6">
        <v>3280</v>
      </c>
      <c r="E458" s="6">
        <v>337</v>
      </c>
      <c r="F458" s="6">
        <v>4</v>
      </c>
      <c r="G458" s="15">
        <v>1</v>
      </c>
      <c r="H458" s="15"/>
      <c r="I458" s="15" t="s">
        <v>1505</v>
      </c>
      <c r="J458" s="15">
        <v>23863189</v>
      </c>
      <c r="K458" s="15" t="s">
        <v>558</v>
      </c>
      <c r="L458" s="15" t="s">
        <v>560</v>
      </c>
      <c r="M458" s="16">
        <v>189900</v>
      </c>
      <c r="N458" s="9">
        <v>0.95</v>
      </c>
      <c r="O458" s="8">
        <f t="shared" si="21"/>
        <v>9495</v>
      </c>
      <c r="P458" s="6" t="s">
        <v>15</v>
      </c>
    </row>
    <row r="459" spans="1:16" x14ac:dyDescent="0.25">
      <c r="A459" s="6" t="s">
        <v>3920</v>
      </c>
      <c r="B459" s="7">
        <f t="shared" si="22"/>
        <v>46114</v>
      </c>
      <c r="C459" s="7">
        <f t="shared" si="23"/>
        <v>46120</v>
      </c>
      <c r="D459" s="6">
        <v>3280</v>
      </c>
      <c r="E459" s="6">
        <v>337</v>
      </c>
      <c r="F459" s="6">
        <v>4</v>
      </c>
      <c r="G459" s="15">
        <v>1</v>
      </c>
      <c r="H459" s="15"/>
      <c r="I459" s="15" t="s">
        <v>1505</v>
      </c>
      <c r="J459" s="15">
        <v>23863198</v>
      </c>
      <c r="K459" s="15" t="s">
        <v>558</v>
      </c>
      <c r="L459" s="15" t="s">
        <v>561</v>
      </c>
      <c r="M459" s="16">
        <v>189900</v>
      </c>
      <c r="N459" s="9">
        <v>0.95</v>
      </c>
      <c r="O459" s="8">
        <f t="shared" si="21"/>
        <v>9495</v>
      </c>
      <c r="P459" s="6" t="s">
        <v>15</v>
      </c>
    </row>
    <row r="460" spans="1:16" x14ac:dyDescent="0.25">
      <c r="A460" s="6" t="s">
        <v>3920</v>
      </c>
      <c r="B460" s="7">
        <f t="shared" si="22"/>
        <v>46114</v>
      </c>
      <c r="C460" s="7">
        <f t="shared" si="23"/>
        <v>46120</v>
      </c>
      <c r="D460" s="6">
        <v>3280</v>
      </c>
      <c r="E460" s="6">
        <v>337</v>
      </c>
      <c r="F460" s="6">
        <v>4</v>
      </c>
      <c r="G460" s="15">
        <v>1</v>
      </c>
      <c r="H460" s="15"/>
      <c r="I460" s="15" t="s">
        <v>1505</v>
      </c>
      <c r="J460" s="15">
        <v>23863205</v>
      </c>
      <c r="K460" s="15" t="s">
        <v>558</v>
      </c>
      <c r="L460" s="15" t="s">
        <v>562</v>
      </c>
      <c r="M460" s="16">
        <v>199900</v>
      </c>
      <c r="N460" s="9">
        <v>0.95</v>
      </c>
      <c r="O460" s="8">
        <f t="shared" si="21"/>
        <v>9995</v>
      </c>
      <c r="P460" s="6" t="s">
        <v>15</v>
      </c>
    </row>
    <row r="461" spans="1:16" x14ac:dyDescent="0.25">
      <c r="A461" s="6" t="s">
        <v>3920</v>
      </c>
      <c r="B461" s="7">
        <f t="shared" si="22"/>
        <v>46114</v>
      </c>
      <c r="C461" s="7">
        <f t="shared" si="23"/>
        <v>46120</v>
      </c>
      <c r="D461" s="6">
        <v>3280</v>
      </c>
      <c r="E461" s="6">
        <v>337</v>
      </c>
      <c r="F461" s="6">
        <v>4</v>
      </c>
      <c r="G461" s="15">
        <v>1</v>
      </c>
      <c r="H461" s="15"/>
      <c r="I461" s="15" t="s">
        <v>1505</v>
      </c>
      <c r="J461" s="15">
        <v>23863214</v>
      </c>
      <c r="K461" s="15" t="s">
        <v>558</v>
      </c>
      <c r="L461" s="15" t="s">
        <v>563</v>
      </c>
      <c r="M461" s="16">
        <v>199900</v>
      </c>
      <c r="N461" s="9">
        <v>0.95</v>
      </c>
      <c r="O461" s="8">
        <f t="shared" si="21"/>
        <v>9995</v>
      </c>
      <c r="P461" s="6" t="s">
        <v>15</v>
      </c>
    </row>
    <row r="462" spans="1:16" x14ac:dyDescent="0.25">
      <c r="A462" s="6" t="s">
        <v>3920</v>
      </c>
      <c r="B462" s="7">
        <f t="shared" si="22"/>
        <v>46114</v>
      </c>
      <c r="C462" s="7">
        <f t="shared" si="23"/>
        <v>46120</v>
      </c>
      <c r="D462" s="6">
        <v>3280</v>
      </c>
      <c r="E462" s="6">
        <v>337</v>
      </c>
      <c r="F462" s="6">
        <v>4</v>
      </c>
      <c r="G462" s="15">
        <v>1</v>
      </c>
      <c r="H462" s="15"/>
      <c r="I462" s="15" t="s">
        <v>1505</v>
      </c>
      <c r="J462" s="15">
        <v>23863223</v>
      </c>
      <c r="K462" s="15" t="s">
        <v>558</v>
      </c>
      <c r="L462" s="15" t="s">
        <v>564</v>
      </c>
      <c r="M462" s="16">
        <v>199900</v>
      </c>
      <c r="N462" s="9">
        <v>0.95</v>
      </c>
      <c r="O462" s="8">
        <f t="shared" si="21"/>
        <v>9995</v>
      </c>
      <c r="P462" s="6" t="s">
        <v>15</v>
      </c>
    </row>
    <row r="463" spans="1:16" x14ac:dyDescent="0.25">
      <c r="A463" s="6" t="s">
        <v>3920</v>
      </c>
      <c r="B463" s="7">
        <f t="shared" si="22"/>
        <v>46114</v>
      </c>
      <c r="C463" s="7">
        <f t="shared" si="23"/>
        <v>46120</v>
      </c>
      <c r="D463" s="6">
        <v>3280</v>
      </c>
      <c r="E463" s="6">
        <v>337</v>
      </c>
      <c r="F463" s="6">
        <v>4</v>
      </c>
      <c r="G463" s="15">
        <v>1</v>
      </c>
      <c r="H463" s="15"/>
      <c r="I463" s="15" t="s">
        <v>1505</v>
      </c>
      <c r="J463" s="15">
        <v>23868362</v>
      </c>
      <c r="K463" s="15" t="s">
        <v>545</v>
      </c>
      <c r="L463" s="15" t="s">
        <v>565</v>
      </c>
      <c r="M463" s="16">
        <v>209900</v>
      </c>
      <c r="N463" s="9">
        <v>0.95</v>
      </c>
      <c r="O463" s="8">
        <f t="shared" si="21"/>
        <v>10495</v>
      </c>
      <c r="P463" s="6" t="s">
        <v>15</v>
      </c>
    </row>
    <row r="464" spans="1:16" x14ac:dyDescent="0.25">
      <c r="A464" s="6" t="s">
        <v>3920</v>
      </c>
      <c r="B464" s="7">
        <f t="shared" si="22"/>
        <v>46114</v>
      </c>
      <c r="C464" s="7">
        <f t="shared" si="23"/>
        <v>46120</v>
      </c>
      <c r="D464" s="6">
        <v>3280</v>
      </c>
      <c r="E464" s="6">
        <v>337</v>
      </c>
      <c r="F464" s="6">
        <v>4</v>
      </c>
      <c r="G464" s="15">
        <v>1</v>
      </c>
      <c r="H464" s="15"/>
      <c r="I464" s="15" t="s">
        <v>1505</v>
      </c>
      <c r="J464" s="15">
        <v>23868371</v>
      </c>
      <c r="K464" s="15" t="s">
        <v>545</v>
      </c>
      <c r="L464" s="15" t="s">
        <v>566</v>
      </c>
      <c r="M464" s="16">
        <v>219900</v>
      </c>
      <c r="N464" s="9">
        <v>0.95</v>
      </c>
      <c r="O464" s="8">
        <f t="shared" si="21"/>
        <v>10995</v>
      </c>
      <c r="P464" s="6" t="s">
        <v>15</v>
      </c>
    </row>
    <row r="465" spans="1:16" x14ac:dyDescent="0.25">
      <c r="A465" s="6" t="s">
        <v>3920</v>
      </c>
      <c r="B465" s="7">
        <f t="shared" si="22"/>
        <v>46114</v>
      </c>
      <c r="C465" s="7">
        <f t="shared" si="23"/>
        <v>46120</v>
      </c>
      <c r="D465" s="6">
        <v>3280</v>
      </c>
      <c r="E465" s="6">
        <v>337</v>
      </c>
      <c r="F465" s="6">
        <v>4</v>
      </c>
      <c r="G465" s="15">
        <v>1</v>
      </c>
      <c r="H465" s="15"/>
      <c r="I465" s="15" t="s">
        <v>1505</v>
      </c>
      <c r="J465" s="15">
        <v>23868380</v>
      </c>
      <c r="K465" s="15" t="s">
        <v>545</v>
      </c>
      <c r="L465" s="15" t="s">
        <v>567</v>
      </c>
      <c r="M465" s="16">
        <v>219900</v>
      </c>
      <c r="N465" s="9">
        <v>0.95</v>
      </c>
      <c r="O465" s="8">
        <f t="shared" si="21"/>
        <v>10995</v>
      </c>
      <c r="P465" s="6" t="s">
        <v>15</v>
      </c>
    </row>
    <row r="466" spans="1:16" x14ac:dyDescent="0.25">
      <c r="A466" s="6" t="s">
        <v>3920</v>
      </c>
      <c r="B466" s="7">
        <f t="shared" si="22"/>
        <v>46114</v>
      </c>
      <c r="C466" s="7">
        <f t="shared" si="23"/>
        <v>46120</v>
      </c>
      <c r="D466" s="6">
        <v>3280</v>
      </c>
      <c r="E466" s="6">
        <v>337</v>
      </c>
      <c r="F466" s="6">
        <v>4</v>
      </c>
      <c r="G466" s="15">
        <v>1</v>
      </c>
      <c r="H466" s="15"/>
      <c r="I466" s="15" t="s">
        <v>1505</v>
      </c>
      <c r="J466" s="15">
        <v>23998374</v>
      </c>
      <c r="K466" s="15" t="s">
        <v>568</v>
      </c>
      <c r="L466" s="15" t="s">
        <v>569</v>
      </c>
      <c r="M466" s="16">
        <v>219900</v>
      </c>
      <c r="N466" s="9">
        <v>0.95</v>
      </c>
      <c r="O466" s="8">
        <f t="shared" si="21"/>
        <v>10995</v>
      </c>
      <c r="P466" s="6" t="s">
        <v>15</v>
      </c>
    </row>
    <row r="467" spans="1:16" x14ac:dyDescent="0.25">
      <c r="A467" s="6" t="s">
        <v>3920</v>
      </c>
      <c r="B467" s="7">
        <f t="shared" si="22"/>
        <v>46114</v>
      </c>
      <c r="C467" s="7">
        <f t="shared" si="23"/>
        <v>46120</v>
      </c>
      <c r="D467" s="6">
        <v>3280</v>
      </c>
      <c r="E467" s="6">
        <v>337</v>
      </c>
      <c r="F467" s="6">
        <v>4</v>
      </c>
      <c r="G467" s="15">
        <v>1</v>
      </c>
      <c r="H467" s="15"/>
      <c r="I467" s="15" t="s">
        <v>1505</v>
      </c>
      <c r="J467" s="15">
        <v>23998383</v>
      </c>
      <c r="K467" s="15" t="s">
        <v>568</v>
      </c>
      <c r="L467" s="15" t="s">
        <v>570</v>
      </c>
      <c r="M467" s="16">
        <v>219900</v>
      </c>
      <c r="N467" s="9">
        <v>0.95</v>
      </c>
      <c r="O467" s="8">
        <f t="shared" si="21"/>
        <v>10995</v>
      </c>
      <c r="P467" s="6" t="s">
        <v>15</v>
      </c>
    </row>
    <row r="468" spans="1:16" x14ac:dyDescent="0.25">
      <c r="A468" s="6" t="s">
        <v>3920</v>
      </c>
      <c r="B468" s="7">
        <f t="shared" si="22"/>
        <v>46114</v>
      </c>
      <c r="C468" s="7">
        <f t="shared" si="23"/>
        <v>46120</v>
      </c>
      <c r="D468" s="6">
        <v>3280</v>
      </c>
      <c r="E468" s="6">
        <v>337</v>
      </c>
      <c r="F468" s="6">
        <v>4</v>
      </c>
      <c r="G468" s="15">
        <v>1</v>
      </c>
      <c r="H468" s="15"/>
      <c r="I468" s="15" t="s">
        <v>1505</v>
      </c>
      <c r="J468" s="15">
        <v>23998454</v>
      </c>
      <c r="K468" s="15" t="s">
        <v>571</v>
      </c>
      <c r="L468" s="15" t="s">
        <v>572</v>
      </c>
      <c r="M468" s="16">
        <v>219900</v>
      </c>
      <c r="N468" s="9">
        <v>0.95</v>
      </c>
      <c r="O468" s="8">
        <f t="shared" si="21"/>
        <v>10995</v>
      </c>
      <c r="P468" s="6" t="s">
        <v>15</v>
      </c>
    </row>
    <row r="469" spans="1:16" x14ac:dyDescent="0.25">
      <c r="A469" s="6" t="s">
        <v>3920</v>
      </c>
      <c r="B469" s="7">
        <f t="shared" si="22"/>
        <v>46114</v>
      </c>
      <c r="C469" s="7">
        <f t="shared" si="23"/>
        <v>46120</v>
      </c>
      <c r="D469" s="6">
        <v>3280</v>
      </c>
      <c r="E469" s="6">
        <v>337</v>
      </c>
      <c r="F469" s="6">
        <v>4</v>
      </c>
      <c r="G469" s="15">
        <v>1</v>
      </c>
      <c r="H469" s="15"/>
      <c r="I469" s="15" t="s">
        <v>1505</v>
      </c>
      <c r="J469" s="15">
        <v>23998463</v>
      </c>
      <c r="K469" s="15" t="s">
        <v>571</v>
      </c>
      <c r="L469" s="15" t="s">
        <v>573</v>
      </c>
      <c r="M469" s="16">
        <v>219900</v>
      </c>
      <c r="N469" s="9">
        <v>0.95</v>
      </c>
      <c r="O469" s="8">
        <f t="shared" si="21"/>
        <v>10995</v>
      </c>
      <c r="P469" s="6" t="s">
        <v>15</v>
      </c>
    </row>
    <row r="470" spans="1:16" x14ac:dyDescent="0.25">
      <c r="A470" s="6" t="s">
        <v>3920</v>
      </c>
      <c r="B470" s="7">
        <f t="shared" si="22"/>
        <v>46114</v>
      </c>
      <c r="C470" s="7">
        <f t="shared" si="23"/>
        <v>46120</v>
      </c>
      <c r="D470" s="6">
        <v>3280</v>
      </c>
      <c r="E470" s="6">
        <v>337</v>
      </c>
      <c r="F470" s="6">
        <v>4</v>
      </c>
      <c r="G470" s="15">
        <v>1</v>
      </c>
      <c r="H470" s="15"/>
      <c r="I470" s="15" t="s">
        <v>1505</v>
      </c>
      <c r="J470" s="15">
        <v>23999999</v>
      </c>
      <c r="K470" s="15" t="s">
        <v>574</v>
      </c>
      <c r="L470" s="15" t="s">
        <v>569</v>
      </c>
      <c r="M470" s="16">
        <v>219900</v>
      </c>
      <c r="N470" s="9">
        <v>0.95</v>
      </c>
      <c r="O470" s="8">
        <f t="shared" si="21"/>
        <v>10995</v>
      </c>
      <c r="P470" s="6" t="s">
        <v>15</v>
      </c>
    </row>
    <row r="471" spans="1:16" x14ac:dyDescent="0.25">
      <c r="A471" s="6" t="s">
        <v>3920</v>
      </c>
      <c r="B471" s="7">
        <f t="shared" si="22"/>
        <v>46114</v>
      </c>
      <c r="C471" s="7">
        <f t="shared" si="23"/>
        <v>46120</v>
      </c>
      <c r="D471" s="6">
        <v>3280</v>
      </c>
      <c r="E471" s="6">
        <v>337</v>
      </c>
      <c r="F471" s="6">
        <v>4</v>
      </c>
      <c r="G471" s="15">
        <v>1</v>
      </c>
      <c r="H471" s="15"/>
      <c r="I471" s="15" t="s">
        <v>1505</v>
      </c>
      <c r="J471" s="15">
        <v>24000000</v>
      </c>
      <c r="K471" s="15" t="s">
        <v>574</v>
      </c>
      <c r="L471" s="15" t="s">
        <v>570</v>
      </c>
      <c r="M471" s="16">
        <v>219900</v>
      </c>
      <c r="N471" s="9">
        <v>0.95</v>
      </c>
      <c r="O471" s="8">
        <f t="shared" si="21"/>
        <v>10995</v>
      </c>
      <c r="P471" s="6" t="s">
        <v>15</v>
      </c>
    </row>
    <row r="472" spans="1:16" x14ac:dyDescent="0.25">
      <c r="A472" s="6" t="s">
        <v>3920</v>
      </c>
      <c r="B472" s="7">
        <f t="shared" si="22"/>
        <v>46114</v>
      </c>
      <c r="C472" s="7">
        <f t="shared" si="23"/>
        <v>46120</v>
      </c>
      <c r="D472" s="6">
        <v>3280</v>
      </c>
      <c r="E472" s="6">
        <v>337</v>
      </c>
      <c r="F472" s="6">
        <v>4</v>
      </c>
      <c r="G472" s="15">
        <v>1</v>
      </c>
      <c r="H472" s="15"/>
      <c r="I472" s="15" t="s">
        <v>1505</v>
      </c>
      <c r="J472" s="15">
        <v>24000037</v>
      </c>
      <c r="K472" s="15" t="s">
        <v>575</v>
      </c>
      <c r="L472" s="15" t="s">
        <v>570</v>
      </c>
      <c r="M472" s="16">
        <v>219900</v>
      </c>
      <c r="N472" s="9">
        <v>0.95</v>
      </c>
      <c r="O472" s="8">
        <f t="shared" si="21"/>
        <v>10995</v>
      </c>
      <c r="P472" s="6" t="s">
        <v>15</v>
      </c>
    </row>
    <row r="473" spans="1:16" x14ac:dyDescent="0.25">
      <c r="A473" s="6" t="s">
        <v>3920</v>
      </c>
      <c r="B473" s="7">
        <f t="shared" si="22"/>
        <v>46114</v>
      </c>
      <c r="C473" s="7">
        <f t="shared" si="23"/>
        <v>46120</v>
      </c>
      <c r="D473" s="6">
        <v>3280</v>
      </c>
      <c r="E473" s="6">
        <v>337</v>
      </c>
      <c r="F473" s="6">
        <v>4</v>
      </c>
      <c r="G473" s="15">
        <v>1</v>
      </c>
      <c r="H473" s="15"/>
      <c r="I473" s="15" t="s">
        <v>1505</v>
      </c>
      <c r="J473" s="15">
        <v>24000046</v>
      </c>
      <c r="K473" s="15" t="s">
        <v>575</v>
      </c>
      <c r="L473" s="15" t="s">
        <v>576</v>
      </c>
      <c r="M473" s="16">
        <v>219900</v>
      </c>
      <c r="N473" s="9">
        <v>0.95</v>
      </c>
      <c r="O473" s="8">
        <f t="shared" si="21"/>
        <v>10995</v>
      </c>
      <c r="P473" s="6" t="s">
        <v>15</v>
      </c>
    </row>
    <row r="474" spans="1:16" x14ac:dyDescent="0.25">
      <c r="A474" s="6" t="s">
        <v>3920</v>
      </c>
      <c r="B474" s="7">
        <f t="shared" si="22"/>
        <v>46114</v>
      </c>
      <c r="C474" s="7">
        <f t="shared" si="23"/>
        <v>46120</v>
      </c>
      <c r="D474" s="6">
        <v>3280</v>
      </c>
      <c r="E474" s="6">
        <v>337</v>
      </c>
      <c r="F474" s="6">
        <v>4</v>
      </c>
      <c r="G474" s="15">
        <v>1</v>
      </c>
      <c r="H474" s="15"/>
      <c r="I474" s="15" t="s">
        <v>1505</v>
      </c>
      <c r="J474" s="15">
        <v>24000055</v>
      </c>
      <c r="K474" s="15" t="s">
        <v>577</v>
      </c>
      <c r="L474" s="15" t="s">
        <v>569</v>
      </c>
      <c r="M474" s="16">
        <v>219900</v>
      </c>
      <c r="N474" s="9">
        <v>0.95</v>
      </c>
      <c r="O474" s="8">
        <f t="shared" si="21"/>
        <v>10995</v>
      </c>
      <c r="P474" s="6" t="s">
        <v>15</v>
      </c>
    </row>
    <row r="475" spans="1:16" x14ac:dyDescent="0.25">
      <c r="A475" s="6" t="s">
        <v>3920</v>
      </c>
      <c r="B475" s="7">
        <f t="shared" si="22"/>
        <v>46114</v>
      </c>
      <c r="C475" s="7">
        <f t="shared" si="23"/>
        <v>46120</v>
      </c>
      <c r="D475" s="6">
        <v>3280</v>
      </c>
      <c r="E475" s="6">
        <v>337</v>
      </c>
      <c r="F475" s="6">
        <v>4</v>
      </c>
      <c r="G475" s="15">
        <v>1</v>
      </c>
      <c r="H475" s="15"/>
      <c r="I475" s="15" t="s">
        <v>1505</v>
      </c>
      <c r="J475" s="15">
        <v>24000064</v>
      </c>
      <c r="K475" s="15" t="s">
        <v>577</v>
      </c>
      <c r="L475" s="15" t="s">
        <v>570</v>
      </c>
      <c r="M475" s="16">
        <v>219900</v>
      </c>
      <c r="N475" s="9">
        <v>0.95</v>
      </c>
      <c r="O475" s="8">
        <f t="shared" si="21"/>
        <v>10995</v>
      </c>
      <c r="P475" s="6" t="s">
        <v>15</v>
      </c>
    </row>
    <row r="476" spans="1:16" x14ac:dyDescent="0.25">
      <c r="A476" s="6" t="s">
        <v>3920</v>
      </c>
      <c r="B476" s="7">
        <f t="shared" si="22"/>
        <v>46114</v>
      </c>
      <c r="C476" s="7">
        <f t="shared" si="23"/>
        <v>46120</v>
      </c>
      <c r="D476" s="6">
        <v>3280</v>
      </c>
      <c r="E476" s="6">
        <v>337</v>
      </c>
      <c r="F476" s="6">
        <v>4</v>
      </c>
      <c r="G476" s="15">
        <v>1</v>
      </c>
      <c r="H476" s="15"/>
      <c r="I476" s="15" t="s">
        <v>1505</v>
      </c>
      <c r="J476" s="15">
        <v>24000073</v>
      </c>
      <c r="K476" s="15" t="s">
        <v>577</v>
      </c>
      <c r="L476" s="15" t="s">
        <v>576</v>
      </c>
      <c r="M476" s="16">
        <v>219900</v>
      </c>
      <c r="N476" s="9">
        <v>0.95</v>
      </c>
      <c r="O476" s="8">
        <f t="shared" si="21"/>
        <v>10995</v>
      </c>
      <c r="P476" s="6" t="s">
        <v>15</v>
      </c>
    </row>
    <row r="477" spans="1:16" x14ac:dyDescent="0.25">
      <c r="A477" s="6" t="s">
        <v>3920</v>
      </c>
      <c r="B477" s="7">
        <f t="shared" si="22"/>
        <v>46114</v>
      </c>
      <c r="C477" s="7">
        <f t="shared" si="23"/>
        <v>46120</v>
      </c>
      <c r="D477" s="6">
        <v>3280</v>
      </c>
      <c r="E477" s="6">
        <v>337</v>
      </c>
      <c r="F477" s="6">
        <v>4</v>
      </c>
      <c r="G477" s="15">
        <v>1</v>
      </c>
      <c r="H477" s="15"/>
      <c r="I477" s="15" t="s">
        <v>1505</v>
      </c>
      <c r="J477" s="15">
        <v>24000082</v>
      </c>
      <c r="K477" s="15" t="s">
        <v>578</v>
      </c>
      <c r="L477" s="15" t="s">
        <v>572</v>
      </c>
      <c r="M477" s="16">
        <v>219900</v>
      </c>
      <c r="N477" s="9">
        <v>0.95</v>
      </c>
      <c r="O477" s="8">
        <f t="shared" si="21"/>
        <v>10995</v>
      </c>
      <c r="P477" s="6" t="s">
        <v>15</v>
      </c>
    </row>
    <row r="478" spans="1:16" x14ac:dyDescent="0.25">
      <c r="A478" s="6" t="s">
        <v>3920</v>
      </c>
      <c r="B478" s="7">
        <f t="shared" si="22"/>
        <v>46114</v>
      </c>
      <c r="C478" s="7">
        <f t="shared" si="23"/>
        <v>46120</v>
      </c>
      <c r="D478" s="6">
        <v>3280</v>
      </c>
      <c r="E478" s="6">
        <v>337</v>
      </c>
      <c r="F478" s="6">
        <v>4</v>
      </c>
      <c r="G478" s="15">
        <v>1</v>
      </c>
      <c r="H478" s="15"/>
      <c r="I478" s="15" t="s">
        <v>1505</v>
      </c>
      <c r="J478" s="15">
        <v>24000091</v>
      </c>
      <c r="K478" s="15" t="s">
        <v>578</v>
      </c>
      <c r="L478" s="15" t="s">
        <v>573</v>
      </c>
      <c r="M478" s="16">
        <v>219900</v>
      </c>
      <c r="N478" s="9">
        <v>0.95</v>
      </c>
      <c r="O478" s="8">
        <f t="shared" si="21"/>
        <v>10995</v>
      </c>
      <c r="P478" s="6" t="s">
        <v>15</v>
      </c>
    </row>
    <row r="479" spans="1:16" x14ac:dyDescent="0.25">
      <c r="A479" s="6" t="s">
        <v>3920</v>
      </c>
      <c r="B479" s="7">
        <f t="shared" si="22"/>
        <v>46114</v>
      </c>
      <c r="C479" s="7">
        <f t="shared" si="23"/>
        <v>46120</v>
      </c>
      <c r="D479" s="6">
        <v>3280</v>
      </c>
      <c r="E479" s="6">
        <v>337</v>
      </c>
      <c r="F479" s="6">
        <v>4</v>
      </c>
      <c r="G479" s="15">
        <v>1</v>
      </c>
      <c r="H479" s="15"/>
      <c r="I479" s="15" t="s">
        <v>1505</v>
      </c>
      <c r="J479" s="15">
        <v>24000117</v>
      </c>
      <c r="K479" s="15" t="s">
        <v>579</v>
      </c>
      <c r="L479" s="15" t="s">
        <v>580</v>
      </c>
      <c r="M479" s="16">
        <v>219900</v>
      </c>
      <c r="N479" s="9">
        <v>0.95</v>
      </c>
      <c r="O479" s="8">
        <f t="shared" si="21"/>
        <v>10995</v>
      </c>
      <c r="P479" s="6" t="s">
        <v>15</v>
      </c>
    </row>
    <row r="480" spans="1:16" x14ac:dyDescent="0.25">
      <c r="A480" s="6" t="s">
        <v>3920</v>
      </c>
      <c r="B480" s="7">
        <f t="shared" si="22"/>
        <v>46114</v>
      </c>
      <c r="C480" s="7">
        <f t="shared" si="23"/>
        <v>46120</v>
      </c>
      <c r="D480" s="6">
        <v>3280</v>
      </c>
      <c r="E480" s="6">
        <v>337</v>
      </c>
      <c r="F480" s="6">
        <v>4</v>
      </c>
      <c r="G480" s="15">
        <v>1</v>
      </c>
      <c r="H480" s="15"/>
      <c r="I480" s="15" t="s">
        <v>1505</v>
      </c>
      <c r="J480" s="15">
        <v>24000126</v>
      </c>
      <c r="K480" s="15" t="s">
        <v>579</v>
      </c>
      <c r="L480" s="15" t="s">
        <v>581</v>
      </c>
      <c r="M480" s="16">
        <v>219900</v>
      </c>
      <c r="N480" s="9">
        <v>0.95</v>
      </c>
      <c r="O480" s="8">
        <f t="shared" si="21"/>
        <v>10995</v>
      </c>
      <c r="P480" s="6" t="s">
        <v>15</v>
      </c>
    </row>
    <row r="481" spans="1:16" x14ac:dyDescent="0.25">
      <c r="A481" s="6" t="s">
        <v>3920</v>
      </c>
      <c r="B481" s="7">
        <f t="shared" si="22"/>
        <v>46114</v>
      </c>
      <c r="C481" s="7">
        <f t="shared" si="23"/>
        <v>46120</v>
      </c>
      <c r="D481" s="6">
        <v>3280</v>
      </c>
      <c r="E481" s="6">
        <v>337</v>
      </c>
      <c r="F481" s="6">
        <v>4</v>
      </c>
      <c r="G481" s="15">
        <v>1</v>
      </c>
      <c r="H481" s="15"/>
      <c r="I481" s="15" t="s">
        <v>1505</v>
      </c>
      <c r="J481" s="15">
        <v>24000135</v>
      </c>
      <c r="K481" s="15" t="s">
        <v>579</v>
      </c>
      <c r="L481" s="15" t="s">
        <v>582</v>
      </c>
      <c r="M481" s="16">
        <v>219900</v>
      </c>
      <c r="N481" s="9">
        <v>0.95</v>
      </c>
      <c r="O481" s="8">
        <f t="shared" si="21"/>
        <v>10995</v>
      </c>
      <c r="P481" s="6" t="s">
        <v>15</v>
      </c>
    </row>
    <row r="482" spans="1:16" x14ac:dyDescent="0.25">
      <c r="A482" s="6" t="s">
        <v>3920</v>
      </c>
      <c r="B482" s="7">
        <f t="shared" si="22"/>
        <v>46114</v>
      </c>
      <c r="C482" s="7">
        <f t="shared" si="23"/>
        <v>46120</v>
      </c>
      <c r="D482" s="6">
        <v>3280</v>
      </c>
      <c r="E482" s="6">
        <v>337</v>
      </c>
      <c r="F482" s="6">
        <v>4</v>
      </c>
      <c r="G482" s="15">
        <v>1</v>
      </c>
      <c r="H482" s="15"/>
      <c r="I482" s="15" t="s">
        <v>1505</v>
      </c>
      <c r="J482" s="15">
        <v>24000144</v>
      </c>
      <c r="K482" s="15" t="s">
        <v>579</v>
      </c>
      <c r="L482" s="15" t="s">
        <v>583</v>
      </c>
      <c r="M482" s="16">
        <v>229900</v>
      </c>
      <c r="N482" s="9">
        <v>0.95</v>
      </c>
      <c r="O482" s="8">
        <f t="shared" si="21"/>
        <v>11495</v>
      </c>
      <c r="P482" s="6" t="s">
        <v>15</v>
      </c>
    </row>
    <row r="483" spans="1:16" x14ac:dyDescent="0.25">
      <c r="A483" s="6" t="s">
        <v>3920</v>
      </c>
      <c r="B483" s="7">
        <f t="shared" si="22"/>
        <v>46114</v>
      </c>
      <c r="C483" s="7">
        <f t="shared" si="23"/>
        <v>46120</v>
      </c>
      <c r="D483" s="6">
        <v>3280</v>
      </c>
      <c r="E483" s="6">
        <v>337</v>
      </c>
      <c r="F483" s="6">
        <v>4</v>
      </c>
      <c r="G483" s="15">
        <v>1</v>
      </c>
      <c r="H483" s="15"/>
      <c r="I483" s="15" t="s">
        <v>1505</v>
      </c>
      <c r="J483" s="15">
        <v>24000153</v>
      </c>
      <c r="K483" s="15" t="s">
        <v>579</v>
      </c>
      <c r="L483" s="15" t="s">
        <v>584</v>
      </c>
      <c r="M483" s="16">
        <v>229900</v>
      </c>
      <c r="N483" s="9">
        <v>0.95</v>
      </c>
      <c r="O483" s="8">
        <f t="shared" si="21"/>
        <v>11495</v>
      </c>
      <c r="P483" s="6" t="s">
        <v>15</v>
      </c>
    </row>
    <row r="484" spans="1:16" x14ac:dyDescent="0.25">
      <c r="A484" s="6" t="s">
        <v>3920</v>
      </c>
      <c r="B484" s="7">
        <f t="shared" si="22"/>
        <v>46114</v>
      </c>
      <c r="C484" s="7">
        <f t="shared" si="23"/>
        <v>46120</v>
      </c>
      <c r="D484" s="6">
        <v>3280</v>
      </c>
      <c r="E484" s="6">
        <v>337</v>
      </c>
      <c r="F484" s="6">
        <v>4</v>
      </c>
      <c r="G484" s="15">
        <v>1</v>
      </c>
      <c r="H484" s="15"/>
      <c r="I484" s="15" t="s">
        <v>1505</v>
      </c>
      <c r="J484" s="15">
        <v>24000162</v>
      </c>
      <c r="K484" s="15" t="s">
        <v>579</v>
      </c>
      <c r="L484" s="15" t="s">
        <v>585</v>
      </c>
      <c r="M484" s="16">
        <v>229900</v>
      </c>
      <c r="N484" s="9">
        <v>0.95</v>
      </c>
      <c r="O484" s="8">
        <f t="shared" si="21"/>
        <v>11495</v>
      </c>
      <c r="P484" s="6" t="s">
        <v>15</v>
      </c>
    </row>
    <row r="485" spans="1:16" x14ac:dyDescent="0.25">
      <c r="A485" s="6" t="s">
        <v>3920</v>
      </c>
      <c r="B485" s="7">
        <f t="shared" si="22"/>
        <v>46114</v>
      </c>
      <c r="C485" s="7">
        <f t="shared" si="23"/>
        <v>46120</v>
      </c>
      <c r="D485" s="6">
        <v>3280</v>
      </c>
      <c r="E485" s="6">
        <v>337</v>
      </c>
      <c r="F485" s="6">
        <v>4</v>
      </c>
      <c r="G485" s="15">
        <v>1</v>
      </c>
      <c r="H485" s="15"/>
      <c r="I485" s="15" t="s">
        <v>1505</v>
      </c>
      <c r="J485" s="15">
        <v>23868399</v>
      </c>
      <c r="K485" s="15" t="s">
        <v>545</v>
      </c>
      <c r="L485" s="15" t="s">
        <v>586</v>
      </c>
      <c r="M485" s="16">
        <v>219900</v>
      </c>
      <c r="N485" s="9">
        <v>0.95</v>
      </c>
      <c r="O485" s="8">
        <f t="shared" si="21"/>
        <v>10995</v>
      </c>
      <c r="P485" s="6" t="s">
        <v>15</v>
      </c>
    </row>
    <row r="486" spans="1:16" x14ac:dyDescent="0.25">
      <c r="A486" s="6" t="s">
        <v>3920</v>
      </c>
      <c r="B486" s="7">
        <f t="shared" si="22"/>
        <v>46114</v>
      </c>
      <c r="C486" s="7">
        <f t="shared" si="23"/>
        <v>46120</v>
      </c>
      <c r="D486" s="6">
        <v>3280</v>
      </c>
      <c r="E486" s="6">
        <v>337</v>
      </c>
      <c r="F486" s="6">
        <v>4</v>
      </c>
      <c r="G486" s="15">
        <v>1</v>
      </c>
      <c r="H486" s="15"/>
      <c r="I486" s="15" t="s">
        <v>1505</v>
      </c>
      <c r="J486" s="15">
        <v>24000019</v>
      </c>
      <c r="K486" s="15" t="s">
        <v>574</v>
      </c>
      <c r="L486" s="15" t="s">
        <v>576</v>
      </c>
      <c r="M486" s="16">
        <v>219900</v>
      </c>
      <c r="N486" s="9">
        <v>0.95</v>
      </c>
      <c r="O486" s="8">
        <f t="shared" si="21"/>
        <v>10995</v>
      </c>
      <c r="P486" s="6" t="s">
        <v>15</v>
      </c>
    </row>
    <row r="487" spans="1:16" x14ac:dyDescent="0.25">
      <c r="A487" s="6" t="s">
        <v>3920</v>
      </c>
      <c r="B487" s="7">
        <f t="shared" si="22"/>
        <v>46114</v>
      </c>
      <c r="C487" s="7">
        <f t="shared" si="23"/>
        <v>46120</v>
      </c>
      <c r="D487" s="6">
        <v>3280</v>
      </c>
      <c r="E487" s="6">
        <v>337</v>
      </c>
      <c r="F487" s="6">
        <v>4</v>
      </c>
      <c r="G487" s="15">
        <v>1</v>
      </c>
      <c r="H487" s="15"/>
      <c r="I487" s="15" t="s">
        <v>1505</v>
      </c>
      <c r="J487" s="15">
        <v>23868102</v>
      </c>
      <c r="K487" s="15" t="s">
        <v>587</v>
      </c>
      <c r="L487" s="15" t="s">
        <v>588</v>
      </c>
      <c r="M487" s="16">
        <v>239900</v>
      </c>
      <c r="N487" s="9">
        <v>0.95</v>
      </c>
      <c r="O487" s="8">
        <f t="shared" si="21"/>
        <v>11995</v>
      </c>
      <c r="P487" s="6" t="s">
        <v>15</v>
      </c>
    </row>
    <row r="488" spans="1:16" x14ac:dyDescent="0.25">
      <c r="A488" s="6" t="s">
        <v>3920</v>
      </c>
      <c r="B488" s="7">
        <f t="shared" si="22"/>
        <v>46114</v>
      </c>
      <c r="C488" s="7">
        <f t="shared" si="23"/>
        <v>46120</v>
      </c>
      <c r="D488" s="6">
        <v>3280</v>
      </c>
      <c r="E488" s="6">
        <v>337</v>
      </c>
      <c r="F488" s="6">
        <v>4</v>
      </c>
      <c r="G488" s="15">
        <v>1</v>
      </c>
      <c r="H488" s="15"/>
      <c r="I488" s="15" t="s">
        <v>1505</v>
      </c>
      <c r="J488" s="15">
        <v>23681974</v>
      </c>
      <c r="K488" s="15" t="s">
        <v>589</v>
      </c>
      <c r="L488" s="15" t="s">
        <v>590</v>
      </c>
      <c r="M488" s="16">
        <v>329900</v>
      </c>
      <c r="N488" s="9">
        <v>0.95</v>
      </c>
      <c r="O488" s="8">
        <f t="shared" si="21"/>
        <v>16495</v>
      </c>
      <c r="P488" s="6" t="s">
        <v>15</v>
      </c>
    </row>
    <row r="489" spans="1:16" x14ac:dyDescent="0.25">
      <c r="A489" s="6" t="s">
        <v>3920</v>
      </c>
      <c r="B489" s="7">
        <f t="shared" si="22"/>
        <v>46114</v>
      </c>
      <c r="C489" s="7">
        <f t="shared" si="23"/>
        <v>46120</v>
      </c>
      <c r="D489" s="6">
        <v>3280</v>
      </c>
      <c r="E489" s="6">
        <v>337</v>
      </c>
      <c r="F489" s="6">
        <v>4</v>
      </c>
      <c r="G489" s="15">
        <v>1</v>
      </c>
      <c r="H489" s="15"/>
      <c r="I489" s="15" t="s">
        <v>1505</v>
      </c>
      <c r="J489" s="15">
        <v>23841416</v>
      </c>
      <c r="K489" s="15" t="s">
        <v>543</v>
      </c>
      <c r="L489" s="15" t="s">
        <v>591</v>
      </c>
      <c r="M489" s="16">
        <v>209900</v>
      </c>
      <c r="N489" s="9">
        <v>0.95</v>
      </c>
      <c r="O489" s="8">
        <f t="shared" si="21"/>
        <v>10495</v>
      </c>
      <c r="P489" s="6" t="s">
        <v>15</v>
      </c>
    </row>
    <row r="490" spans="1:16" x14ac:dyDescent="0.25">
      <c r="A490" s="6" t="s">
        <v>3920</v>
      </c>
      <c r="B490" s="7">
        <f t="shared" si="22"/>
        <v>46114</v>
      </c>
      <c r="C490" s="7">
        <f t="shared" si="23"/>
        <v>46120</v>
      </c>
      <c r="D490" s="6">
        <v>3280</v>
      </c>
      <c r="E490" s="6">
        <v>337</v>
      </c>
      <c r="F490" s="6">
        <v>4</v>
      </c>
      <c r="G490" s="15">
        <v>1</v>
      </c>
      <c r="H490" s="15"/>
      <c r="I490" s="15" t="s">
        <v>1505</v>
      </c>
      <c r="J490" s="15">
        <v>23868111</v>
      </c>
      <c r="K490" s="15" t="s">
        <v>587</v>
      </c>
      <c r="L490" s="15" t="s">
        <v>592</v>
      </c>
      <c r="M490" s="16">
        <v>239900</v>
      </c>
      <c r="N490" s="9">
        <v>0.95</v>
      </c>
      <c r="O490" s="8">
        <f t="shared" si="21"/>
        <v>11995</v>
      </c>
      <c r="P490" s="6" t="s">
        <v>15</v>
      </c>
    </row>
    <row r="491" spans="1:16" x14ac:dyDescent="0.25">
      <c r="A491" s="6" t="s">
        <v>3920</v>
      </c>
      <c r="B491" s="7">
        <f t="shared" si="22"/>
        <v>46114</v>
      </c>
      <c r="C491" s="7">
        <f t="shared" si="23"/>
        <v>46120</v>
      </c>
      <c r="D491" s="6">
        <v>3280</v>
      </c>
      <c r="E491" s="6">
        <v>337</v>
      </c>
      <c r="F491" s="6">
        <v>4</v>
      </c>
      <c r="G491" s="15">
        <v>1</v>
      </c>
      <c r="H491" s="15"/>
      <c r="I491" s="15" t="s">
        <v>1505</v>
      </c>
      <c r="J491" s="15">
        <v>23681956</v>
      </c>
      <c r="K491" s="15" t="s">
        <v>547</v>
      </c>
      <c r="L491" s="15" t="s">
        <v>593</v>
      </c>
      <c r="M491" s="16">
        <v>299900</v>
      </c>
      <c r="N491" s="9">
        <v>0.95</v>
      </c>
      <c r="O491" s="8">
        <f t="shared" si="21"/>
        <v>14995</v>
      </c>
      <c r="P491" s="6" t="s">
        <v>15</v>
      </c>
    </row>
    <row r="492" spans="1:16" x14ac:dyDescent="0.25">
      <c r="A492" s="6" t="s">
        <v>3920</v>
      </c>
      <c r="B492" s="7">
        <f t="shared" si="22"/>
        <v>46114</v>
      </c>
      <c r="C492" s="7">
        <f t="shared" si="23"/>
        <v>46120</v>
      </c>
      <c r="D492" s="6">
        <v>3280</v>
      </c>
      <c r="E492" s="6">
        <v>337</v>
      </c>
      <c r="F492" s="6">
        <v>4</v>
      </c>
      <c r="G492" s="15">
        <v>1</v>
      </c>
      <c r="H492" s="15"/>
      <c r="I492" s="15" t="s">
        <v>1505</v>
      </c>
      <c r="J492" s="15">
        <v>23681947</v>
      </c>
      <c r="K492" s="15" t="s">
        <v>547</v>
      </c>
      <c r="L492" s="15" t="s">
        <v>594</v>
      </c>
      <c r="M492" s="16">
        <v>299900</v>
      </c>
      <c r="N492" s="9">
        <v>0.95</v>
      </c>
      <c r="O492" s="8">
        <f t="shared" si="21"/>
        <v>14995</v>
      </c>
      <c r="P492" s="6" t="s">
        <v>15</v>
      </c>
    </row>
    <row r="493" spans="1:16" x14ac:dyDescent="0.25">
      <c r="A493" s="6" t="s">
        <v>3920</v>
      </c>
      <c r="B493" s="7">
        <f t="shared" si="22"/>
        <v>46114</v>
      </c>
      <c r="C493" s="7">
        <f t="shared" si="23"/>
        <v>46120</v>
      </c>
      <c r="D493" s="6">
        <v>3280</v>
      </c>
      <c r="E493" s="6">
        <v>337</v>
      </c>
      <c r="F493" s="6">
        <v>4</v>
      </c>
      <c r="G493" s="15">
        <v>1</v>
      </c>
      <c r="H493" s="15"/>
      <c r="I493" s="15" t="s">
        <v>1505</v>
      </c>
      <c r="J493" s="15">
        <v>23862699</v>
      </c>
      <c r="K493" s="15" t="s">
        <v>556</v>
      </c>
      <c r="L493" s="15" t="s">
        <v>595</v>
      </c>
      <c r="M493" s="16">
        <v>219900</v>
      </c>
      <c r="N493" s="9">
        <v>0.95</v>
      </c>
      <c r="O493" s="8">
        <f t="shared" si="21"/>
        <v>10995</v>
      </c>
      <c r="P493" s="6" t="s">
        <v>15</v>
      </c>
    </row>
    <row r="494" spans="1:16" x14ac:dyDescent="0.25">
      <c r="A494" s="6" t="s">
        <v>3920</v>
      </c>
      <c r="B494" s="7">
        <f t="shared" si="22"/>
        <v>46114</v>
      </c>
      <c r="C494" s="7">
        <f t="shared" si="23"/>
        <v>46120</v>
      </c>
      <c r="D494" s="6">
        <v>3280</v>
      </c>
      <c r="E494" s="6">
        <v>337</v>
      </c>
      <c r="F494" s="6">
        <v>4</v>
      </c>
      <c r="G494" s="15">
        <v>1</v>
      </c>
      <c r="H494" s="15"/>
      <c r="I494" s="15" t="s">
        <v>1505</v>
      </c>
      <c r="J494" s="15">
        <v>23868086</v>
      </c>
      <c r="K494" s="15" t="s">
        <v>587</v>
      </c>
      <c r="L494" s="15" t="s">
        <v>596</v>
      </c>
      <c r="M494" s="16">
        <v>229900</v>
      </c>
      <c r="N494" s="9">
        <v>0.95</v>
      </c>
      <c r="O494" s="8">
        <f t="shared" si="21"/>
        <v>11495</v>
      </c>
      <c r="P494" s="6" t="s">
        <v>15</v>
      </c>
    </row>
    <row r="495" spans="1:16" x14ac:dyDescent="0.25">
      <c r="A495" s="6" t="s">
        <v>3920</v>
      </c>
      <c r="B495" s="7">
        <f t="shared" si="22"/>
        <v>46114</v>
      </c>
      <c r="C495" s="7">
        <f t="shared" si="23"/>
        <v>46120</v>
      </c>
      <c r="D495" s="6">
        <v>3280</v>
      </c>
      <c r="E495" s="6">
        <v>337</v>
      </c>
      <c r="F495" s="6">
        <v>4</v>
      </c>
      <c r="G495" s="15">
        <v>1</v>
      </c>
      <c r="H495" s="15"/>
      <c r="I495" s="15" t="s">
        <v>1505</v>
      </c>
      <c r="J495" s="15">
        <v>23841434</v>
      </c>
      <c r="K495" s="15" t="s">
        <v>543</v>
      </c>
      <c r="L495" s="15" t="s">
        <v>597</v>
      </c>
      <c r="M495" s="16">
        <v>219900</v>
      </c>
      <c r="N495" s="9">
        <v>0.95</v>
      </c>
      <c r="O495" s="8">
        <f t="shared" si="21"/>
        <v>10995</v>
      </c>
      <c r="P495" s="6" t="s">
        <v>15</v>
      </c>
    </row>
    <row r="496" spans="1:16" x14ac:dyDescent="0.25">
      <c r="A496" s="6" t="s">
        <v>3920</v>
      </c>
      <c r="B496" s="7">
        <f t="shared" si="22"/>
        <v>46114</v>
      </c>
      <c r="C496" s="7">
        <f t="shared" si="23"/>
        <v>46120</v>
      </c>
      <c r="D496" s="6">
        <v>3280</v>
      </c>
      <c r="E496" s="6">
        <v>337</v>
      </c>
      <c r="F496" s="6">
        <v>4</v>
      </c>
      <c r="G496" s="15">
        <v>1</v>
      </c>
      <c r="H496" s="15"/>
      <c r="I496" s="15" t="s">
        <v>1505</v>
      </c>
      <c r="J496" s="15">
        <v>23862662</v>
      </c>
      <c r="K496" s="15" t="s">
        <v>556</v>
      </c>
      <c r="L496" s="15" t="s">
        <v>598</v>
      </c>
      <c r="M496" s="16">
        <v>209900</v>
      </c>
      <c r="N496" s="9">
        <v>0.95</v>
      </c>
      <c r="O496" s="8">
        <f t="shared" si="21"/>
        <v>10495</v>
      </c>
      <c r="P496" s="6" t="s">
        <v>15</v>
      </c>
    </row>
    <row r="497" spans="1:16" x14ac:dyDescent="0.25">
      <c r="A497" s="6" t="s">
        <v>3920</v>
      </c>
      <c r="B497" s="7">
        <f t="shared" si="22"/>
        <v>46114</v>
      </c>
      <c r="C497" s="7">
        <f t="shared" si="23"/>
        <v>46120</v>
      </c>
      <c r="D497" s="6">
        <v>3280</v>
      </c>
      <c r="E497" s="6">
        <v>337</v>
      </c>
      <c r="F497" s="6">
        <v>4</v>
      </c>
      <c r="G497" s="15">
        <v>1</v>
      </c>
      <c r="H497" s="15"/>
      <c r="I497" s="15" t="s">
        <v>1505</v>
      </c>
      <c r="J497" s="15">
        <v>23682008</v>
      </c>
      <c r="K497" s="15" t="s">
        <v>589</v>
      </c>
      <c r="L497" s="15" t="s">
        <v>599</v>
      </c>
      <c r="M497" s="16">
        <v>329900</v>
      </c>
      <c r="N497" s="9">
        <v>0.95</v>
      </c>
      <c r="O497" s="8">
        <f t="shared" si="21"/>
        <v>16495</v>
      </c>
      <c r="P497" s="6" t="s">
        <v>15</v>
      </c>
    </row>
    <row r="498" spans="1:16" x14ac:dyDescent="0.25">
      <c r="A498" s="6" t="s">
        <v>3920</v>
      </c>
      <c r="B498" s="7">
        <f t="shared" si="22"/>
        <v>46114</v>
      </c>
      <c r="C498" s="7">
        <f t="shared" si="23"/>
        <v>46120</v>
      </c>
      <c r="D498" s="6">
        <v>3280</v>
      </c>
      <c r="E498" s="6">
        <v>337</v>
      </c>
      <c r="F498" s="6">
        <v>4</v>
      </c>
      <c r="G498" s="15">
        <v>1</v>
      </c>
      <c r="H498" s="15"/>
      <c r="I498" s="15" t="s">
        <v>1505</v>
      </c>
      <c r="J498" s="15">
        <v>23868095</v>
      </c>
      <c r="K498" s="15" t="s">
        <v>587</v>
      </c>
      <c r="L498" s="15" t="s">
        <v>600</v>
      </c>
      <c r="M498" s="16">
        <v>229900</v>
      </c>
      <c r="N498" s="9">
        <v>0.95</v>
      </c>
      <c r="O498" s="8">
        <f t="shared" si="21"/>
        <v>11495</v>
      </c>
      <c r="P498" s="6" t="s">
        <v>15</v>
      </c>
    </row>
    <row r="499" spans="1:16" x14ac:dyDescent="0.25">
      <c r="A499" s="6" t="s">
        <v>3920</v>
      </c>
      <c r="B499" s="7">
        <f t="shared" si="22"/>
        <v>46114</v>
      </c>
      <c r="C499" s="7">
        <f t="shared" si="23"/>
        <v>46120</v>
      </c>
      <c r="D499" s="6">
        <v>3280</v>
      </c>
      <c r="E499" s="6">
        <v>337</v>
      </c>
      <c r="F499" s="6">
        <v>4</v>
      </c>
      <c r="G499" s="15">
        <v>1</v>
      </c>
      <c r="H499" s="15"/>
      <c r="I499" s="15" t="s">
        <v>1505</v>
      </c>
      <c r="J499" s="15">
        <v>23868344</v>
      </c>
      <c r="K499" s="15" t="s">
        <v>545</v>
      </c>
      <c r="L499" s="15" t="s">
        <v>601</v>
      </c>
      <c r="M499" s="16">
        <v>209900</v>
      </c>
      <c r="N499" s="9">
        <v>0.95</v>
      </c>
      <c r="O499" s="8">
        <f t="shared" si="21"/>
        <v>10495</v>
      </c>
      <c r="P499" s="6" t="s">
        <v>15</v>
      </c>
    </row>
    <row r="500" spans="1:16" x14ac:dyDescent="0.25">
      <c r="A500" s="6" t="s">
        <v>3920</v>
      </c>
      <c r="B500" s="7">
        <f t="shared" si="22"/>
        <v>46114</v>
      </c>
      <c r="C500" s="7">
        <f t="shared" si="23"/>
        <v>46120</v>
      </c>
      <c r="D500" s="6">
        <v>3280</v>
      </c>
      <c r="E500" s="6">
        <v>337</v>
      </c>
      <c r="F500" s="6">
        <v>4</v>
      </c>
      <c r="G500" s="15">
        <v>1</v>
      </c>
      <c r="H500" s="15"/>
      <c r="I500" s="15" t="s">
        <v>1505</v>
      </c>
      <c r="J500" s="15">
        <v>23862671</v>
      </c>
      <c r="K500" s="15" t="s">
        <v>556</v>
      </c>
      <c r="L500" s="15" t="s">
        <v>602</v>
      </c>
      <c r="M500" s="16">
        <v>209900</v>
      </c>
      <c r="N500" s="9">
        <v>0.95</v>
      </c>
      <c r="O500" s="8">
        <f t="shared" si="21"/>
        <v>10495</v>
      </c>
      <c r="P500" s="6" t="s">
        <v>15</v>
      </c>
    </row>
    <row r="501" spans="1:16" x14ac:dyDescent="0.25">
      <c r="A501" s="6" t="s">
        <v>3920</v>
      </c>
      <c r="B501" s="7">
        <f t="shared" si="22"/>
        <v>46114</v>
      </c>
      <c r="C501" s="7">
        <f t="shared" si="23"/>
        <v>46120</v>
      </c>
      <c r="D501" s="6">
        <v>3280</v>
      </c>
      <c r="E501" s="6">
        <v>337</v>
      </c>
      <c r="F501" s="6">
        <v>4</v>
      </c>
      <c r="G501" s="15">
        <v>1</v>
      </c>
      <c r="H501" s="15"/>
      <c r="I501" s="15" t="s">
        <v>1505</v>
      </c>
      <c r="J501" s="15">
        <v>23681992</v>
      </c>
      <c r="K501" s="15" t="s">
        <v>589</v>
      </c>
      <c r="L501" s="15" t="s">
        <v>603</v>
      </c>
      <c r="M501" s="16">
        <v>329900</v>
      </c>
      <c r="N501" s="9">
        <v>0.95</v>
      </c>
      <c r="O501" s="8">
        <f t="shared" si="21"/>
        <v>16495</v>
      </c>
      <c r="P501" s="6" t="s">
        <v>15</v>
      </c>
    </row>
    <row r="502" spans="1:16" x14ac:dyDescent="0.25">
      <c r="A502" s="6" t="s">
        <v>3920</v>
      </c>
      <c r="B502" s="7">
        <f t="shared" si="22"/>
        <v>46114</v>
      </c>
      <c r="C502" s="7">
        <f t="shared" si="23"/>
        <v>46120</v>
      </c>
      <c r="D502" s="6">
        <v>3280</v>
      </c>
      <c r="E502" s="6">
        <v>337</v>
      </c>
      <c r="F502" s="6">
        <v>4</v>
      </c>
      <c r="G502" s="15">
        <v>1</v>
      </c>
      <c r="H502" s="15"/>
      <c r="I502" s="15" t="s">
        <v>1505</v>
      </c>
      <c r="J502" s="15">
        <v>23841425</v>
      </c>
      <c r="K502" s="15" t="s">
        <v>543</v>
      </c>
      <c r="L502" s="15" t="s">
        <v>604</v>
      </c>
      <c r="M502" s="16">
        <v>209900</v>
      </c>
      <c r="N502" s="9">
        <v>0.95</v>
      </c>
      <c r="O502" s="8">
        <f t="shared" si="21"/>
        <v>10495</v>
      </c>
      <c r="P502" s="6" t="s">
        <v>15</v>
      </c>
    </row>
    <row r="503" spans="1:16" x14ac:dyDescent="0.25">
      <c r="A503" s="6" t="s">
        <v>3920</v>
      </c>
      <c r="B503" s="7">
        <f t="shared" si="22"/>
        <v>46114</v>
      </c>
      <c r="C503" s="7">
        <f t="shared" si="23"/>
        <v>46120</v>
      </c>
      <c r="D503" s="6">
        <v>3280</v>
      </c>
      <c r="E503" s="6">
        <v>337</v>
      </c>
      <c r="F503" s="6">
        <v>4</v>
      </c>
      <c r="G503" s="15">
        <v>1</v>
      </c>
      <c r="H503" s="15"/>
      <c r="I503" s="15" t="s">
        <v>1505</v>
      </c>
      <c r="J503" s="15">
        <v>23862680</v>
      </c>
      <c r="K503" s="15" t="s">
        <v>556</v>
      </c>
      <c r="L503" s="15" t="s">
        <v>605</v>
      </c>
      <c r="M503" s="16">
        <v>219900</v>
      </c>
      <c r="N503" s="9">
        <v>0.95</v>
      </c>
      <c r="O503" s="8">
        <f t="shared" si="21"/>
        <v>10995</v>
      </c>
      <c r="P503" s="6" t="s">
        <v>15</v>
      </c>
    </row>
    <row r="504" spans="1:16" x14ac:dyDescent="0.25">
      <c r="A504" s="6" t="s">
        <v>3920</v>
      </c>
      <c r="B504" s="7">
        <f t="shared" si="22"/>
        <v>46114</v>
      </c>
      <c r="C504" s="7">
        <f t="shared" si="23"/>
        <v>46120</v>
      </c>
      <c r="D504" s="6">
        <v>3280</v>
      </c>
      <c r="E504" s="6">
        <v>337</v>
      </c>
      <c r="F504" s="6">
        <v>4</v>
      </c>
      <c r="G504" s="15">
        <v>1</v>
      </c>
      <c r="H504" s="15"/>
      <c r="I504" s="15" t="s">
        <v>1505</v>
      </c>
      <c r="J504" s="15">
        <v>23681983</v>
      </c>
      <c r="K504" s="15" t="s">
        <v>589</v>
      </c>
      <c r="L504" s="15" t="s">
        <v>606</v>
      </c>
      <c r="M504" s="16">
        <v>329900</v>
      </c>
      <c r="N504" s="9">
        <v>0.95</v>
      </c>
      <c r="O504" s="8">
        <f t="shared" si="21"/>
        <v>16495</v>
      </c>
      <c r="P504" s="6" t="s">
        <v>15</v>
      </c>
    </row>
    <row r="505" spans="1:16" x14ac:dyDescent="0.25">
      <c r="A505" s="6" t="s">
        <v>3920</v>
      </c>
      <c r="B505" s="7">
        <f t="shared" si="22"/>
        <v>46114</v>
      </c>
      <c r="C505" s="7">
        <f t="shared" si="23"/>
        <v>46120</v>
      </c>
      <c r="D505" s="6">
        <v>3280</v>
      </c>
      <c r="E505" s="6">
        <v>337</v>
      </c>
      <c r="F505" s="6">
        <v>4</v>
      </c>
      <c r="G505" s="15">
        <v>1</v>
      </c>
      <c r="H505" s="15"/>
      <c r="I505" s="15" t="s">
        <v>1505</v>
      </c>
      <c r="J505" s="15">
        <v>23862653</v>
      </c>
      <c r="K505" s="15" t="s">
        <v>556</v>
      </c>
      <c r="L505" s="15" t="s">
        <v>607</v>
      </c>
      <c r="M505" s="16">
        <v>209900</v>
      </c>
      <c r="N505" s="9">
        <v>0.95</v>
      </c>
      <c r="O505" s="8">
        <f t="shared" si="21"/>
        <v>10495</v>
      </c>
      <c r="P505" s="6" t="s">
        <v>15</v>
      </c>
    </row>
    <row r="506" spans="1:16" x14ac:dyDescent="0.25">
      <c r="A506" s="6" t="s">
        <v>3920</v>
      </c>
      <c r="B506" s="7">
        <f t="shared" si="22"/>
        <v>46114</v>
      </c>
      <c r="C506" s="7">
        <f t="shared" si="23"/>
        <v>46120</v>
      </c>
      <c r="D506" s="6">
        <v>3280</v>
      </c>
      <c r="E506" s="6">
        <v>337</v>
      </c>
      <c r="F506" s="6">
        <v>4</v>
      </c>
      <c r="G506" s="15">
        <v>1</v>
      </c>
      <c r="H506" s="15"/>
      <c r="I506" s="15" t="s">
        <v>1505</v>
      </c>
      <c r="J506" s="15">
        <v>23841407</v>
      </c>
      <c r="K506" s="15" t="s">
        <v>543</v>
      </c>
      <c r="L506" s="15" t="s">
        <v>608</v>
      </c>
      <c r="M506" s="16">
        <v>209900</v>
      </c>
      <c r="N506" s="9">
        <v>0.95</v>
      </c>
      <c r="O506" s="8">
        <f t="shared" si="21"/>
        <v>10495</v>
      </c>
      <c r="P506" s="6" t="s">
        <v>15</v>
      </c>
    </row>
    <row r="507" spans="1:16" x14ac:dyDescent="0.25">
      <c r="A507" s="6" t="s">
        <v>3920</v>
      </c>
      <c r="B507" s="7">
        <f t="shared" si="22"/>
        <v>46114</v>
      </c>
      <c r="C507" s="7">
        <f t="shared" si="23"/>
        <v>46120</v>
      </c>
      <c r="D507" s="6">
        <v>3280</v>
      </c>
      <c r="E507" s="6">
        <v>337</v>
      </c>
      <c r="F507" s="6">
        <v>4</v>
      </c>
      <c r="G507" s="15">
        <v>1</v>
      </c>
      <c r="H507" s="15"/>
      <c r="I507" s="15" t="s">
        <v>1505</v>
      </c>
      <c r="J507" s="15">
        <v>23868120</v>
      </c>
      <c r="K507" s="15" t="s">
        <v>587</v>
      </c>
      <c r="L507" s="15" t="s">
        <v>609</v>
      </c>
      <c r="M507" s="16">
        <v>239900</v>
      </c>
      <c r="N507" s="9">
        <v>0.95</v>
      </c>
      <c r="O507" s="8">
        <f t="shared" si="21"/>
        <v>11995</v>
      </c>
      <c r="P507" s="6" t="s">
        <v>15</v>
      </c>
    </row>
    <row r="508" spans="1:16" x14ac:dyDescent="0.25">
      <c r="A508" s="6" t="s">
        <v>3920</v>
      </c>
      <c r="B508" s="7">
        <f t="shared" si="22"/>
        <v>46114</v>
      </c>
      <c r="C508" s="7">
        <f t="shared" si="23"/>
        <v>46120</v>
      </c>
      <c r="D508" s="6">
        <v>3280</v>
      </c>
      <c r="E508" s="6">
        <v>337</v>
      </c>
      <c r="F508" s="6">
        <v>4</v>
      </c>
      <c r="G508" s="15">
        <v>1</v>
      </c>
      <c r="H508" s="15"/>
      <c r="I508" s="15" t="s">
        <v>1505</v>
      </c>
      <c r="J508" s="15">
        <v>23681965</v>
      </c>
      <c r="K508" s="15" t="s">
        <v>547</v>
      </c>
      <c r="L508" s="15" t="s">
        <v>610</v>
      </c>
      <c r="M508" s="16">
        <v>299900</v>
      </c>
      <c r="N508" s="9">
        <v>0.95</v>
      </c>
      <c r="O508" s="8">
        <f t="shared" si="21"/>
        <v>14995</v>
      </c>
      <c r="P508" s="6" t="s">
        <v>15</v>
      </c>
    </row>
    <row r="509" spans="1:16" x14ac:dyDescent="0.25">
      <c r="A509" s="6" t="s">
        <v>3920</v>
      </c>
      <c r="B509" s="7">
        <f t="shared" si="22"/>
        <v>46114</v>
      </c>
      <c r="C509" s="7">
        <f t="shared" si="23"/>
        <v>46120</v>
      </c>
      <c r="D509" s="6">
        <v>3280</v>
      </c>
      <c r="E509" s="6">
        <v>337</v>
      </c>
      <c r="F509" s="6">
        <v>4</v>
      </c>
      <c r="G509" s="15">
        <v>1</v>
      </c>
      <c r="H509" s="15"/>
      <c r="I509" s="15" t="s">
        <v>1505</v>
      </c>
      <c r="J509" s="15">
        <v>23868077</v>
      </c>
      <c r="K509" s="15" t="s">
        <v>587</v>
      </c>
      <c r="L509" s="15" t="s">
        <v>611</v>
      </c>
      <c r="M509" s="16">
        <v>229900</v>
      </c>
      <c r="N509" s="9">
        <v>0.95</v>
      </c>
      <c r="O509" s="8">
        <f t="shared" si="21"/>
        <v>11495</v>
      </c>
      <c r="P509" s="6" t="s">
        <v>15</v>
      </c>
    </row>
    <row r="510" spans="1:16" x14ac:dyDescent="0.25">
      <c r="A510" s="6" t="s">
        <v>3920</v>
      </c>
      <c r="B510" s="7">
        <f t="shared" si="22"/>
        <v>46114</v>
      </c>
      <c r="C510" s="7">
        <f t="shared" si="23"/>
        <v>46120</v>
      </c>
      <c r="D510" s="6">
        <v>3280</v>
      </c>
      <c r="E510" s="6">
        <v>337</v>
      </c>
      <c r="F510" s="6">
        <v>4</v>
      </c>
      <c r="G510" s="15">
        <v>1</v>
      </c>
      <c r="H510" s="15"/>
      <c r="I510" s="15" t="s">
        <v>1505</v>
      </c>
      <c r="J510" s="15">
        <v>23841443</v>
      </c>
      <c r="K510" s="15" t="s">
        <v>543</v>
      </c>
      <c r="L510" s="15" t="s">
        <v>612</v>
      </c>
      <c r="M510" s="16">
        <v>219900</v>
      </c>
      <c r="N510" s="9">
        <v>0.95</v>
      </c>
      <c r="O510" s="8">
        <f t="shared" si="21"/>
        <v>10995</v>
      </c>
      <c r="P510" s="6" t="s">
        <v>15</v>
      </c>
    </row>
    <row r="511" spans="1:16" x14ac:dyDescent="0.25">
      <c r="A511" s="6" t="s">
        <v>3920</v>
      </c>
      <c r="B511" s="7">
        <f t="shared" si="22"/>
        <v>46114</v>
      </c>
      <c r="C511" s="7">
        <f t="shared" si="23"/>
        <v>46120</v>
      </c>
      <c r="D511" s="6">
        <v>3280</v>
      </c>
      <c r="E511" s="6">
        <v>337</v>
      </c>
      <c r="F511" s="6">
        <v>4</v>
      </c>
      <c r="G511" s="15">
        <v>1</v>
      </c>
      <c r="H511" s="15"/>
      <c r="I511" s="15" t="s">
        <v>1505</v>
      </c>
      <c r="J511" s="15">
        <v>24000108</v>
      </c>
      <c r="K511" s="15" t="s">
        <v>578</v>
      </c>
      <c r="L511" s="15" t="s">
        <v>613</v>
      </c>
      <c r="M511" s="16">
        <v>219900</v>
      </c>
      <c r="N511" s="9">
        <v>0.95</v>
      </c>
      <c r="O511" s="8">
        <f t="shared" si="21"/>
        <v>10995</v>
      </c>
      <c r="P511" s="6" t="s">
        <v>15</v>
      </c>
    </row>
    <row r="512" spans="1:16" x14ac:dyDescent="0.25">
      <c r="A512" s="6" t="s">
        <v>3920</v>
      </c>
      <c r="B512" s="7">
        <f t="shared" si="22"/>
        <v>46114</v>
      </c>
      <c r="C512" s="7">
        <f t="shared" si="23"/>
        <v>46120</v>
      </c>
      <c r="D512" s="6">
        <v>3280</v>
      </c>
      <c r="E512" s="6">
        <v>337</v>
      </c>
      <c r="F512" s="6">
        <v>4</v>
      </c>
      <c r="G512" s="15">
        <v>1</v>
      </c>
      <c r="H512" s="15"/>
      <c r="I512" s="15" t="s">
        <v>1505</v>
      </c>
      <c r="J512" s="15">
        <v>24000028</v>
      </c>
      <c r="K512" s="15" t="s">
        <v>575</v>
      </c>
      <c r="L512" s="15" t="s">
        <v>569</v>
      </c>
      <c r="M512" s="16">
        <v>219900</v>
      </c>
      <c r="N512" s="9">
        <v>0.95</v>
      </c>
      <c r="O512" s="8">
        <f t="shared" si="21"/>
        <v>10995</v>
      </c>
      <c r="P512" s="6" t="s">
        <v>15</v>
      </c>
    </row>
    <row r="513" spans="1:16" x14ac:dyDescent="0.25">
      <c r="A513" s="6" t="s">
        <v>3920</v>
      </c>
      <c r="B513" s="7">
        <f t="shared" si="22"/>
        <v>46114</v>
      </c>
      <c r="C513" s="7">
        <f t="shared" si="23"/>
        <v>46120</v>
      </c>
      <c r="D513" s="6">
        <v>3280</v>
      </c>
      <c r="E513" s="6">
        <v>337</v>
      </c>
      <c r="F513" s="6">
        <v>4</v>
      </c>
      <c r="G513" s="15">
        <v>1</v>
      </c>
      <c r="H513" s="15"/>
      <c r="I513" s="15" t="s">
        <v>1505</v>
      </c>
      <c r="J513" s="15">
        <v>23998472</v>
      </c>
      <c r="K513" s="15" t="s">
        <v>571</v>
      </c>
      <c r="L513" s="15" t="s">
        <v>613</v>
      </c>
      <c r="M513" s="16">
        <v>219900</v>
      </c>
      <c r="N513" s="9">
        <v>0.95</v>
      </c>
      <c r="O513" s="8">
        <f t="shared" si="21"/>
        <v>10995</v>
      </c>
      <c r="P513" s="6" t="s">
        <v>15</v>
      </c>
    </row>
    <row r="514" spans="1:16" x14ac:dyDescent="0.25">
      <c r="A514" s="6" t="s">
        <v>3920</v>
      </c>
      <c r="B514" s="7">
        <f t="shared" si="22"/>
        <v>46114</v>
      </c>
      <c r="C514" s="7">
        <f t="shared" si="23"/>
        <v>46120</v>
      </c>
      <c r="D514" s="6">
        <v>3280</v>
      </c>
      <c r="E514" s="6">
        <v>337</v>
      </c>
      <c r="F514" s="6">
        <v>4</v>
      </c>
      <c r="G514" s="15">
        <v>1</v>
      </c>
      <c r="H514" s="15"/>
      <c r="I514" s="15" t="s">
        <v>1505</v>
      </c>
      <c r="J514" s="15">
        <v>23998392</v>
      </c>
      <c r="K514" s="15" t="s">
        <v>568</v>
      </c>
      <c r="L514" s="15" t="s">
        <v>576</v>
      </c>
      <c r="M514" s="16">
        <v>219900</v>
      </c>
      <c r="N514" s="9">
        <v>0.95</v>
      </c>
      <c r="O514" s="8">
        <f t="shared" ref="O514:O577" si="24">M514-((95*M514)/100)</f>
        <v>10995</v>
      </c>
      <c r="P514" s="6" t="s">
        <v>15</v>
      </c>
    </row>
    <row r="515" spans="1:16" x14ac:dyDescent="0.25">
      <c r="A515" s="6" t="s">
        <v>3920</v>
      </c>
      <c r="B515" s="7">
        <f t="shared" si="22"/>
        <v>46114</v>
      </c>
      <c r="C515" s="7">
        <f t="shared" si="23"/>
        <v>46120</v>
      </c>
      <c r="D515" s="6">
        <v>3280</v>
      </c>
      <c r="E515" s="6">
        <v>337</v>
      </c>
      <c r="F515" s="6">
        <v>4</v>
      </c>
      <c r="G515" s="15">
        <v>1</v>
      </c>
      <c r="H515" s="15"/>
      <c r="I515" s="15" t="s">
        <v>1505</v>
      </c>
      <c r="J515" s="15">
        <v>23968816</v>
      </c>
      <c r="K515" s="15" t="s">
        <v>614</v>
      </c>
      <c r="L515" s="15" t="s">
        <v>615</v>
      </c>
      <c r="M515" s="16">
        <v>209900</v>
      </c>
      <c r="N515" s="9">
        <v>0.95</v>
      </c>
      <c r="O515" s="8">
        <f t="shared" si="24"/>
        <v>10495</v>
      </c>
      <c r="P515" s="6" t="s">
        <v>15</v>
      </c>
    </row>
    <row r="516" spans="1:16" x14ac:dyDescent="0.25">
      <c r="A516" s="6" t="s">
        <v>3920</v>
      </c>
      <c r="B516" s="7">
        <f t="shared" ref="B516:B579" si="25">B515</f>
        <v>46114</v>
      </c>
      <c r="C516" s="7">
        <f t="shared" ref="C516:C579" si="26">C515</f>
        <v>46120</v>
      </c>
      <c r="D516" s="6">
        <v>3280</v>
      </c>
      <c r="E516" s="6">
        <v>337</v>
      </c>
      <c r="F516" s="6">
        <v>4</v>
      </c>
      <c r="G516" s="15">
        <v>1</v>
      </c>
      <c r="H516" s="15"/>
      <c r="I516" s="15" t="s">
        <v>1505</v>
      </c>
      <c r="J516" s="15">
        <v>23968496</v>
      </c>
      <c r="K516" s="15" t="s">
        <v>616</v>
      </c>
      <c r="L516" s="15" t="s">
        <v>617</v>
      </c>
      <c r="M516" s="16">
        <v>209900</v>
      </c>
      <c r="N516" s="9">
        <v>0.95</v>
      </c>
      <c r="O516" s="8">
        <f t="shared" si="24"/>
        <v>10495</v>
      </c>
      <c r="P516" s="6" t="s">
        <v>15</v>
      </c>
    </row>
    <row r="517" spans="1:16" x14ac:dyDescent="0.25">
      <c r="A517" s="6" t="s">
        <v>3920</v>
      </c>
      <c r="B517" s="7">
        <f t="shared" si="25"/>
        <v>46114</v>
      </c>
      <c r="C517" s="7">
        <f t="shared" si="26"/>
        <v>46120</v>
      </c>
      <c r="D517" s="6">
        <v>3280</v>
      </c>
      <c r="E517" s="6">
        <v>337</v>
      </c>
      <c r="F517" s="6">
        <v>4</v>
      </c>
      <c r="G517" s="15">
        <v>1</v>
      </c>
      <c r="H517" s="15"/>
      <c r="I517" s="15" t="s">
        <v>1505</v>
      </c>
      <c r="J517" s="15">
        <v>23968576</v>
      </c>
      <c r="K517" s="15" t="s">
        <v>618</v>
      </c>
      <c r="L517" s="15" t="s">
        <v>619</v>
      </c>
      <c r="M517" s="16">
        <v>199900</v>
      </c>
      <c r="N517" s="9">
        <v>0.95</v>
      </c>
      <c r="O517" s="8">
        <f t="shared" si="24"/>
        <v>9995</v>
      </c>
      <c r="P517" s="6" t="s">
        <v>15</v>
      </c>
    </row>
    <row r="518" spans="1:16" x14ac:dyDescent="0.25">
      <c r="A518" s="6" t="s">
        <v>3920</v>
      </c>
      <c r="B518" s="7">
        <f t="shared" si="25"/>
        <v>46114</v>
      </c>
      <c r="C518" s="7">
        <f t="shared" si="26"/>
        <v>46120</v>
      </c>
      <c r="D518" s="6">
        <v>3280</v>
      </c>
      <c r="E518" s="6">
        <v>337</v>
      </c>
      <c r="F518" s="6">
        <v>4</v>
      </c>
      <c r="G518" s="15">
        <v>1</v>
      </c>
      <c r="H518" s="15"/>
      <c r="I518" s="15" t="s">
        <v>1505</v>
      </c>
      <c r="J518" s="15">
        <v>23995813</v>
      </c>
      <c r="K518" s="15" t="s">
        <v>620</v>
      </c>
      <c r="L518" s="15" t="s">
        <v>621</v>
      </c>
      <c r="M518" s="16">
        <v>209900</v>
      </c>
      <c r="N518" s="9">
        <v>0.95</v>
      </c>
      <c r="O518" s="8">
        <f t="shared" si="24"/>
        <v>10495</v>
      </c>
      <c r="P518" s="6" t="s">
        <v>15</v>
      </c>
    </row>
    <row r="519" spans="1:16" x14ac:dyDescent="0.25">
      <c r="A519" s="6" t="s">
        <v>3920</v>
      </c>
      <c r="B519" s="7">
        <f t="shared" si="25"/>
        <v>46114</v>
      </c>
      <c r="C519" s="7">
        <f t="shared" si="26"/>
        <v>46120</v>
      </c>
      <c r="D519" s="6">
        <v>3280</v>
      </c>
      <c r="E519" s="6">
        <v>337</v>
      </c>
      <c r="F519" s="6">
        <v>4</v>
      </c>
      <c r="G519" s="15">
        <v>1</v>
      </c>
      <c r="H519" s="15"/>
      <c r="I519" s="15" t="s">
        <v>1505</v>
      </c>
      <c r="J519" s="15">
        <v>23968512</v>
      </c>
      <c r="K519" s="15" t="s">
        <v>622</v>
      </c>
      <c r="L519" s="15" t="s">
        <v>623</v>
      </c>
      <c r="M519" s="16">
        <v>199900</v>
      </c>
      <c r="N519" s="9">
        <v>0.95</v>
      </c>
      <c r="O519" s="8">
        <f t="shared" si="24"/>
        <v>9995</v>
      </c>
      <c r="P519" s="6" t="s">
        <v>15</v>
      </c>
    </row>
    <row r="520" spans="1:16" x14ac:dyDescent="0.25">
      <c r="A520" s="6" t="s">
        <v>3920</v>
      </c>
      <c r="B520" s="7">
        <f t="shared" si="25"/>
        <v>46114</v>
      </c>
      <c r="C520" s="7">
        <f t="shared" si="26"/>
        <v>46120</v>
      </c>
      <c r="D520" s="6">
        <v>3280</v>
      </c>
      <c r="E520" s="6">
        <v>337</v>
      </c>
      <c r="F520" s="6">
        <v>4</v>
      </c>
      <c r="G520" s="15">
        <v>1</v>
      </c>
      <c r="H520" s="15"/>
      <c r="I520" s="15" t="s">
        <v>1505</v>
      </c>
      <c r="J520" s="15">
        <v>23995797</v>
      </c>
      <c r="K520" s="15" t="s">
        <v>620</v>
      </c>
      <c r="L520" s="15" t="s">
        <v>624</v>
      </c>
      <c r="M520" s="16">
        <v>209900</v>
      </c>
      <c r="N520" s="9">
        <v>0.95</v>
      </c>
      <c r="O520" s="8">
        <f t="shared" si="24"/>
        <v>10495</v>
      </c>
      <c r="P520" s="6" t="s">
        <v>15</v>
      </c>
    </row>
    <row r="521" spans="1:16" x14ac:dyDescent="0.25">
      <c r="A521" s="6" t="s">
        <v>3920</v>
      </c>
      <c r="B521" s="7">
        <f t="shared" si="25"/>
        <v>46114</v>
      </c>
      <c r="C521" s="7">
        <f t="shared" si="26"/>
        <v>46120</v>
      </c>
      <c r="D521" s="6">
        <v>3280</v>
      </c>
      <c r="E521" s="6">
        <v>337</v>
      </c>
      <c r="F521" s="6">
        <v>4</v>
      </c>
      <c r="G521" s="15">
        <v>1</v>
      </c>
      <c r="H521" s="15"/>
      <c r="I521" s="15" t="s">
        <v>1505</v>
      </c>
      <c r="J521" s="15">
        <v>23831365</v>
      </c>
      <c r="K521" s="15" t="s">
        <v>625</v>
      </c>
      <c r="L521" s="15" t="s">
        <v>626</v>
      </c>
      <c r="M521" s="16">
        <v>189900</v>
      </c>
      <c r="N521" s="9">
        <v>0.95</v>
      </c>
      <c r="O521" s="8">
        <f t="shared" si="24"/>
        <v>9495</v>
      </c>
      <c r="P521" s="6" t="s">
        <v>15</v>
      </c>
    </row>
    <row r="522" spans="1:16" x14ac:dyDescent="0.25">
      <c r="A522" s="6" t="s">
        <v>3920</v>
      </c>
      <c r="B522" s="7">
        <f t="shared" si="25"/>
        <v>46114</v>
      </c>
      <c r="C522" s="7">
        <f t="shared" si="26"/>
        <v>46120</v>
      </c>
      <c r="D522" s="6">
        <v>3280</v>
      </c>
      <c r="E522" s="6">
        <v>337</v>
      </c>
      <c r="F522" s="6">
        <v>4</v>
      </c>
      <c r="G522" s="15">
        <v>1</v>
      </c>
      <c r="H522" s="15"/>
      <c r="I522" s="15" t="s">
        <v>1505</v>
      </c>
      <c r="J522" s="15">
        <v>23831374</v>
      </c>
      <c r="K522" s="15" t="s">
        <v>625</v>
      </c>
      <c r="L522" s="15" t="s">
        <v>627</v>
      </c>
      <c r="M522" s="16">
        <v>199900</v>
      </c>
      <c r="N522" s="9">
        <v>0.95</v>
      </c>
      <c r="O522" s="8">
        <f t="shared" si="24"/>
        <v>9995</v>
      </c>
      <c r="P522" s="6" t="s">
        <v>15</v>
      </c>
    </row>
    <row r="523" spans="1:16" x14ac:dyDescent="0.25">
      <c r="A523" s="6" t="s">
        <v>3920</v>
      </c>
      <c r="B523" s="7">
        <f t="shared" si="25"/>
        <v>46114</v>
      </c>
      <c r="C523" s="7">
        <f t="shared" si="26"/>
        <v>46120</v>
      </c>
      <c r="D523" s="6">
        <v>3280</v>
      </c>
      <c r="E523" s="6">
        <v>337</v>
      </c>
      <c r="F523" s="6">
        <v>4</v>
      </c>
      <c r="G523" s="15">
        <v>1</v>
      </c>
      <c r="H523" s="15"/>
      <c r="I523" s="15" t="s">
        <v>1505</v>
      </c>
      <c r="J523" s="15">
        <v>23831383</v>
      </c>
      <c r="K523" s="15" t="s">
        <v>625</v>
      </c>
      <c r="L523" s="15" t="s">
        <v>628</v>
      </c>
      <c r="M523" s="16">
        <v>199900</v>
      </c>
      <c r="N523" s="9">
        <v>0.95</v>
      </c>
      <c r="O523" s="8">
        <f t="shared" si="24"/>
        <v>9995</v>
      </c>
      <c r="P523" s="6" t="s">
        <v>15</v>
      </c>
    </row>
    <row r="524" spans="1:16" x14ac:dyDescent="0.25">
      <c r="A524" s="6" t="s">
        <v>3920</v>
      </c>
      <c r="B524" s="7">
        <f t="shared" si="25"/>
        <v>46114</v>
      </c>
      <c r="C524" s="7">
        <f t="shared" si="26"/>
        <v>46120</v>
      </c>
      <c r="D524" s="6">
        <v>3280</v>
      </c>
      <c r="E524" s="6">
        <v>337</v>
      </c>
      <c r="F524" s="6">
        <v>4</v>
      </c>
      <c r="G524" s="15">
        <v>1</v>
      </c>
      <c r="H524" s="15"/>
      <c r="I524" s="15" t="s">
        <v>1505</v>
      </c>
      <c r="J524" s="15">
        <v>23844557</v>
      </c>
      <c r="K524" s="15" t="s">
        <v>629</v>
      </c>
      <c r="L524" s="15" t="s">
        <v>630</v>
      </c>
      <c r="M524" s="16">
        <v>199900</v>
      </c>
      <c r="N524" s="9">
        <v>0.95</v>
      </c>
      <c r="O524" s="8">
        <f t="shared" si="24"/>
        <v>9995</v>
      </c>
      <c r="P524" s="6" t="s">
        <v>15</v>
      </c>
    </row>
    <row r="525" spans="1:16" x14ac:dyDescent="0.25">
      <c r="A525" s="6" t="s">
        <v>3920</v>
      </c>
      <c r="B525" s="7">
        <f t="shared" si="25"/>
        <v>46114</v>
      </c>
      <c r="C525" s="7">
        <f t="shared" si="26"/>
        <v>46120</v>
      </c>
      <c r="D525" s="6">
        <v>3280</v>
      </c>
      <c r="E525" s="6">
        <v>337</v>
      </c>
      <c r="F525" s="6">
        <v>4</v>
      </c>
      <c r="G525" s="15">
        <v>1</v>
      </c>
      <c r="H525" s="15"/>
      <c r="I525" s="15" t="s">
        <v>1505</v>
      </c>
      <c r="J525" s="15">
        <v>23845323</v>
      </c>
      <c r="K525" s="15" t="s">
        <v>631</v>
      </c>
      <c r="L525" s="15" t="s">
        <v>632</v>
      </c>
      <c r="M525" s="16">
        <v>199900</v>
      </c>
      <c r="N525" s="9">
        <v>0.95</v>
      </c>
      <c r="O525" s="8">
        <f t="shared" si="24"/>
        <v>9995</v>
      </c>
      <c r="P525" s="6" t="s">
        <v>15</v>
      </c>
    </row>
    <row r="526" spans="1:16" x14ac:dyDescent="0.25">
      <c r="A526" s="6" t="s">
        <v>3920</v>
      </c>
      <c r="B526" s="7">
        <f t="shared" si="25"/>
        <v>46114</v>
      </c>
      <c r="C526" s="7">
        <f t="shared" si="26"/>
        <v>46120</v>
      </c>
      <c r="D526" s="6">
        <v>3280</v>
      </c>
      <c r="E526" s="6">
        <v>337</v>
      </c>
      <c r="F526" s="6">
        <v>4</v>
      </c>
      <c r="G526" s="15">
        <v>1</v>
      </c>
      <c r="H526" s="15"/>
      <c r="I526" s="15" t="s">
        <v>1505</v>
      </c>
      <c r="J526" s="15">
        <v>23845332</v>
      </c>
      <c r="K526" s="15" t="s">
        <v>631</v>
      </c>
      <c r="L526" s="15" t="s">
        <v>633</v>
      </c>
      <c r="M526" s="16">
        <v>199900</v>
      </c>
      <c r="N526" s="9">
        <v>0.95</v>
      </c>
      <c r="O526" s="8">
        <f t="shared" si="24"/>
        <v>9995</v>
      </c>
      <c r="P526" s="6" t="s">
        <v>15</v>
      </c>
    </row>
    <row r="527" spans="1:16" x14ac:dyDescent="0.25">
      <c r="A527" s="6" t="s">
        <v>3920</v>
      </c>
      <c r="B527" s="7">
        <f t="shared" si="25"/>
        <v>46114</v>
      </c>
      <c r="C527" s="7">
        <f t="shared" si="26"/>
        <v>46120</v>
      </c>
      <c r="D527" s="6">
        <v>3280</v>
      </c>
      <c r="E527" s="6">
        <v>337</v>
      </c>
      <c r="F527" s="6">
        <v>4</v>
      </c>
      <c r="G527" s="15">
        <v>1</v>
      </c>
      <c r="H527" s="15"/>
      <c r="I527" s="15" t="s">
        <v>1505</v>
      </c>
      <c r="J527" s="15">
        <v>23845341</v>
      </c>
      <c r="K527" s="15" t="s">
        <v>631</v>
      </c>
      <c r="L527" s="15" t="s">
        <v>634</v>
      </c>
      <c r="M527" s="16">
        <v>199900</v>
      </c>
      <c r="N527" s="9">
        <v>0.95</v>
      </c>
      <c r="O527" s="8">
        <f t="shared" si="24"/>
        <v>9995</v>
      </c>
      <c r="P527" s="6" t="s">
        <v>15</v>
      </c>
    </row>
    <row r="528" spans="1:16" x14ac:dyDescent="0.25">
      <c r="A528" s="6" t="s">
        <v>3920</v>
      </c>
      <c r="B528" s="7">
        <f t="shared" si="25"/>
        <v>46114</v>
      </c>
      <c r="C528" s="7">
        <f t="shared" si="26"/>
        <v>46120</v>
      </c>
      <c r="D528" s="6">
        <v>3280</v>
      </c>
      <c r="E528" s="6">
        <v>337</v>
      </c>
      <c r="F528" s="6">
        <v>4</v>
      </c>
      <c r="G528" s="15">
        <v>1</v>
      </c>
      <c r="H528" s="15"/>
      <c r="I528" s="15" t="s">
        <v>1505</v>
      </c>
      <c r="J528" s="15">
        <v>23845369</v>
      </c>
      <c r="K528" s="15" t="s">
        <v>631</v>
      </c>
      <c r="L528" s="15" t="s">
        <v>635</v>
      </c>
      <c r="M528" s="16">
        <v>209900</v>
      </c>
      <c r="N528" s="9">
        <v>0.95</v>
      </c>
      <c r="O528" s="8">
        <f t="shared" si="24"/>
        <v>10495</v>
      </c>
      <c r="P528" s="6" t="s">
        <v>15</v>
      </c>
    </row>
    <row r="529" spans="1:16" x14ac:dyDescent="0.25">
      <c r="A529" s="6" t="s">
        <v>3920</v>
      </c>
      <c r="B529" s="7">
        <f t="shared" si="25"/>
        <v>46114</v>
      </c>
      <c r="C529" s="7">
        <f t="shared" si="26"/>
        <v>46120</v>
      </c>
      <c r="D529" s="6">
        <v>3280</v>
      </c>
      <c r="E529" s="6">
        <v>337</v>
      </c>
      <c r="F529" s="6">
        <v>4</v>
      </c>
      <c r="G529" s="15">
        <v>1</v>
      </c>
      <c r="H529" s="15"/>
      <c r="I529" s="15" t="s">
        <v>1505</v>
      </c>
      <c r="J529" s="15">
        <v>23845378</v>
      </c>
      <c r="K529" s="15" t="s">
        <v>631</v>
      </c>
      <c r="L529" s="15" t="s">
        <v>636</v>
      </c>
      <c r="M529" s="16">
        <v>209900</v>
      </c>
      <c r="N529" s="9">
        <v>0.95</v>
      </c>
      <c r="O529" s="8">
        <f t="shared" si="24"/>
        <v>10495</v>
      </c>
      <c r="P529" s="6" t="s">
        <v>15</v>
      </c>
    </row>
    <row r="530" spans="1:16" x14ac:dyDescent="0.25">
      <c r="A530" s="6" t="s">
        <v>3920</v>
      </c>
      <c r="B530" s="7">
        <f t="shared" si="25"/>
        <v>46114</v>
      </c>
      <c r="C530" s="7">
        <f t="shared" si="26"/>
        <v>46120</v>
      </c>
      <c r="D530" s="6">
        <v>3280</v>
      </c>
      <c r="E530" s="6">
        <v>337</v>
      </c>
      <c r="F530" s="6">
        <v>4</v>
      </c>
      <c r="G530" s="15">
        <v>1</v>
      </c>
      <c r="H530" s="15"/>
      <c r="I530" s="15" t="s">
        <v>1505</v>
      </c>
      <c r="J530" s="15">
        <v>23845805</v>
      </c>
      <c r="K530" s="15" t="s">
        <v>637</v>
      </c>
      <c r="L530" s="15" t="s">
        <v>638</v>
      </c>
      <c r="M530" s="16">
        <v>199900</v>
      </c>
      <c r="N530" s="9">
        <v>0.95</v>
      </c>
      <c r="O530" s="8">
        <f t="shared" si="24"/>
        <v>9995</v>
      </c>
      <c r="P530" s="6" t="s">
        <v>15</v>
      </c>
    </row>
    <row r="531" spans="1:16" x14ac:dyDescent="0.25">
      <c r="A531" s="6" t="s">
        <v>3920</v>
      </c>
      <c r="B531" s="7">
        <f t="shared" si="25"/>
        <v>46114</v>
      </c>
      <c r="C531" s="7">
        <f t="shared" si="26"/>
        <v>46120</v>
      </c>
      <c r="D531" s="6">
        <v>3280</v>
      </c>
      <c r="E531" s="6">
        <v>337</v>
      </c>
      <c r="F531" s="6">
        <v>4</v>
      </c>
      <c r="G531" s="15">
        <v>1</v>
      </c>
      <c r="H531" s="15"/>
      <c r="I531" s="15" t="s">
        <v>1505</v>
      </c>
      <c r="J531" s="15">
        <v>23846939</v>
      </c>
      <c r="K531" s="15" t="s">
        <v>639</v>
      </c>
      <c r="L531" s="15" t="s">
        <v>640</v>
      </c>
      <c r="M531" s="16">
        <v>199900</v>
      </c>
      <c r="N531" s="9">
        <v>0.95</v>
      </c>
      <c r="O531" s="8">
        <f t="shared" si="24"/>
        <v>9995</v>
      </c>
      <c r="P531" s="6" t="s">
        <v>15</v>
      </c>
    </row>
    <row r="532" spans="1:16" x14ac:dyDescent="0.25">
      <c r="A532" s="6" t="s">
        <v>3920</v>
      </c>
      <c r="B532" s="7">
        <f t="shared" si="25"/>
        <v>46114</v>
      </c>
      <c r="C532" s="7">
        <f t="shared" si="26"/>
        <v>46120</v>
      </c>
      <c r="D532" s="6">
        <v>3280</v>
      </c>
      <c r="E532" s="6">
        <v>337</v>
      </c>
      <c r="F532" s="6">
        <v>4</v>
      </c>
      <c r="G532" s="15">
        <v>1</v>
      </c>
      <c r="H532" s="15"/>
      <c r="I532" s="15" t="s">
        <v>1505</v>
      </c>
      <c r="J532" s="15">
        <v>23846948</v>
      </c>
      <c r="K532" s="15" t="s">
        <v>639</v>
      </c>
      <c r="L532" s="15" t="s">
        <v>641</v>
      </c>
      <c r="M532" s="16">
        <v>209900</v>
      </c>
      <c r="N532" s="9">
        <v>0.95</v>
      </c>
      <c r="O532" s="8">
        <f t="shared" si="24"/>
        <v>10495</v>
      </c>
      <c r="P532" s="6" t="s">
        <v>15</v>
      </c>
    </row>
    <row r="533" spans="1:16" x14ac:dyDescent="0.25">
      <c r="A533" s="6" t="s">
        <v>3920</v>
      </c>
      <c r="B533" s="7">
        <f t="shared" si="25"/>
        <v>46114</v>
      </c>
      <c r="C533" s="7">
        <f t="shared" si="26"/>
        <v>46120</v>
      </c>
      <c r="D533" s="6">
        <v>3280</v>
      </c>
      <c r="E533" s="6">
        <v>337</v>
      </c>
      <c r="F533" s="6">
        <v>4</v>
      </c>
      <c r="G533" s="15">
        <v>1</v>
      </c>
      <c r="H533" s="15"/>
      <c r="I533" s="15" t="s">
        <v>1505</v>
      </c>
      <c r="J533" s="15">
        <v>23846957</v>
      </c>
      <c r="K533" s="15" t="s">
        <v>639</v>
      </c>
      <c r="L533" s="15" t="s">
        <v>642</v>
      </c>
      <c r="M533" s="16">
        <v>209900</v>
      </c>
      <c r="N533" s="9">
        <v>0.95</v>
      </c>
      <c r="O533" s="8">
        <f t="shared" si="24"/>
        <v>10495</v>
      </c>
      <c r="P533" s="6" t="s">
        <v>15</v>
      </c>
    </row>
    <row r="534" spans="1:16" x14ac:dyDescent="0.25">
      <c r="A534" s="6" t="s">
        <v>3920</v>
      </c>
      <c r="B534" s="7">
        <f t="shared" si="25"/>
        <v>46114</v>
      </c>
      <c r="C534" s="7">
        <f t="shared" si="26"/>
        <v>46120</v>
      </c>
      <c r="D534" s="6">
        <v>3280</v>
      </c>
      <c r="E534" s="6">
        <v>337</v>
      </c>
      <c r="F534" s="6">
        <v>4</v>
      </c>
      <c r="G534" s="15">
        <v>1</v>
      </c>
      <c r="H534" s="15"/>
      <c r="I534" s="15" t="s">
        <v>1505</v>
      </c>
      <c r="J534" s="15">
        <v>23857749</v>
      </c>
      <c r="K534" s="15" t="s">
        <v>643</v>
      </c>
      <c r="L534" s="15" t="s">
        <v>644</v>
      </c>
      <c r="M534" s="16">
        <v>199900</v>
      </c>
      <c r="N534" s="9">
        <v>0.95</v>
      </c>
      <c r="O534" s="8">
        <f t="shared" si="24"/>
        <v>9995</v>
      </c>
      <c r="P534" s="6" t="s">
        <v>15</v>
      </c>
    </row>
    <row r="535" spans="1:16" x14ac:dyDescent="0.25">
      <c r="A535" s="6" t="s">
        <v>3920</v>
      </c>
      <c r="B535" s="7">
        <f t="shared" si="25"/>
        <v>46114</v>
      </c>
      <c r="C535" s="7">
        <f t="shared" si="26"/>
        <v>46120</v>
      </c>
      <c r="D535" s="6">
        <v>3280</v>
      </c>
      <c r="E535" s="6">
        <v>337</v>
      </c>
      <c r="F535" s="6">
        <v>4</v>
      </c>
      <c r="G535" s="15">
        <v>1</v>
      </c>
      <c r="H535" s="15"/>
      <c r="I535" s="15" t="s">
        <v>1505</v>
      </c>
      <c r="J535" s="15">
        <v>23857758</v>
      </c>
      <c r="K535" s="15" t="s">
        <v>643</v>
      </c>
      <c r="L535" s="15" t="s">
        <v>645</v>
      </c>
      <c r="M535" s="16">
        <v>199900</v>
      </c>
      <c r="N535" s="9">
        <v>0.95</v>
      </c>
      <c r="O535" s="8">
        <f t="shared" si="24"/>
        <v>9995</v>
      </c>
      <c r="P535" s="6" t="s">
        <v>15</v>
      </c>
    </row>
    <row r="536" spans="1:16" x14ac:dyDescent="0.25">
      <c r="A536" s="6" t="s">
        <v>3920</v>
      </c>
      <c r="B536" s="7">
        <f t="shared" si="25"/>
        <v>46114</v>
      </c>
      <c r="C536" s="7">
        <f t="shared" si="26"/>
        <v>46120</v>
      </c>
      <c r="D536" s="6">
        <v>3280</v>
      </c>
      <c r="E536" s="6">
        <v>337</v>
      </c>
      <c r="F536" s="6">
        <v>4</v>
      </c>
      <c r="G536" s="15">
        <v>1</v>
      </c>
      <c r="H536" s="15"/>
      <c r="I536" s="15" t="s">
        <v>1505</v>
      </c>
      <c r="J536" s="15">
        <v>23857767</v>
      </c>
      <c r="K536" s="15" t="s">
        <v>643</v>
      </c>
      <c r="L536" s="15" t="s">
        <v>646</v>
      </c>
      <c r="M536" s="16">
        <v>199900</v>
      </c>
      <c r="N536" s="9">
        <v>0.95</v>
      </c>
      <c r="O536" s="8">
        <f t="shared" si="24"/>
        <v>9995</v>
      </c>
      <c r="P536" s="6" t="s">
        <v>15</v>
      </c>
    </row>
    <row r="537" spans="1:16" x14ac:dyDescent="0.25">
      <c r="A537" s="6" t="s">
        <v>3920</v>
      </c>
      <c r="B537" s="7">
        <f t="shared" si="25"/>
        <v>46114</v>
      </c>
      <c r="C537" s="7">
        <f t="shared" si="26"/>
        <v>46120</v>
      </c>
      <c r="D537" s="6">
        <v>3280</v>
      </c>
      <c r="E537" s="6">
        <v>337</v>
      </c>
      <c r="F537" s="6">
        <v>4</v>
      </c>
      <c r="G537" s="15">
        <v>1</v>
      </c>
      <c r="H537" s="15"/>
      <c r="I537" s="15" t="s">
        <v>1505</v>
      </c>
      <c r="J537" s="15">
        <v>23857776</v>
      </c>
      <c r="K537" s="15" t="s">
        <v>643</v>
      </c>
      <c r="L537" s="15" t="s">
        <v>647</v>
      </c>
      <c r="M537" s="16">
        <v>209900</v>
      </c>
      <c r="N537" s="9">
        <v>0.95</v>
      </c>
      <c r="O537" s="8">
        <f t="shared" si="24"/>
        <v>10495</v>
      </c>
      <c r="P537" s="6" t="s">
        <v>15</v>
      </c>
    </row>
    <row r="538" spans="1:16" x14ac:dyDescent="0.25">
      <c r="A538" s="6" t="s">
        <v>3920</v>
      </c>
      <c r="B538" s="7">
        <f t="shared" si="25"/>
        <v>46114</v>
      </c>
      <c r="C538" s="7">
        <f t="shared" si="26"/>
        <v>46120</v>
      </c>
      <c r="D538" s="6">
        <v>3280</v>
      </c>
      <c r="E538" s="6">
        <v>337</v>
      </c>
      <c r="F538" s="6">
        <v>4</v>
      </c>
      <c r="G538" s="15">
        <v>1</v>
      </c>
      <c r="H538" s="15"/>
      <c r="I538" s="15" t="s">
        <v>1505</v>
      </c>
      <c r="J538" s="15">
        <v>23857785</v>
      </c>
      <c r="K538" s="15" t="s">
        <v>643</v>
      </c>
      <c r="L538" s="15" t="s">
        <v>648</v>
      </c>
      <c r="M538" s="16">
        <v>209900</v>
      </c>
      <c r="N538" s="9">
        <v>0.95</v>
      </c>
      <c r="O538" s="8">
        <f t="shared" si="24"/>
        <v>10495</v>
      </c>
      <c r="P538" s="6" t="s">
        <v>15</v>
      </c>
    </row>
    <row r="539" spans="1:16" x14ac:dyDescent="0.25">
      <c r="A539" s="6" t="s">
        <v>3920</v>
      </c>
      <c r="B539" s="7">
        <f t="shared" si="25"/>
        <v>46114</v>
      </c>
      <c r="C539" s="7">
        <f t="shared" si="26"/>
        <v>46120</v>
      </c>
      <c r="D539" s="6">
        <v>3280</v>
      </c>
      <c r="E539" s="6">
        <v>337</v>
      </c>
      <c r="F539" s="6">
        <v>4</v>
      </c>
      <c r="G539" s="15">
        <v>1</v>
      </c>
      <c r="H539" s="15"/>
      <c r="I539" s="15" t="s">
        <v>1505</v>
      </c>
      <c r="J539" s="15">
        <v>23857794</v>
      </c>
      <c r="K539" s="15" t="s">
        <v>643</v>
      </c>
      <c r="L539" s="15" t="s">
        <v>649</v>
      </c>
      <c r="M539" s="16">
        <v>209900</v>
      </c>
      <c r="N539" s="9">
        <v>0.95</v>
      </c>
      <c r="O539" s="8">
        <f t="shared" si="24"/>
        <v>10495</v>
      </c>
      <c r="P539" s="6" t="s">
        <v>15</v>
      </c>
    </row>
    <row r="540" spans="1:16" x14ac:dyDescent="0.25">
      <c r="A540" s="6" t="s">
        <v>3920</v>
      </c>
      <c r="B540" s="7">
        <f t="shared" si="25"/>
        <v>46114</v>
      </c>
      <c r="C540" s="7">
        <f t="shared" si="26"/>
        <v>46120</v>
      </c>
      <c r="D540" s="6">
        <v>3280</v>
      </c>
      <c r="E540" s="6">
        <v>337</v>
      </c>
      <c r="F540" s="6">
        <v>4</v>
      </c>
      <c r="G540" s="15">
        <v>1</v>
      </c>
      <c r="H540" s="15"/>
      <c r="I540" s="15" t="s">
        <v>1505</v>
      </c>
      <c r="J540" s="15">
        <v>23858042</v>
      </c>
      <c r="K540" s="15" t="s">
        <v>650</v>
      </c>
      <c r="L540" s="15" t="s">
        <v>651</v>
      </c>
      <c r="M540" s="16">
        <v>199900</v>
      </c>
      <c r="N540" s="9">
        <v>0.95</v>
      </c>
      <c r="O540" s="8">
        <f t="shared" si="24"/>
        <v>9995</v>
      </c>
      <c r="P540" s="6" t="s">
        <v>15</v>
      </c>
    </row>
    <row r="541" spans="1:16" x14ac:dyDescent="0.25">
      <c r="A541" s="6" t="s">
        <v>3920</v>
      </c>
      <c r="B541" s="7">
        <f t="shared" si="25"/>
        <v>46114</v>
      </c>
      <c r="C541" s="7">
        <f t="shared" si="26"/>
        <v>46120</v>
      </c>
      <c r="D541" s="6">
        <v>3280</v>
      </c>
      <c r="E541" s="6">
        <v>337</v>
      </c>
      <c r="F541" s="6">
        <v>4</v>
      </c>
      <c r="G541" s="15">
        <v>1</v>
      </c>
      <c r="H541" s="15"/>
      <c r="I541" s="15" t="s">
        <v>1505</v>
      </c>
      <c r="J541" s="15">
        <v>23858051</v>
      </c>
      <c r="K541" s="15" t="s">
        <v>650</v>
      </c>
      <c r="L541" s="15" t="s">
        <v>652</v>
      </c>
      <c r="M541" s="16">
        <v>199900</v>
      </c>
      <c r="N541" s="9">
        <v>0.95</v>
      </c>
      <c r="O541" s="8">
        <f t="shared" si="24"/>
        <v>9995</v>
      </c>
      <c r="P541" s="6" t="s">
        <v>15</v>
      </c>
    </row>
    <row r="542" spans="1:16" x14ac:dyDescent="0.25">
      <c r="A542" s="6" t="s">
        <v>3920</v>
      </c>
      <c r="B542" s="7">
        <f t="shared" si="25"/>
        <v>46114</v>
      </c>
      <c r="C542" s="7">
        <f t="shared" si="26"/>
        <v>46120</v>
      </c>
      <c r="D542" s="6">
        <v>3280</v>
      </c>
      <c r="E542" s="6">
        <v>337</v>
      </c>
      <c r="F542" s="6">
        <v>4</v>
      </c>
      <c r="G542" s="15">
        <v>1</v>
      </c>
      <c r="H542" s="15"/>
      <c r="I542" s="15" t="s">
        <v>1505</v>
      </c>
      <c r="J542" s="15">
        <v>23858060</v>
      </c>
      <c r="K542" s="15" t="s">
        <v>650</v>
      </c>
      <c r="L542" s="15" t="s">
        <v>653</v>
      </c>
      <c r="M542" s="16">
        <v>209900</v>
      </c>
      <c r="N542" s="9">
        <v>0.95</v>
      </c>
      <c r="O542" s="8">
        <f t="shared" si="24"/>
        <v>10495</v>
      </c>
      <c r="P542" s="6" t="s">
        <v>15</v>
      </c>
    </row>
    <row r="543" spans="1:16" x14ac:dyDescent="0.25">
      <c r="A543" s="6" t="s">
        <v>3920</v>
      </c>
      <c r="B543" s="7">
        <f t="shared" si="25"/>
        <v>46114</v>
      </c>
      <c r="C543" s="7">
        <f t="shared" si="26"/>
        <v>46120</v>
      </c>
      <c r="D543" s="6">
        <v>3280</v>
      </c>
      <c r="E543" s="6">
        <v>337</v>
      </c>
      <c r="F543" s="6">
        <v>4</v>
      </c>
      <c r="G543" s="15">
        <v>1</v>
      </c>
      <c r="H543" s="15"/>
      <c r="I543" s="15" t="s">
        <v>1505</v>
      </c>
      <c r="J543" s="15">
        <v>23858202</v>
      </c>
      <c r="K543" s="15" t="s">
        <v>654</v>
      </c>
      <c r="L543" s="15" t="s">
        <v>655</v>
      </c>
      <c r="M543" s="16">
        <v>209900</v>
      </c>
      <c r="N543" s="9">
        <v>0.95</v>
      </c>
      <c r="O543" s="8">
        <f t="shared" si="24"/>
        <v>10495</v>
      </c>
      <c r="P543" s="6" t="s">
        <v>15</v>
      </c>
    </row>
    <row r="544" spans="1:16" x14ac:dyDescent="0.25">
      <c r="A544" s="6" t="s">
        <v>3920</v>
      </c>
      <c r="B544" s="7">
        <f t="shared" si="25"/>
        <v>46114</v>
      </c>
      <c r="C544" s="7">
        <f t="shared" si="26"/>
        <v>46120</v>
      </c>
      <c r="D544" s="6">
        <v>3280</v>
      </c>
      <c r="E544" s="6">
        <v>337</v>
      </c>
      <c r="F544" s="6">
        <v>4</v>
      </c>
      <c r="G544" s="15">
        <v>1</v>
      </c>
      <c r="H544" s="15"/>
      <c r="I544" s="15" t="s">
        <v>1505</v>
      </c>
      <c r="J544" s="15">
        <v>23858211</v>
      </c>
      <c r="K544" s="15" t="s">
        <v>654</v>
      </c>
      <c r="L544" s="15" t="s">
        <v>656</v>
      </c>
      <c r="M544" s="16">
        <v>209900</v>
      </c>
      <c r="N544" s="9">
        <v>0.95</v>
      </c>
      <c r="O544" s="8">
        <f t="shared" si="24"/>
        <v>10495</v>
      </c>
      <c r="P544" s="6" t="s">
        <v>15</v>
      </c>
    </row>
    <row r="545" spans="1:16" x14ac:dyDescent="0.25">
      <c r="A545" s="6" t="s">
        <v>3920</v>
      </c>
      <c r="B545" s="7">
        <f t="shared" si="25"/>
        <v>46114</v>
      </c>
      <c r="C545" s="7">
        <f t="shared" si="26"/>
        <v>46120</v>
      </c>
      <c r="D545" s="6">
        <v>3280</v>
      </c>
      <c r="E545" s="6">
        <v>337</v>
      </c>
      <c r="F545" s="6">
        <v>4</v>
      </c>
      <c r="G545" s="15">
        <v>1</v>
      </c>
      <c r="H545" s="15"/>
      <c r="I545" s="15" t="s">
        <v>1505</v>
      </c>
      <c r="J545" s="15">
        <v>23858220</v>
      </c>
      <c r="K545" s="15" t="s">
        <v>654</v>
      </c>
      <c r="L545" s="15" t="s">
        <v>657</v>
      </c>
      <c r="M545" s="16">
        <v>209900</v>
      </c>
      <c r="N545" s="9">
        <v>0.95</v>
      </c>
      <c r="O545" s="8">
        <f t="shared" si="24"/>
        <v>10495</v>
      </c>
      <c r="P545" s="6" t="s">
        <v>15</v>
      </c>
    </row>
    <row r="546" spans="1:16" x14ac:dyDescent="0.25">
      <c r="A546" s="6" t="s">
        <v>3920</v>
      </c>
      <c r="B546" s="7">
        <f t="shared" si="25"/>
        <v>46114</v>
      </c>
      <c r="C546" s="7">
        <f t="shared" si="26"/>
        <v>46120</v>
      </c>
      <c r="D546" s="6">
        <v>3280</v>
      </c>
      <c r="E546" s="6">
        <v>337</v>
      </c>
      <c r="F546" s="6">
        <v>4</v>
      </c>
      <c r="G546" s="15">
        <v>1</v>
      </c>
      <c r="H546" s="15"/>
      <c r="I546" s="15" t="s">
        <v>1505</v>
      </c>
      <c r="J546" s="15">
        <v>23858364</v>
      </c>
      <c r="K546" s="15" t="s">
        <v>658</v>
      </c>
      <c r="L546" s="15" t="s">
        <v>659</v>
      </c>
      <c r="M546" s="16">
        <v>199900</v>
      </c>
      <c r="N546" s="9">
        <v>0.95</v>
      </c>
      <c r="O546" s="8">
        <f t="shared" si="24"/>
        <v>9995</v>
      </c>
      <c r="P546" s="6" t="s">
        <v>15</v>
      </c>
    </row>
    <row r="547" spans="1:16" x14ac:dyDescent="0.25">
      <c r="A547" s="6" t="s">
        <v>3920</v>
      </c>
      <c r="B547" s="7">
        <f t="shared" si="25"/>
        <v>46114</v>
      </c>
      <c r="C547" s="7">
        <f t="shared" si="26"/>
        <v>46120</v>
      </c>
      <c r="D547" s="6">
        <v>3280</v>
      </c>
      <c r="E547" s="6">
        <v>337</v>
      </c>
      <c r="F547" s="6">
        <v>4</v>
      </c>
      <c r="G547" s="15">
        <v>1</v>
      </c>
      <c r="H547" s="15"/>
      <c r="I547" s="15" t="s">
        <v>1505</v>
      </c>
      <c r="J547" s="15">
        <v>23858373</v>
      </c>
      <c r="K547" s="15" t="s">
        <v>658</v>
      </c>
      <c r="L547" s="15" t="s">
        <v>660</v>
      </c>
      <c r="M547" s="16">
        <v>199900</v>
      </c>
      <c r="N547" s="9">
        <v>0.95</v>
      </c>
      <c r="O547" s="8">
        <f t="shared" si="24"/>
        <v>9995</v>
      </c>
      <c r="P547" s="6" t="s">
        <v>15</v>
      </c>
    </row>
    <row r="548" spans="1:16" x14ac:dyDescent="0.25">
      <c r="A548" s="6" t="s">
        <v>3920</v>
      </c>
      <c r="B548" s="7">
        <f t="shared" si="25"/>
        <v>46114</v>
      </c>
      <c r="C548" s="7">
        <f t="shared" si="26"/>
        <v>46120</v>
      </c>
      <c r="D548" s="6">
        <v>3280</v>
      </c>
      <c r="E548" s="6">
        <v>337</v>
      </c>
      <c r="F548" s="6">
        <v>4</v>
      </c>
      <c r="G548" s="15">
        <v>1</v>
      </c>
      <c r="H548" s="15"/>
      <c r="I548" s="15" t="s">
        <v>1505</v>
      </c>
      <c r="J548" s="15">
        <v>23858382</v>
      </c>
      <c r="K548" s="15" t="s">
        <v>658</v>
      </c>
      <c r="L548" s="15" t="s">
        <v>661</v>
      </c>
      <c r="M548" s="16">
        <v>199900</v>
      </c>
      <c r="N548" s="9">
        <v>0.95</v>
      </c>
      <c r="O548" s="8">
        <f t="shared" si="24"/>
        <v>9995</v>
      </c>
      <c r="P548" s="6" t="s">
        <v>15</v>
      </c>
    </row>
    <row r="549" spans="1:16" x14ac:dyDescent="0.25">
      <c r="A549" s="6" t="s">
        <v>3920</v>
      </c>
      <c r="B549" s="7">
        <f t="shared" si="25"/>
        <v>46114</v>
      </c>
      <c r="C549" s="7">
        <f t="shared" si="26"/>
        <v>46120</v>
      </c>
      <c r="D549" s="6">
        <v>3280</v>
      </c>
      <c r="E549" s="6">
        <v>337</v>
      </c>
      <c r="F549" s="6">
        <v>4</v>
      </c>
      <c r="G549" s="15">
        <v>1</v>
      </c>
      <c r="H549" s="15"/>
      <c r="I549" s="15" t="s">
        <v>1505</v>
      </c>
      <c r="J549" s="15">
        <v>23858391</v>
      </c>
      <c r="K549" s="15" t="s">
        <v>658</v>
      </c>
      <c r="L549" s="15" t="s">
        <v>662</v>
      </c>
      <c r="M549" s="16">
        <v>209900</v>
      </c>
      <c r="N549" s="9">
        <v>0.95</v>
      </c>
      <c r="O549" s="8">
        <f t="shared" si="24"/>
        <v>10495</v>
      </c>
      <c r="P549" s="6" t="s">
        <v>15</v>
      </c>
    </row>
    <row r="550" spans="1:16" x14ac:dyDescent="0.25">
      <c r="A550" s="6" t="s">
        <v>3920</v>
      </c>
      <c r="B550" s="7">
        <f t="shared" si="25"/>
        <v>46114</v>
      </c>
      <c r="C550" s="7">
        <f t="shared" si="26"/>
        <v>46120</v>
      </c>
      <c r="D550" s="6">
        <v>3280</v>
      </c>
      <c r="E550" s="6">
        <v>337</v>
      </c>
      <c r="F550" s="6">
        <v>4</v>
      </c>
      <c r="G550" s="15">
        <v>1</v>
      </c>
      <c r="H550" s="15"/>
      <c r="I550" s="15" t="s">
        <v>1505</v>
      </c>
      <c r="J550" s="15">
        <v>23858480</v>
      </c>
      <c r="K550" s="15" t="s">
        <v>663</v>
      </c>
      <c r="L550" s="15" t="s">
        <v>664</v>
      </c>
      <c r="M550" s="16">
        <v>219900</v>
      </c>
      <c r="N550" s="9">
        <v>0.95</v>
      </c>
      <c r="O550" s="8">
        <f t="shared" si="24"/>
        <v>10995</v>
      </c>
      <c r="P550" s="6" t="s">
        <v>15</v>
      </c>
    </row>
    <row r="551" spans="1:16" x14ac:dyDescent="0.25">
      <c r="A551" s="6" t="s">
        <v>3920</v>
      </c>
      <c r="B551" s="7">
        <f t="shared" si="25"/>
        <v>46114</v>
      </c>
      <c r="C551" s="7">
        <f t="shared" si="26"/>
        <v>46120</v>
      </c>
      <c r="D551" s="6">
        <v>3280</v>
      </c>
      <c r="E551" s="6">
        <v>337</v>
      </c>
      <c r="F551" s="6">
        <v>4</v>
      </c>
      <c r="G551" s="15">
        <v>1</v>
      </c>
      <c r="H551" s="15"/>
      <c r="I551" s="15" t="s">
        <v>1505</v>
      </c>
      <c r="J551" s="15">
        <v>23858499</v>
      </c>
      <c r="K551" s="15" t="s">
        <v>663</v>
      </c>
      <c r="L551" s="15" t="s">
        <v>665</v>
      </c>
      <c r="M551" s="16">
        <v>219900</v>
      </c>
      <c r="N551" s="9">
        <v>0.95</v>
      </c>
      <c r="O551" s="8">
        <f t="shared" si="24"/>
        <v>10995</v>
      </c>
      <c r="P551" s="6" t="s">
        <v>15</v>
      </c>
    </row>
    <row r="552" spans="1:16" x14ac:dyDescent="0.25">
      <c r="A552" s="6" t="s">
        <v>3920</v>
      </c>
      <c r="B552" s="7">
        <f t="shared" si="25"/>
        <v>46114</v>
      </c>
      <c r="C552" s="7">
        <f t="shared" si="26"/>
        <v>46120</v>
      </c>
      <c r="D552" s="6">
        <v>3280</v>
      </c>
      <c r="E552" s="6">
        <v>337</v>
      </c>
      <c r="F552" s="6">
        <v>4</v>
      </c>
      <c r="G552" s="15">
        <v>1</v>
      </c>
      <c r="H552" s="15"/>
      <c r="I552" s="15" t="s">
        <v>1505</v>
      </c>
      <c r="J552" s="15">
        <v>23858506</v>
      </c>
      <c r="K552" s="15" t="s">
        <v>663</v>
      </c>
      <c r="L552" s="15" t="s">
        <v>666</v>
      </c>
      <c r="M552" s="16">
        <v>219900</v>
      </c>
      <c r="N552" s="9">
        <v>0.95</v>
      </c>
      <c r="O552" s="8">
        <f t="shared" si="24"/>
        <v>10995</v>
      </c>
      <c r="P552" s="6" t="s">
        <v>15</v>
      </c>
    </row>
    <row r="553" spans="1:16" x14ac:dyDescent="0.25">
      <c r="A553" s="6" t="s">
        <v>3920</v>
      </c>
      <c r="B553" s="7">
        <f t="shared" si="25"/>
        <v>46114</v>
      </c>
      <c r="C553" s="7">
        <f t="shared" si="26"/>
        <v>46120</v>
      </c>
      <c r="D553" s="6">
        <v>3280</v>
      </c>
      <c r="E553" s="6">
        <v>337</v>
      </c>
      <c r="F553" s="6">
        <v>4</v>
      </c>
      <c r="G553" s="15">
        <v>1</v>
      </c>
      <c r="H553" s="15"/>
      <c r="I553" s="15" t="s">
        <v>1505</v>
      </c>
      <c r="J553" s="15">
        <v>23858515</v>
      </c>
      <c r="K553" s="15" t="s">
        <v>663</v>
      </c>
      <c r="L553" s="15" t="s">
        <v>667</v>
      </c>
      <c r="M553" s="16">
        <v>219900</v>
      </c>
      <c r="N553" s="9">
        <v>0.95</v>
      </c>
      <c r="O553" s="8">
        <f t="shared" si="24"/>
        <v>10995</v>
      </c>
      <c r="P553" s="6" t="s">
        <v>15</v>
      </c>
    </row>
    <row r="554" spans="1:16" x14ac:dyDescent="0.25">
      <c r="A554" s="6" t="s">
        <v>3920</v>
      </c>
      <c r="B554" s="7">
        <f t="shared" si="25"/>
        <v>46114</v>
      </c>
      <c r="C554" s="7">
        <f t="shared" si="26"/>
        <v>46120</v>
      </c>
      <c r="D554" s="6">
        <v>3280</v>
      </c>
      <c r="E554" s="6">
        <v>337</v>
      </c>
      <c r="F554" s="6">
        <v>4</v>
      </c>
      <c r="G554" s="15">
        <v>1</v>
      </c>
      <c r="H554" s="15"/>
      <c r="I554" s="15" t="s">
        <v>1505</v>
      </c>
      <c r="J554" s="15">
        <v>23858524</v>
      </c>
      <c r="K554" s="15" t="s">
        <v>668</v>
      </c>
      <c r="L554" s="15" t="s">
        <v>669</v>
      </c>
      <c r="M554" s="16">
        <v>229900</v>
      </c>
      <c r="N554" s="9">
        <v>0.95</v>
      </c>
      <c r="O554" s="8">
        <f t="shared" si="24"/>
        <v>11495</v>
      </c>
      <c r="P554" s="6" t="s">
        <v>15</v>
      </c>
    </row>
    <row r="555" spans="1:16" x14ac:dyDescent="0.25">
      <c r="A555" s="6" t="s">
        <v>3920</v>
      </c>
      <c r="B555" s="7">
        <f t="shared" si="25"/>
        <v>46114</v>
      </c>
      <c r="C555" s="7">
        <f t="shared" si="26"/>
        <v>46120</v>
      </c>
      <c r="D555" s="6">
        <v>3280</v>
      </c>
      <c r="E555" s="6">
        <v>337</v>
      </c>
      <c r="F555" s="6">
        <v>4</v>
      </c>
      <c r="G555" s="15">
        <v>1</v>
      </c>
      <c r="H555" s="15"/>
      <c r="I555" s="15" t="s">
        <v>1505</v>
      </c>
      <c r="J555" s="15">
        <v>23858533</v>
      </c>
      <c r="K555" s="15" t="s">
        <v>668</v>
      </c>
      <c r="L555" s="15" t="s">
        <v>670</v>
      </c>
      <c r="M555" s="16">
        <v>229900</v>
      </c>
      <c r="N555" s="9">
        <v>0.95</v>
      </c>
      <c r="O555" s="8">
        <f t="shared" si="24"/>
        <v>11495</v>
      </c>
      <c r="P555" s="6" t="s">
        <v>15</v>
      </c>
    </row>
    <row r="556" spans="1:16" x14ac:dyDescent="0.25">
      <c r="A556" s="6" t="s">
        <v>3920</v>
      </c>
      <c r="B556" s="7">
        <f t="shared" si="25"/>
        <v>46114</v>
      </c>
      <c r="C556" s="7">
        <f t="shared" si="26"/>
        <v>46120</v>
      </c>
      <c r="D556" s="6">
        <v>3280</v>
      </c>
      <c r="E556" s="6">
        <v>337</v>
      </c>
      <c r="F556" s="6">
        <v>4</v>
      </c>
      <c r="G556" s="15">
        <v>1</v>
      </c>
      <c r="H556" s="15"/>
      <c r="I556" s="15" t="s">
        <v>1505</v>
      </c>
      <c r="J556" s="15">
        <v>23858542</v>
      </c>
      <c r="K556" s="15" t="s">
        <v>668</v>
      </c>
      <c r="L556" s="15" t="s">
        <v>671</v>
      </c>
      <c r="M556" s="16">
        <v>229900</v>
      </c>
      <c r="N556" s="9">
        <v>0.95</v>
      </c>
      <c r="O556" s="8">
        <f t="shared" si="24"/>
        <v>11495</v>
      </c>
      <c r="P556" s="6" t="s">
        <v>15</v>
      </c>
    </row>
    <row r="557" spans="1:16" x14ac:dyDescent="0.25">
      <c r="A557" s="6" t="s">
        <v>3920</v>
      </c>
      <c r="B557" s="7">
        <f t="shared" si="25"/>
        <v>46114</v>
      </c>
      <c r="C557" s="7">
        <f t="shared" si="26"/>
        <v>46120</v>
      </c>
      <c r="D557" s="6">
        <v>3280</v>
      </c>
      <c r="E557" s="6">
        <v>337</v>
      </c>
      <c r="F557" s="6">
        <v>4</v>
      </c>
      <c r="G557" s="15">
        <v>1</v>
      </c>
      <c r="H557" s="15"/>
      <c r="I557" s="15" t="s">
        <v>1505</v>
      </c>
      <c r="J557" s="15">
        <v>23858551</v>
      </c>
      <c r="K557" s="15" t="s">
        <v>668</v>
      </c>
      <c r="L557" s="15" t="s">
        <v>672</v>
      </c>
      <c r="M557" s="16">
        <v>239900</v>
      </c>
      <c r="N557" s="9">
        <v>0.95</v>
      </c>
      <c r="O557" s="8">
        <f t="shared" si="24"/>
        <v>11995</v>
      </c>
      <c r="P557" s="6" t="s">
        <v>15</v>
      </c>
    </row>
    <row r="558" spans="1:16" x14ac:dyDescent="0.25">
      <c r="A558" s="6" t="s">
        <v>3920</v>
      </c>
      <c r="B558" s="7">
        <f t="shared" si="25"/>
        <v>46114</v>
      </c>
      <c r="C558" s="7">
        <f t="shared" si="26"/>
        <v>46120</v>
      </c>
      <c r="D558" s="6">
        <v>3280</v>
      </c>
      <c r="E558" s="6">
        <v>337</v>
      </c>
      <c r="F558" s="6">
        <v>4</v>
      </c>
      <c r="G558" s="15">
        <v>1</v>
      </c>
      <c r="H558" s="15"/>
      <c r="I558" s="15" t="s">
        <v>1505</v>
      </c>
      <c r="J558" s="15">
        <v>23858560</v>
      </c>
      <c r="K558" s="15" t="s">
        <v>668</v>
      </c>
      <c r="L558" s="15" t="s">
        <v>673</v>
      </c>
      <c r="M558" s="16">
        <v>239900</v>
      </c>
      <c r="N558" s="9">
        <v>0.95</v>
      </c>
      <c r="O558" s="8">
        <f t="shared" si="24"/>
        <v>11995</v>
      </c>
      <c r="P558" s="6" t="s">
        <v>15</v>
      </c>
    </row>
    <row r="559" spans="1:16" x14ac:dyDescent="0.25">
      <c r="A559" s="6" t="s">
        <v>3920</v>
      </c>
      <c r="B559" s="7">
        <f t="shared" si="25"/>
        <v>46114</v>
      </c>
      <c r="C559" s="7">
        <f t="shared" si="26"/>
        <v>46120</v>
      </c>
      <c r="D559" s="6">
        <v>3280</v>
      </c>
      <c r="E559" s="6">
        <v>337</v>
      </c>
      <c r="F559" s="6">
        <v>4</v>
      </c>
      <c r="G559" s="15">
        <v>1</v>
      </c>
      <c r="H559" s="15"/>
      <c r="I559" s="15" t="s">
        <v>1505</v>
      </c>
      <c r="J559" s="15">
        <v>23858579</v>
      </c>
      <c r="K559" s="15" t="s">
        <v>668</v>
      </c>
      <c r="L559" s="15" t="s">
        <v>674</v>
      </c>
      <c r="M559" s="16">
        <v>239900</v>
      </c>
      <c r="N559" s="9">
        <v>0.95</v>
      </c>
      <c r="O559" s="8">
        <f t="shared" si="24"/>
        <v>11995</v>
      </c>
      <c r="P559" s="6" t="s">
        <v>15</v>
      </c>
    </row>
    <row r="560" spans="1:16" x14ac:dyDescent="0.25">
      <c r="A560" s="6" t="s">
        <v>3920</v>
      </c>
      <c r="B560" s="7">
        <f t="shared" si="25"/>
        <v>46114</v>
      </c>
      <c r="C560" s="7">
        <f t="shared" si="26"/>
        <v>46120</v>
      </c>
      <c r="D560" s="6">
        <v>3280</v>
      </c>
      <c r="E560" s="6">
        <v>337</v>
      </c>
      <c r="F560" s="6">
        <v>4</v>
      </c>
      <c r="G560" s="15">
        <v>1</v>
      </c>
      <c r="H560" s="15"/>
      <c r="I560" s="15" t="s">
        <v>1505</v>
      </c>
      <c r="J560" s="15">
        <v>23858588</v>
      </c>
      <c r="K560" s="15" t="s">
        <v>675</v>
      </c>
      <c r="L560" s="15" t="s">
        <v>676</v>
      </c>
      <c r="M560" s="16">
        <v>209900</v>
      </c>
      <c r="N560" s="9">
        <v>0.95</v>
      </c>
      <c r="O560" s="8">
        <f t="shared" si="24"/>
        <v>10495</v>
      </c>
      <c r="P560" s="6" t="s">
        <v>15</v>
      </c>
    </row>
    <row r="561" spans="1:16" x14ac:dyDescent="0.25">
      <c r="A561" s="6" t="s">
        <v>3920</v>
      </c>
      <c r="B561" s="7">
        <f t="shared" si="25"/>
        <v>46114</v>
      </c>
      <c r="C561" s="7">
        <f t="shared" si="26"/>
        <v>46120</v>
      </c>
      <c r="D561" s="6">
        <v>3280</v>
      </c>
      <c r="E561" s="6">
        <v>337</v>
      </c>
      <c r="F561" s="6">
        <v>4</v>
      </c>
      <c r="G561" s="15">
        <v>1</v>
      </c>
      <c r="H561" s="15"/>
      <c r="I561" s="15" t="s">
        <v>1505</v>
      </c>
      <c r="J561" s="15">
        <v>23858597</v>
      </c>
      <c r="K561" s="15" t="s">
        <v>675</v>
      </c>
      <c r="L561" s="15" t="s">
        <v>677</v>
      </c>
      <c r="M561" s="16">
        <v>209900</v>
      </c>
      <c r="N561" s="9">
        <v>0.95</v>
      </c>
      <c r="O561" s="8">
        <f t="shared" si="24"/>
        <v>10495</v>
      </c>
      <c r="P561" s="6" t="s">
        <v>15</v>
      </c>
    </row>
    <row r="562" spans="1:16" x14ac:dyDescent="0.25">
      <c r="A562" s="6" t="s">
        <v>3920</v>
      </c>
      <c r="B562" s="7">
        <f t="shared" si="25"/>
        <v>46114</v>
      </c>
      <c r="C562" s="7">
        <f t="shared" si="26"/>
        <v>46120</v>
      </c>
      <c r="D562" s="6">
        <v>3280</v>
      </c>
      <c r="E562" s="6">
        <v>337</v>
      </c>
      <c r="F562" s="6">
        <v>4</v>
      </c>
      <c r="G562" s="15">
        <v>1</v>
      </c>
      <c r="H562" s="15"/>
      <c r="I562" s="15" t="s">
        <v>1505</v>
      </c>
      <c r="J562" s="15">
        <v>23858604</v>
      </c>
      <c r="K562" s="15" t="s">
        <v>675</v>
      </c>
      <c r="L562" s="15" t="s">
        <v>678</v>
      </c>
      <c r="M562" s="16">
        <v>209900</v>
      </c>
      <c r="N562" s="9">
        <v>0.95</v>
      </c>
      <c r="O562" s="8">
        <f t="shared" si="24"/>
        <v>10495</v>
      </c>
      <c r="P562" s="6" t="s">
        <v>15</v>
      </c>
    </row>
    <row r="563" spans="1:16" x14ac:dyDescent="0.25">
      <c r="A563" s="6" t="s">
        <v>3920</v>
      </c>
      <c r="B563" s="7">
        <f t="shared" si="25"/>
        <v>46114</v>
      </c>
      <c r="C563" s="7">
        <f t="shared" si="26"/>
        <v>46120</v>
      </c>
      <c r="D563" s="6">
        <v>3280</v>
      </c>
      <c r="E563" s="6">
        <v>337</v>
      </c>
      <c r="F563" s="6">
        <v>4</v>
      </c>
      <c r="G563" s="15">
        <v>1</v>
      </c>
      <c r="H563" s="15"/>
      <c r="I563" s="15" t="s">
        <v>1505</v>
      </c>
      <c r="J563" s="15">
        <v>23858613</v>
      </c>
      <c r="K563" s="15" t="s">
        <v>675</v>
      </c>
      <c r="L563" s="15" t="s">
        <v>679</v>
      </c>
      <c r="M563" s="16">
        <v>219900</v>
      </c>
      <c r="N563" s="9">
        <v>0.95</v>
      </c>
      <c r="O563" s="8">
        <f t="shared" si="24"/>
        <v>10995</v>
      </c>
      <c r="P563" s="6" t="s">
        <v>15</v>
      </c>
    </row>
    <row r="564" spans="1:16" x14ac:dyDescent="0.25">
      <c r="A564" s="6" t="s">
        <v>3920</v>
      </c>
      <c r="B564" s="7">
        <f t="shared" si="25"/>
        <v>46114</v>
      </c>
      <c r="C564" s="7">
        <f t="shared" si="26"/>
        <v>46120</v>
      </c>
      <c r="D564" s="6">
        <v>3280</v>
      </c>
      <c r="E564" s="6">
        <v>337</v>
      </c>
      <c r="F564" s="6">
        <v>4</v>
      </c>
      <c r="G564" s="15">
        <v>1</v>
      </c>
      <c r="H564" s="15"/>
      <c r="I564" s="15" t="s">
        <v>1505</v>
      </c>
      <c r="J564" s="15">
        <v>23858622</v>
      </c>
      <c r="K564" s="15" t="s">
        <v>675</v>
      </c>
      <c r="L564" s="15" t="s">
        <v>680</v>
      </c>
      <c r="M564" s="16">
        <v>219900</v>
      </c>
      <c r="N564" s="9">
        <v>0.95</v>
      </c>
      <c r="O564" s="8">
        <f t="shared" si="24"/>
        <v>10995</v>
      </c>
      <c r="P564" s="6" t="s">
        <v>15</v>
      </c>
    </row>
    <row r="565" spans="1:16" x14ac:dyDescent="0.25">
      <c r="A565" s="6" t="s">
        <v>3920</v>
      </c>
      <c r="B565" s="7">
        <f t="shared" si="25"/>
        <v>46114</v>
      </c>
      <c r="C565" s="7">
        <f t="shared" si="26"/>
        <v>46120</v>
      </c>
      <c r="D565" s="6">
        <v>3280</v>
      </c>
      <c r="E565" s="6">
        <v>337</v>
      </c>
      <c r="F565" s="6">
        <v>4</v>
      </c>
      <c r="G565" s="15">
        <v>1</v>
      </c>
      <c r="H565" s="15"/>
      <c r="I565" s="15" t="s">
        <v>1505</v>
      </c>
      <c r="J565" s="15">
        <v>23858631</v>
      </c>
      <c r="K565" s="15" t="s">
        <v>675</v>
      </c>
      <c r="L565" s="15" t="s">
        <v>681</v>
      </c>
      <c r="M565" s="16">
        <v>219900</v>
      </c>
      <c r="N565" s="9">
        <v>0.95</v>
      </c>
      <c r="O565" s="8">
        <f t="shared" si="24"/>
        <v>10995</v>
      </c>
      <c r="P565" s="6" t="s">
        <v>15</v>
      </c>
    </row>
    <row r="566" spans="1:16" x14ac:dyDescent="0.25">
      <c r="A566" s="6" t="s">
        <v>3920</v>
      </c>
      <c r="B566" s="7">
        <f t="shared" si="25"/>
        <v>46114</v>
      </c>
      <c r="C566" s="7">
        <f t="shared" si="26"/>
        <v>46120</v>
      </c>
      <c r="D566" s="6">
        <v>3280</v>
      </c>
      <c r="E566" s="6">
        <v>337</v>
      </c>
      <c r="F566" s="6">
        <v>4</v>
      </c>
      <c r="G566" s="15">
        <v>1</v>
      </c>
      <c r="H566" s="15"/>
      <c r="I566" s="15" t="s">
        <v>1505</v>
      </c>
      <c r="J566" s="15">
        <v>23858640</v>
      </c>
      <c r="K566" s="15" t="s">
        <v>682</v>
      </c>
      <c r="L566" s="15" t="s">
        <v>683</v>
      </c>
      <c r="M566" s="16">
        <v>239900</v>
      </c>
      <c r="N566" s="9">
        <v>0.95</v>
      </c>
      <c r="O566" s="8">
        <f t="shared" si="24"/>
        <v>11995</v>
      </c>
      <c r="P566" s="6" t="s">
        <v>15</v>
      </c>
    </row>
    <row r="567" spans="1:16" x14ac:dyDescent="0.25">
      <c r="A567" s="6" t="s">
        <v>3920</v>
      </c>
      <c r="B567" s="7">
        <f t="shared" si="25"/>
        <v>46114</v>
      </c>
      <c r="C567" s="7">
        <f t="shared" si="26"/>
        <v>46120</v>
      </c>
      <c r="D567" s="6">
        <v>3280</v>
      </c>
      <c r="E567" s="6">
        <v>337</v>
      </c>
      <c r="F567" s="6">
        <v>4</v>
      </c>
      <c r="G567" s="15">
        <v>1</v>
      </c>
      <c r="H567" s="15"/>
      <c r="I567" s="15" t="s">
        <v>1505</v>
      </c>
      <c r="J567" s="15">
        <v>23858659</v>
      </c>
      <c r="K567" s="15" t="s">
        <v>682</v>
      </c>
      <c r="L567" s="15" t="s">
        <v>684</v>
      </c>
      <c r="M567" s="16">
        <v>239900</v>
      </c>
      <c r="N567" s="9">
        <v>0.95</v>
      </c>
      <c r="O567" s="8">
        <f t="shared" si="24"/>
        <v>11995</v>
      </c>
      <c r="P567" s="6" t="s">
        <v>15</v>
      </c>
    </row>
    <row r="568" spans="1:16" x14ac:dyDescent="0.25">
      <c r="A568" s="6" t="s">
        <v>3920</v>
      </c>
      <c r="B568" s="7">
        <f t="shared" si="25"/>
        <v>46114</v>
      </c>
      <c r="C568" s="7">
        <f t="shared" si="26"/>
        <v>46120</v>
      </c>
      <c r="D568" s="6">
        <v>3280</v>
      </c>
      <c r="E568" s="6">
        <v>337</v>
      </c>
      <c r="F568" s="6">
        <v>4</v>
      </c>
      <c r="G568" s="15">
        <v>1</v>
      </c>
      <c r="H568" s="15"/>
      <c r="I568" s="15" t="s">
        <v>1505</v>
      </c>
      <c r="J568" s="15">
        <v>23858668</v>
      </c>
      <c r="K568" s="15" t="s">
        <v>682</v>
      </c>
      <c r="L568" s="15" t="s">
        <v>685</v>
      </c>
      <c r="M568" s="16">
        <v>239900</v>
      </c>
      <c r="N568" s="9">
        <v>0.95</v>
      </c>
      <c r="O568" s="8">
        <f t="shared" si="24"/>
        <v>11995</v>
      </c>
      <c r="P568" s="6" t="s">
        <v>15</v>
      </c>
    </row>
    <row r="569" spans="1:16" x14ac:dyDescent="0.25">
      <c r="A569" s="6" t="s">
        <v>3920</v>
      </c>
      <c r="B569" s="7">
        <f t="shared" si="25"/>
        <v>46114</v>
      </c>
      <c r="C569" s="7">
        <f t="shared" si="26"/>
        <v>46120</v>
      </c>
      <c r="D569" s="6">
        <v>3280</v>
      </c>
      <c r="E569" s="6">
        <v>337</v>
      </c>
      <c r="F569" s="6">
        <v>4</v>
      </c>
      <c r="G569" s="15">
        <v>1</v>
      </c>
      <c r="H569" s="15"/>
      <c r="I569" s="15" t="s">
        <v>1505</v>
      </c>
      <c r="J569" s="15">
        <v>23858677</v>
      </c>
      <c r="K569" s="15" t="s">
        <v>682</v>
      </c>
      <c r="L569" s="15" t="s">
        <v>686</v>
      </c>
      <c r="M569" s="16">
        <v>239900</v>
      </c>
      <c r="N569" s="9">
        <v>0.95</v>
      </c>
      <c r="O569" s="8">
        <f t="shared" si="24"/>
        <v>11995</v>
      </c>
      <c r="P569" s="6" t="s">
        <v>15</v>
      </c>
    </row>
    <row r="570" spans="1:16" x14ac:dyDescent="0.25">
      <c r="A570" s="6" t="s">
        <v>3920</v>
      </c>
      <c r="B570" s="7">
        <f t="shared" si="25"/>
        <v>46114</v>
      </c>
      <c r="C570" s="7">
        <f t="shared" si="26"/>
        <v>46120</v>
      </c>
      <c r="D570" s="6">
        <v>3280</v>
      </c>
      <c r="E570" s="6">
        <v>337</v>
      </c>
      <c r="F570" s="6">
        <v>4</v>
      </c>
      <c r="G570" s="15">
        <v>1</v>
      </c>
      <c r="H570" s="15"/>
      <c r="I570" s="15" t="s">
        <v>1505</v>
      </c>
      <c r="J570" s="15">
        <v>23868282</v>
      </c>
      <c r="K570" s="15" t="s">
        <v>687</v>
      </c>
      <c r="L570" s="15" t="s">
        <v>688</v>
      </c>
      <c r="M570" s="16">
        <v>199900</v>
      </c>
      <c r="N570" s="9">
        <v>0.95</v>
      </c>
      <c r="O570" s="8">
        <f t="shared" si="24"/>
        <v>9995</v>
      </c>
      <c r="P570" s="6" t="s">
        <v>15</v>
      </c>
    </row>
    <row r="571" spans="1:16" x14ac:dyDescent="0.25">
      <c r="A571" s="6" t="s">
        <v>3920</v>
      </c>
      <c r="B571" s="7">
        <f t="shared" si="25"/>
        <v>46114</v>
      </c>
      <c r="C571" s="7">
        <f t="shared" si="26"/>
        <v>46120</v>
      </c>
      <c r="D571" s="6">
        <v>3280</v>
      </c>
      <c r="E571" s="6">
        <v>337</v>
      </c>
      <c r="F571" s="6">
        <v>4</v>
      </c>
      <c r="G571" s="15">
        <v>1</v>
      </c>
      <c r="H571" s="15"/>
      <c r="I571" s="15" t="s">
        <v>1505</v>
      </c>
      <c r="J571" s="15">
        <v>23868291</v>
      </c>
      <c r="K571" s="15" t="s">
        <v>687</v>
      </c>
      <c r="L571" s="15" t="s">
        <v>689</v>
      </c>
      <c r="M571" s="16">
        <v>199900</v>
      </c>
      <c r="N571" s="9">
        <v>0.95</v>
      </c>
      <c r="O571" s="8">
        <f t="shared" si="24"/>
        <v>9995</v>
      </c>
      <c r="P571" s="6" t="s">
        <v>15</v>
      </c>
    </row>
    <row r="572" spans="1:16" x14ac:dyDescent="0.25">
      <c r="A572" s="6" t="s">
        <v>3920</v>
      </c>
      <c r="B572" s="7">
        <f t="shared" si="25"/>
        <v>46114</v>
      </c>
      <c r="C572" s="7">
        <f t="shared" si="26"/>
        <v>46120</v>
      </c>
      <c r="D572" s="6">
        <v>3280</v>
      </c>
      <c r="E572" s="6">
        <v>337</v>
      </c>
      <c r="F572" s="6">
        <v>4</v>
      </c>
      <c r="G572" s="15">
        <v>1</v>
      </c>
      <c r="H572" s="15"/>
      <c r="I572" s="15" t="s">
        <v>1505</v>
      </c>
      <c r="J572" s="15">
        <v>23872106</v>
      </c>
      <c r="K572" s="15" t="s">
        <v>690</v>
      </c>
      <c r="L572" s="15" t="s">
        <v>691</v>
      </c>
      <c r="M572" s="16">
        <v>209900</v>
      </c>
      <c r="N572" s="9">
        <v>0.95</v>
      </c>
      <c r="O572" s="8">
        <f t="shared" si="24"/>
        <v>10495</v>
      </c>
      <c r="P572" s="6" t="s">
        <v>15</v>
      </c>
    </row>
    <row r="573" spans="1:16" x14ac:dyDescent="0.25">
      <c r="A573" s="6" t="s">
        <v>3920</v>
      </c>
      <c r="B573" s="7">
        <f t="shared" si="25"/>
        <v>46114</v>
      </c>
      <c r="C573" s="7">
        <f t="shared" si="26"/>
        <v>46120</v>
      </c>
      <c r="D573" s="6">
        <v>3280</v>
      </c>
      <c r="E573" s="6">
        <v>337</v>
      </c>
      <c r="F573" s="6">
        <v>4</v>
      </c>
      <c r="G573" s="15">
        <v>1</v>
      </c>
      <c r="H573" s="15"/>
      <c r="I573" s="15" t="s">
        <v>1505</v>
      </c>
      <c r="J573" s="15">
        <v>23872115</v>
      </c>
      <c r="K573" s="15" t="s">
        <v>690</v>
      </c>
      <c r="L573" s="15" t="s">
        <v>692</v>
      </c>
      <c r="M573" s="16">
        <v>209900</v>
      </c>
      <c r="N573" s="9">
        <v>0.95</v>
      </c>
      <c r="O573" s="8">
        <f t="shared" si="24"/>
        <v>10495</v>
      </c>
      <c r="P573" s="6" t="s">
        <v>15</v>
      </c>
    </row>
    <row r="574" spans="1:16" x14ac:dyDescent="0.25">
      <c r="A574" s="6" t="s">
        <v>3920</v>
      </c>
      <c r="B574" s="7">
        <f t="shared" si="25"/>
        <v>46114</v>
      </c>
      <c r="C574" s="7">
        <f t="shared" si="26"/>
        <v>46120</v>
      </c>
      <c r="D574" s="6">
        <v>3280</v>
      </c>
      <c r="E574" s="6">
        <v>337</v>
      </c>
      <c r="F574" s="6">
        <v>4</v>
      </c>
      <c r="G574" s="15">
        <v>1</v>
      </c>
      <c r="H574" s="15"/>
      <c r="I574" s="15" t="s">
        <v>1505</v>
      </c>
      <c r="J574" s="15">
        <v>23872124</v>
      </c>
      <c r="K574" s="15" t="s">
        <v>690</v>
      </c>
      <c r="L574" s="15" t="s">
        <v>693</v>
      </c>
      <c r="M574" s="16">
        <v>209900</v>
      </c>
      <c r="N574" s="9">
        <v>0.95</v>
      </c>
      <c r="O574" s="8">
        <f t="shared" si="24"/>
        <v>10495</v>
      </c>
      <c r="P574" s="6" t="s">
        <v>15</v>
      </c>
    </row>
    <row r="575" spans="1:16" x14ac:dyDescent="0.25">
      <c r="A575" s="6" t="s">
        <v>3920</v>
      </c>
      <c r="B575" s="7">
        <f t="shared" si="25"/>
        <v>46114</v>
      </c>
      <c r="C575" s="7">
        <f t="shared" si="26"/>
        <v>46120</v>
      </c>
      <c r="D575" s="6">
        <v>3280</v>
      </c>
      <c r="E575" s="6">
        <v>337</v>
      </c>
      <c r="F575" s="6">
        <v>4</v>
      </c>
      <c r="G575" s="15">
        <v>1</v>
      </c>
      <c r="H575" s="15"/>
      <c r="I575" s="15" t="s">
        <v>1505</v>
      </c>
      <c r="J575" s="15">
        <v>23872133</v>
      </c>
      <c r="K575" s="15" t="s">
        <v>690</v>
      </c>
      <c r="L575" s="15" t="s">
        <v>694</v>
      </c>
      <c r="M575" s="16">
        <v>219900</v>
      </c>
      <c r="N575" s="9">
        <v>0.95</v>
      </c>
      <c r="O575" s="8">
        <f t="shared" si="24"/>
        <v>10995</v>
      </c>
      <c r="P575" s="6" t="s">
        <v>15</v>
      </c>
    </row>
    <row r="576" spans="1:16" x14ac:dyDescent="0.25">
      <c r="A576" s="6" t="s">
        <v>3920</v>
      </c>
      <c r="B576" s="7">
        <f t="shared" si="25"/>
        <v>46114</v>
      </c>
      <c r="C576" s="7">
        <f t="shared" si="26"/>
        <v>46120</v>
      </c>
      <c r="D576" s="6">
        <v>3280</v>
      </c>
      <c r="E576" s="6">
        <v>337</v>
      </c>
      <c r="F576" s="6">
        <v>4</v>
      </c>
      <c r="G576" s="15">
        <v>1</v>
      </c>
      <c r="H576" s="15"/>
      <c r="I576" s="15" t="s">
        <v>1505</v>
      </c>
      <c r="J576" s="15">
        <v>23872142</v>
      </c>
      <c r="K576" s="15" t="s">
        <v>690</v>
      </c>
      <c r="L576" s="15" t="s">
        <v>695</v>
      </c>
      <c r="M576" s="16">
        <v>219900</v>
      </c>
      <c r="N576" s="9">
        <v>0.95</v>
      </c>
      <c r="O576" s="8">
        <f t="shared" si="24"/>
        <v>10995</v>
      </c>
      <c r="P576" s="6" t="s">
        <v>15</v>
      </c>
    </row>
    <row r="577" spans="1:16" x14ac:dyDescent="0.25">
      <c r="A577" s="6" t="s">
        <v>3920</v>
      </c>
      <c r="B577" s="7">
        <f t="shared" si="25"/>
        <v>46114</v>
      </c>
      <c r="C577" s="7">
        <f t="shared" si="26"/>
        <v>46120</v>
      </c>
      <c r="D577" s="6">
        <v>3280</v>
      </c>
      <c r="E577" s="6">
        <v>337</v>
      </c>
      <c r="F577" s="6">
        <v>4</v>
      </c>
      <c r="G577" s="15">
        <v>1</v>
      </c>
      <c r="H577" s="15"/>
      <c r="I577" s="15" t="s">
        <v>1505</v>
      </c>
      <c r="J577" s="15">
        <v>23872151</v>
      </c>
      <c r="K577" s="15" t="s">
        <v>690</v>
      </c>
      <c r="L577" s="15" t="s">
        <v>696</v>
      </c>
      <c r="M577" s="16">
        <v>219900</v>
      </c>
      <c r="N577" s="9">
        <v>0.95</v>
      </c>
      <c r="O577" s="8">
        <f t="shared" si="24"/>
        <v>10995</v>
      </c>
      <c r="P577" s="6" t="s">
        <v>15</v>
      </c>
    </row>
    <row r="578" spans="1:16" x14ac:dyDescent="0.25">
      <c r="A578" s="6" t="s">
        <v>3920</v>
      </c>
      <c r="B578" s="7">
        <f t="shared" si="25"/>
        <v>46114</v>
      </c>
      <c r="C578" s="7">
        <f t="shared" si="26"/>
        <v>46120</v>
      </c>
      <c r="D578" s="6">
        <v>3280</v>
      </c>
      <c r="E578" s="6">
        <v>337</v>
      </c>
      <c r="F578" s="6">
        <v>4</v>
      </c>
      <c r="G578" s="15">
        <v>1</v>
      </c>
      <c r="H578" s="15"/>
      <c r="I578" s="15" t="s">
        <v>1505</v>
      </c>
      <c r="J578" s="15">
        <v>23872508</v>
      </c>
      <c r="K578" s="15" t="s">
        <v>697</v>
      </c>
      <c r="L578" s="15" t="s">
        <v>698</v>
      </c>
      <c r="M578" s="16">
        <v>199900</v>
      </c>
      <c r="N578" s="9">
        <v>0.95</v>
      </c>
      <c r="O578" s="8">
        <f t="shared" ref="O578:O641" si="27">M578-((95*M578)/100)</f>
        <v>9995</v>
      </c>
      <c r="P578" s="6" t="s">
        <v>15</v>
      </c>
    </row>
    <row r="579" spans="1:16" x14ac:dyDescent="0.25">
      <c r="A579" s="6" t="s">
        <v>3920</v>
      </c>
      <c r="B579" s="7">
        <f t="shared" si="25"/>
        <v>46114</v>
      </c>
      <c r="C579" s="7">
        <f t="shared" si="26"/>
        <v>46120</v>
      </c>
      <c r="D579" s="6">
        <v>3280</v>
      </c>
      <c r="E579" s="6">
        <v>337</v>
      </c>
      <c r="F579" s="6">
        <v>4</v>
      </c>
      <c r="G579" s="15">
        <v>1</v>
      </c>
      <c r="H579" s="15"/>
      <c r="I579" s="15" t="s">
        <v>1505</v>
      </c>
      <c r="J579" s="15">
        <v>23872517</v>
      </c>
      <c r="K579" s="15" t="s">
        <v>697</v>
      </c>
      <c r="L579" s="15" t="s">
        <v>699</v>
      </c>
      <c r="M579" s="16">
        <v>199900</v>
      </c>
      <c r="N579" s="9">
        <v>0.95</v>
      </c>
      <c r="O579" s="8">
        <f t="shared" si="27"/>
        <v>9995</v>
      </c>
      <c r="P579" s="6" t="s">
        <v>15</v>
      </c>
    </row>
    <row r="580" spans="1:16" x14ac:dyDescent="0.25">
      <c r="A580" s="6" t="s">
        <v>3920</v>
      </c>
      <c r="B580" s="7">
        <f t="shared" ref="B580:B643" si="28">B579</f>
        <v>46114</v>
      </c>
      <c r="C580" s="7">
        <f t="shared" ref="C580:C643" si="29">C579</f>
        <v>46120</v>
      </c>
      <c r="D580" s="6">
        <v>3280</v>
      </c>
      <c r="E580" s="6">
        <v>337</v>
      </c>
      <c r="F580" s="6">
        <v>4</v>
      </c>
      <c r="G580" s="15">
        <v>1</v>
      </c>
      <c r="H580" s="15"/>
      <c r="I580" s="15" t="s">
        <v>1505</v>
      </c>
      <c r="J580" s="15">
        <v>23872526</v>
      </c>
      <c r="K580" s="15" t="s">
        <v>697</v>
      </c>
      <c r="L580" s="15" t="s">
        <v>700</v>
      </c>
      <c r="M580" s="16">
        <v>209900</v>
      </c>
      <c r="N580" s="9">
        <v>0.95</v>
      </c>
      <c r="O580" s="8">
        <f t="shared" si="27"/>
        <v>10495</v>
      </c>
      <c r="P580" s="6" t="s">
        <v>15</v>
      </c>
    </row>
    <row r="581" spans="1:16" x14ac:dyDescent="0.25">
      <c r="A581" s="6" t="s">
        <v>3920</v>
      </c>
      <c r="B581" s="7">
        <f t="shared" si="28"/>
        <v>46114</v>
      </c>
      <c r="C581" s="7">
        <f t="shared" si="29"/>
        <v>46120</v>
      </c>
      <c r="D581" s="6">
        <v>3280</v>
      </c>
      <c r="E581" s="6">
        <v>337</v>
      </c>
      <c r="F581" s="6">
        <v>4</v>
      </c>
      <c r="G581" s="15">
        <v>1</v>
      </c>
      <c r="H581" s="15"/>
      <c r="I581" s="15" t="s">
        <v>1505</v>
      </c>
      <c r="J581" s="15">
        <v>23872535</v>
      </c>
      <c r="K581" s="15" t="s">
        <v>697</v>
      </c>
      <c r="L581" s="15" t="s">
        <v>701</v>
      </c>
      <c r="M581" s="16">
        <v>209900</v>
      </c>
      <c r="N581" s="9">
        <v>0.95</v>
      </c>
      <c r="O581" s="8">
        <f t="shared" si="27"/>
        <v>10495</v>
      </c>
      <c r="P581" s="6" t="s">
        <v>15</v>
      </c>
    </row>
    <row r="582" spans="1:16" x14ac:dyDescent="0.25">
      <c r="A582" s="6" t="s">
        <v>3920</v>
      </c>
      <c r="B582" s="7">
        <f t="shared" si="28"/>
        <v>46114</v>
      </c>
      <c r="C582" s="7">
        <f t="shared" si="29"/>
        <v>46120</v>
      </c>
      <c r="D582" s="6">
        <v>3280</v>
      </c>
      <c r="E582" s="6">
        <v>337</v>
      </c>
      <c r="F582" s="6">
        <v>4</v>
      </c>
      <c r="G582" s="15">
        <v>1</v>
      </c>
      <c r="H582" s="15"/>
      <c r="I582" s="15" t="s">
        <v>1505</v>
      </c>
      <c r="J582" s="15">
        <v>23872544</v>
      </c>
      <c r="K582" s="15" t="s">
        <v>697</v>
      </c>
      <c r="L582" s="15" t="s">
        <v>702</v>
      </c>
      <c r="M582" s="16">
        <v>209900</v>
      </c>
      <c r="N582" s="9">
        <v>0.95</v>
      </c>
      <c r="O582" s="8">
        <f t="shared" si="27"/>
        <v>10495</v>
      </c>
      <c r="P582" s="6" t="s">
        <v>15</v>
      </c>
    </row>
    <row r="583" spans="1:16" x14ac:dyDescent="0.25">
      <c r="A583" s="6" t="s">
        <v>3920</v>
      </c>
      <c r="B583" s="7">
        <f t="shared" si="28"/>
        <v>46114</v>
      </c>
      <c r="C583" s="7">
        <f t="shared" si="29"/>
        <v>46120</v>
      </c>
      <c r="D583" s="6">
        <v>3280</v>
      </c>
      <c r="E583" s="6">
        <v>337</v>
      </c>
      <c r="F583" s="6">
        <v>4</v>
      </c>
      <c r="G583" s="15">
        <v>1</v>
      </c>
      <c r="H583" s="15"/>
      <c r="I583" s="15" t="s">
        <v>1505</v>
      </c>
      <c r="J583" s="15">
        <v>23872848</v>
      </c>
      <c r="K583" s="15" t="s">
        <v>703</v>
      </c>
      <c r="L583" s="15" t="s">
        <v>704</v>
      </c>
      <c r="M583" s="16">
        <v>209900</v>
      </c>
      <c r="N583" s="9">
        <v>0.95</v>
      </c>
      <c r="O583" s="8">
        <f t="shared" si="27"/>
        <v>10495</v>
      </c>
      <c r="P583" s="6" t="s">
        <v>15</v>
      </c>
    </row>
    <row r="584" spans="1:16" x14ac:dyDescent="0.25">
      <c r="A584" s="6" t="s">
        <v>3920</v>
      </c>
      <c r="B584" s="7">
        <f t="shared" si="28"/>
        <v>46114</v>
      </c>
      <c r="C584" s="7">
        <f t="shared" si="29"/>
        <v>46120</v>
      </c>
      <c r="D584" s="6">
        <v>3280</v>
      </c>
      <c r="E584" s="6">
        <v>337</v>
      </c>
      <c r="F584" s="6">
        <v>4</v>
      </c>
      <c r="G584" s="15">
        <v>1</v>
      </c>
      <c r="H584" s="15"/>
      <c r="I584" s="15" t="s">
        <v>1505</v>
      </c>
      <c r="J584" s="15">
        <v>23872857</v>
      </c>
      <c r="K584" s="15" t="s">
        <v>703</v>
      </c>
      <c r="L584" s="15" t="s">
        <v>705</v>
      </c>
      <c r="M584" s="16">
        <v>209900</v>
      </c>
      <c r="N584" s="9">
        <v>0.95</v>
      </c>
      <c r="O584" s="8">
        <f t="shared" si="27"/>
        <v>10495</v>
      </c>
      <c r="P584" s="6" t="s">
        <v>15</v>
      </c>
    </row>
    <row r="585" spans="1:16" x14ac:dyDescent="0.25">
      <c r="A585" s="6" t="s">
        <v>3920</v>
      </c>
      <c r="B585" s="7">
        <f t="shared" si="28"/>
        <v>46114</v>
      </c>
      <c r="C585" s="7">
        <f t="shared" si="29"/>
        <v>46120</v>
      </c>
      <c r="D585" s="6">
        <v>3280</v>
      </c>
      <c r="E585" s="6">
        <v>337</v>
      </c>
      <c r="F585" s="6">
        <v>4</v>
      </c>
      <c r="G585" s="15">
        <v>1</v>
      </c>
      <c r="H585" s="15"/>
      <c r="I585" s="15" t="s">
        <v>1505</v>
      </c>
      <c r="J585" s="15">
        <v>23872866</v>
      </c>
      <c r="K585" s="15" t="s">
        <v>703</v>
      </c>
      <c r="L585" s="15" t="s">
        <v>706</v>
      </c>
      <c r="M585" s="16">
        <v>209900</v>
      </c>
      <c r="N585" s="9">
        <v>0.95</v>
      </c>
      <c r="O585" s="8">
        <f t="shared" si="27"/>
        <v>10495</v>
      </c>
      <c r="P585" s="6" t="s">
        <v>15</v>
      </c>
    </row>
    <row r="586" spans="1:16" x14ac:dyDescent="0.25">
      <c r="A586" s="6" t="s">
        <v>3920</v>
      </c>
      <c r="B586" s="7">
        <f t="shared" si="28"/>
        <v>46114</v>
      </c>
      <c r="C586" s="7">
        <f t="shared" si="29"/>
        <v>46120</v>
      </c>
      <c r="D586" s="6">
        <v>3280</v>
      </c>
      <c r="E586" s="6">
        <v>337</v>
      </c>
      <c r="F586" s="6">
        <v>4</v>
      </c>
      <c r="G586" s="15">
        <v>1</v>
      </c>
      <c r="H586" s="15"/>
      <c r="I586" s="15" t="s">
        <v>1505</v>
      </c>
      <c r="J586" s="15">
        <v>23873016</v>
      </c>
      <c r="K586" s="15" t="s">
        <v>707</v>
      </c>
      <c r="L586" s="15" t="s">
        <v>708</v>
      </c>
      <c r="M586" s="16">
        <v>209900</v>
      </c>
      <c r="N586" s="9">
        <v>0.95</v>
      </c>
      <c r="O586" s="8">
        <f t="shared" si="27"/>
        <v>10495</v>
      </c>
      <c r="P586" s="6" t="s">
        <v>15</v>
      </c>
    </row>
    <row r="587" spans="1:16" x14ac:dyDescent="0.25">
      <c r="A587" s="6" t="s">
        <v>3920</v>
      </c>
      <c r="B587" s="7">
        <f t="shared" si="28"/>
        <v>46114</v>
      </c>
      <c r="C587" s="7">
        <f t="shared" si="29"/>
        <v>46120</v>
      </c>
      <c r="D587" s="6">
        <v>3280</v>
      </c>
      <c r="E587" s="6">
        <v>337</v>
      </c>
      <c r="F587" s="6">
        <v>4</v>
      </c>
      <c r="G587" s="15">
        <v>1</v>
      </c>
      <c r="H587" s="15"/>
      <c r="I587" s="15" t="s">
        <v>1505</v>
      </c>
      <c r="J587" s="15">
        <v>23873025</v>
      </c>
      <c r="K587" s="15" t="s">
        <v>707</v>
      </c>
      <c r="L587" s="15" t="s">
        <v>709</v>
      </c>
      <c r="M587" s="16">
        <v>219900</v>
      </c>
      <c r="N587" s="9">
        <v>0.95</v>
      </c>
      <c r="O587" s="8">
        <f t="shared" si="27"/>
        <v>10995</v>
      </c>
      <c r="P587" s="6" t="s">
        <v>15</v>
      </c>
    </row>
    <row r="588" spans="1:16" x14ac:dyDescent="0.25">
      <c r="A588" s="6" t="s">
        <v>3920</v>
      </c>
      <c r="B588" s="7">
        <f t="shared" si="28"/>
        <v>46114</v>
      </c>
      <c r="C588" s="7">
        <f t="shared" si="29"/>
        <v>46120</v>
      </c>
      <c r="D588" s="6">
        <v>3280</v>
      </c>
      <c r="E588" s="6">
        <v>337</v>
      </c>
      <c r="F588" s="6">
        <v>4</v>
      </c>
      <c r="G588" s="15">
        <v>1</v>
      </c>
      <c r="H588" s="15"/>
      <c r="I588" s="15" t="s">
        <v>1505</v>
      </c>
      <c r="J588" s="15">
        <v>23873034</v>
      </c>
      <c r="K588" s="15" t="s">
        <v>707</v>
      </c>
      <c r="L588" s="15" t="s">
        <v>710</v>
      </c>
      <c r="M588" s="16">
        <v>219900</v>
      </c>
      <c r="N588" s="9">
        <v>0.95</v>
      </c>
      <c r="O588" s="8">
        <f t="shared" si="27"/>
        <v>10995</v>
      </c>
      <c r="P588" s="6" t="s">
        <v>15</v>
      </c>
    </row>
    <row r="589" spans="1:16" x14ac:dyDescent="0.25">
      <c r="A589" s="6" t="s">
        <v>3920</v>
      </c>
      <c r="B589" s="7">
        <f t="shared" si="28"/>
        <v>46114</v>
      </c>
      <c r="C589" s="7">
        <f t="shared" si="29"/>
        <v>46120</v>
      </c>
      <c r="D589" s="6">
        <v>3280</v>
      </c>
      <c r="E589" s="6">
        <v>337</v>
      </c>
      <c r="F589" s="6">
        <v>4</v>
      </c>
      <c r="G589" s="15">
        <v>1</v>
      </c>
      <c r="H589" s="15"/>
      <c r="I589" s="15" t="s">
        <v>1505</v>
      </c>
      <c r="J589" s="15">
        <v>23873043</v>
      </c>
      <c r="K589" s="15" t="s">
        <v>707</v>
      </c>
      <c r="L589" s="15" t="s">
        <v>711</v>
      </c>
      <c r="M589" s="16">
        <v>219900</v>
      </c>
      <c r="N589" s="9">
        <v>0.95</v>
      </c>
      <c r="O589" s="8">
        <f t="shared" si="27"/>
        <v>10995</v>
      </c>
      <c r="P589" s="6" t="s">
        <v>15</v>
      </c>
    </row>
    <row r="590" spans="1:16" x14ac:dyDescent="0.25">
      <c r="A590" s="6" t="s">
        <v>3920</v>
      </c>
      <c r="B590" s="7">
        <f t="shared" si="28"/>
        <v>46114</v>
      </c>
      <c r="C590" s="7">
        <f t="shared" si="29"/>
        <v>46120</v>
      </c>
      <c r="D590" s="6">
        <v>3280</v>
      </c>
      <c r="E590" s="6">
        <v>337</v>
      </c>
      <c r="F590" s="6">
        <v>4</v>
      </c>
      <c r="G590" s="15">
        <v>1</v>
      </c>
      <c r="H590" s="15"/>
      <c r="I590" s="15" t="s">
        <v>1505</v>
      </c>
      <c r="J590" s="15">
        <v>23926638</v>
      </c>
      <c r="K590" s="15" t="s">
        <v>712</v>
      </c>
      <c r="L590" s="15" t="s">
        <v>713</v>
      </c>
      <c r="M590" s="16">
        <v>199900</v>
      </c>
      <c r="N590" s="9">
        <v>0.95</v>
      </c>
      <c r="O590" s="8">
        <f t="shared" si="27"/>
        <v>9995</v>
      </c>
      <c r="P590" s="6" t="s">
        <v>15</v>
      </c>
    </row>
    <row r="591" spans="1:16" x14ac:dyDescent="0.25">
      <c r="A591" s="6" t="s">
        <v>3920</v>
      </c>
      <c r="B591" s="7">
        <f t="shared" si="28"/>
        <v>46114</v>
      </c>
      <c r="C591" s="7">
        <f t="shared" si="29"/>
        <v>46120</v>
      </c>
      <c r="D591" s="6">
        <v>3280</v>
      </c>
      <c r="E591" s="6">
        <v>337</v>
      </c>
      <c r="F591" s="6">
        <v>4</v>
      </c>
      <c r="G591" s="15">
        <v>1</v>
      </c>
      <c r="H591" s="15"/>
      <c r="I591" s="15" t="s">
        <v>1505</v>
      </c>
      <c r="J591" s="15">
        <v>23926718</v>
      </c>
      <c r="K591" s="15" t="s">
        <v>714</v>
      </c>
      <c r="L591" s="15" t="s">
        <v>715</v>
      </c>
      <c r="M591" s="16">
        <v>199900</v>
      </c>
      <c r="N591" s="9">
        <v>0.95</v>
      </c>
      <c r="O591" s="8">
        <f t="shared" si="27"/>
        <v>9995</v>
      </c>
      <c r="P591" s="6" t="s">
        <v>15</v>
      </c>
    </row>
    <row r="592" spans="1:16" x14ac:dyDescent="0.25">
      <c r="A592" s="6" t="s">
        <v>3920</v>
      </c>
      <c r="B592" s="7">
        <f t="shared" si="28"/>
        <v>46114</v>
      </c>
      <c r="C592" s="7">
        <f t="shared" si="29"/>
        <v>46120</v>
      </c>
      <c r="D592" s="6">
        <v>3280</v>
      </c>
      <c r="E592" s="6">
        <v>337</v>
      </c>
      <c r="F592" s="6">
        <v>4</v>
      </c>
      <c r="G592" s="15">
        <v>1</v>
      </c>
      <c r="H592" s="15"/>
      <c r="I592" s="15" t="s">
        <v>1505</v>
      </c>
      <c r="J592" s="15">
        <v>23926987</v>
      </c>
      <c r="K592" s="15" t="s">
        <v>716</v>
      </c>
      <c r="L592" s="15" t="s">
        <v>717</v>
      </c>
      <c r="M592" s="16">
        <v>189900</v>
      </c>
      <c r="N592" s="9">
        <v>0.95</v>
      </c>
      <c r="O592" s="8">
        <f t="shared" si="27"/>
        <v>9495</v>
      </c>
      <c r="P592" s="6" t="s">
        <v>15</v>
      </c>
    </row>
    <row r="593" spans="1:16" x14ac:dyDescent="0.25">
      <c r="A593" s="6" t="s">
        <v>3920</v>
      </c>
      <c r="B593" s="7">
        <f t="shared" si="28"/>
        <v>46114</v>
      </c>
      <c r="C593" s="7">
        <f t="shared" si="29"/>
        <v>46120</v>
      </c>
      <c r="D593" s="6">
        <v>3280</v>
      </c>
      <c r="E593" s="6">
        <v>337</v>
      </c>
      <c r="F593" s="6">
        <v>4</v>
      </c>
      <c r="G593" s="15">
        <v>1</v>
      </c>
      <c r="H593" s="15"/>
      <c r="I593" s="15" t="s">
        <v>1505</v>
      </c>
      <c r="J593" s="15">
        <v>23926996</v>
      </c>
      <c r="K593" s="15" t="s">
        <v>716</v>
      </c>
      <c r="L593" s="15" t="s">
        <v>718</v>
      </c>
      <c r="M593" s="16">
        <v>189900</v>
      </c>
      <c r="N593" s="9">
        <v>0.95</v>
      </c>
      <c r="O593" s="8">
        <f t="shared" si="27"/>
        <v>9495</v>
      </c>
      <c r="P593" s="6" t="s">
        <v>15</v>
      </c>
    </row>
    <row r="594" spans="1:16" x14ac:dyDescent="0.25">
      <c r="A594" s="6" t="s">
        <v>3920</v>
      </c>
      <c r="B594" s="7">
        <f t="shared" si="28"/>
        <v>46114</v>
      </c>
      <c r="C594" s="7">
        <f t="shared" si="29"/>
        <v>46120</v>
      </c>
      <c r="D594" s="6">
        <v>3280</v>
      </c>
      <c r="E594" s="6">
        <v>337</v>
      </c>
      <c r="F594" s="6">
        <v>4</v>
      </c>
      <c r="G594" s="15">
        <v>1</v>
      </c>
      <c r="H594" s="15"/>
      <c r="I594" s="15" t="s">
        <v>1505</v>
      </c>
      <c r="J594" s="15">
        <v>23927128</v>
      </c>
      <c r="K594" s="15" t="s">
        <v>719</v>
      </c>
      <c r="L594" s="15" t="s">
        <v>720</v>
      </c>
      <c r="M594" s="16">
        <v>239900</v>
      </c>
      <c r="N594" s="9">
        <v>0.95</v>
      </c>
      <c r="O594" s="8">
        <f t="shared" si="27"/>
        <v>11995</v>
      </c>
      <c r="P594" s="6" t="s">
        <v>15</v>
      </c>
    </row>
    <row r="595" spans="1:16" x14ac:dyDescent="0.25">
      <c r="A595" s="6" t="s">
        <v>3920</v>
      </c>
      <c r="B595" s="7">
        <f t="shared" si="28"/>
        <v>46114</v>
      </c>
      <c r="C595" s="7">
        <f t="shared" si="29"/>
        <v>46120</v>
      </c>
      <c r="D595" s="6">
        <v>3280</v>
      </c>
      <c r="E595" s="6">
        <v>337</v>
      </c>
      <c r="F595" s="6">
        <v>4</v>
      </c>
      <c r="G595" s="15">
        <v>1</v>
      </c>
      <c r="H595" s="15"/>
      <c r="I595" s="15" t="s">
        <v>1505</v>
      </c>
      <c r="J595" s="15">
        <v>23927137</v>
      </c>
      <c r="K595" s="15" t="s">
        <v>719</v>
      </c>
      <c r="L595" s="15" t="s">
        <v>721</v>
      </c>
      <c r="M595" s="16">
        <v>239900</v>
      </c>
      <c r="N595" s="9">
        <v>0.95</v>
      </c>
      <c r="O595" s="8">
        <f t="shared" si="27"/>
        <v>11995</v>
      </c>
      <c r="P595" s="6" t="s">
        <v>15</v>
      </c>
    </row>
    <row r="596" spans="1:16" x14ac:dyDescent="0.25">
      <c r="A596" s="6" t="s">
        <v>3920</v>
      </c>
      <c r="B596" s="7">
        <f t="shared" si="28"/>
        <v>46114</v>
      </c>
      <c r="C596" s="7">
        <f t="shared" si="29"/>
        <v>46120</v>
      </c>
      <c r="D596" s="6">
        <v>3280</v>
      </c>
      <c r="E596" s="6">
        <v>337</v>
      </c>
      <c r="F596" s="6">
        <v>4</v>
      </c>
      <c r="G596" s="15">
        <v>1</v>
      </c>
      <c r="H596" s="15"/>
      <c r="I596" s="15" t="s">
        <v>1505</v>
      </c>
      <c r="J596" s="15">
        <v>23927146</v>
      </c>
      <c r="K596" s="15" t="s">
        <v>719</v>
      </c>
      <c r="L596" s="15" t="s">
        <v>722</v>
      </c>
      <c r="M596" s="16">
        <v>239900</v>
      </c>
      <c r="N596" s="9">
        <v>0.95</v>
      </c>
      <c r="O596" s="8">
        <f t="shared" si="27"/>
        <v>11995</v>
      </c>
      <c r="P596" s="6" t="s">
        <v>15</v>
      </c>
    </row>
    <row r="597" spans="1:16" x14ac:dyDescent="0.25">
      <c r="A597" s="6" t="s">
        <v>3920</v>
      </c>
      <c r="B597" s="7">
        <f t="shared" si="28"/>
        <v>46114</v>
      </c>
      <c r="C597" s="7">
        <f t="shared" si="29"/>
        <v>46120</v>
      </c>
      <c r="D597" s="6">
        <v>3280</v>
      </c>
      <c r="E597" s="6">
        <v>337</v>
      </c>
      <c r="F597" s="6">
        <v>4</v>
      </c>
      <c r="G597" s="15">
        <v>1</v>
      </c>
      <c r="H597" s="15"/>
      <c r="I597" s="15" t="s">
        <v>1505</v>
      </c>
      <c r="J597" s="15">
        <v>23927155</v>
      </c>
      <c r="K597" s="15" t="s">
        <v>719</v>
      </c>
      <c r="L597" s="15" t="s">
        <v>723</v>
      </c>
      <c r="M597" s="16">
        <v>249900</v>
      </c>
      <c r="N597" s="9">
        <v>0.95</v>
      </c>
      <c r="O597" s="8">
        <f t="shared" si="27"/>
        <v>12495</v>
      </c>
      <c r="P597" s="6" t="s">
        <v>15</v>
      </c>
    </row>
    <row r="598" spans="1:16" x14ac:dyDescent="0.25">
      <c r="A598" s="6" t="s">
        <v>3920</v>
      </c>
      <c r="B598" s="7">
        <f t="shared" si="28"/>
        <v>46114</v>
      </c>
      <c r="C598" s="7">
        <f t="shared" si="29"/>
        <v>46120</v>
      </c>
      <c r="D598" s="6">
        <v>3280</v>
      </c>
      <c r="E598" s="6">
        <v>337</v>
      </c>
      <c r="F598" s="6">
        <v>4</v>
      </c>
      <c r="G598" s="15">
        <v>1</v>
      </c>
      <c r="H598" s="15"/>
      <c r="I598" s="15" t="s">
        <v>1505</v>
      </c>
      <c r="J598" s="15">
        <v>23927164</v>
      </c>
      <c r="K598" s="15" t="s">
        <v>719</v>
      </c>
      <c r="L598" s="15" t="s">
        <v>724</v>
      </c>
      <c r="M598" s="16">
        <v>249900</v>
      </c>
      <c r="N598" s="9">
        <v>0.95</v>
      </c>
      <c r="O598" s="8">
        <f t="shared" si="27"/>
        <v>12495</v>
      </c>
      <c r="P598" s="6" t="s">
        <v>15</v>
      </c>
    </row>
    <row r="599" spans="1:16" x14ac:dyDescent="0.25">
      <c r="A599" s="6" t="s">
        <v>3920</v>
      </c>
      <c r="B599" s="7">
        <f t="shared" si="28"/>
        <v>46114</v>
      </c>
      <c r="C599" s="7">
        <f t="shared" si="29"/>
        <v>46120</v>
      </c>
      <c r="D599" s="6">
        <v>3280</v>
      </c>
      <c r="E599" s="6">
        <v>337</v>
      </c>
      <c r="F599" s="6">
        <v>4</v>
      </c>
      <c r="G599" s="15">
        <v>1</v>
      </c>
      <c r="H599" s="15"/>
      <c r="I599" s="15" t="s">
        <v>1505</v>
      </c>
      <c r="J599" s="15">
        <v>23927173</v>
      </c>
      <c r="K599" s="15" t="s">
        <v>719</v>
      </c>
      <c r="L599" s="15" t="s">
        <v>725</v>
      </c>
      <c r="M599" s="16">
        <v>249900</v>
      </c>
      <c r="N599" s="9">
        <v>0.95</v>
      </c>
      <c r="O599" s="8">
        <f t="shared" si="27"/>
        <v>12495</v>
      </c>
      <c r="P599" s="6" t="s">
        <v>15</v>
      </c>
    </row>
    <row r="600" spans="1:16" x14ac:dyDescent="0.25">
      <c r="A600" s="6" t="s">
        <v>3920</v>
      </c>
      <c r="B600" s="7">
        <f t="shared" si="28"/>
        <v>46114</v>
      </c>
      <c r="C600" s="7">
        <f t="shared" si="29"/>
        <v>46120</v>
      </c>
      <c r="D600" s="6">
        <v>3280</v>
      </c>
      <c r="E600" s="6">
        <v>337</v>
      </c>
      <c r="F600" s="6">
        <v>4</v>
      </c>
      <c r="G600" s="15">
        <v>1</v>
      </c>
      <c r="H600" s="15"/>
      <c r="I600" s="15" t="s">
        <v>1505</v>
      </c>
      <c r="J600" s="15">
        <v>23932292</v>
      </c>
      <c r="K600" s="15" t="s">
        <v>726</v>
      </c>
      <c r="L600" s="15" t="s">
        <v>727</v>
      </c>
      <c r="M600" s="16">
        <v>209900</v>
      </c>
      <c r="N600" s="9">
        <v>0.95</v>
      </c>
      <c r="O600" s="8">
        <f t="shared" si="27"/>
        <v>10495</v>
      </c>
      <c r="P600" s="6" t="s">
        <v>15</v>
      </c>
    </row>
    <row r="601" spans="1:16" x14ac:dyDescent="0.25">
      <c r="A601" s="6" t="s">
        <v>3920</v>
      </c>
      <c r="B601" s="7">
        <f t="shared" si="28"/>
        <v>46114</v>
      </c>
      <c r="C601" s="7">
        <f t="shared" si="29"/>
        <v>46120</v>
      </c>
      <c r="D601" s="6">
        <v>3280</v>
      </c>
      <c r="E601" s="6">
        <v>337</v>
      </c>
      <c r="F601" s="6">
        <v>4</v>
      </c>
      <c r="G601" s="15">
        <v>1</v>
      </c>
      <c r="H601" s="15"/>
      <c r="I601" s="15" t="s">
        <v>1505</v>
      </c>
      <c r="J601" s="15">
        <v>23934307</v>
      </c>
      <c r="K601" s="15" t="s">
        <v>728</v>
      </c>
      <c r="L601" s="15" t="s">
        <v>729</v>
      </c>
      <c r="M601" s="16">
        <v>209900</v>
      </c>
      <c r="N601" s="9">
        <v>0.95</v>
      </c>
      <c r="O601" s="8">
        <f t="shared" si="27"/>
        <v>10495</v>
      </c>
      <c r="P601" s="6" t="s">
        <v>15</v>
      </c>
    </row>
    <row r="602" spans="1:16" x14ac:dyDescent="0.25">
      <c r="A602" s="6" t="s">
        <v>3920</v>
      </c>
      <c r="B602" s="7">
        <f t="shared" si="28"/>
        <v>46114</v>
      </c>
      <c r="C602" s="7">
        <f t="shared" si="29"/>
        <v>46120</v>
      </c>
      <c r="D602" s="6">
        <v>3280</v>
      </c>
      <c r="E602" s="6">
        <v>337</v>
      </c>
      <c r="F602" s="6">
        <v>4</v>
      </c>
      <c r="G602" s="15">
        <v>1</v>
      </c>
      <c r="H602" s="15"/>
      <c r="I602" s="15" t="s">
        <v>1505</v>
      </c>
      <c r="J602" s="15">
        <v>23934316</v>
      </c>
      <c r="K602" s="15" t="s">
        <v>728</v>
      </c>
      <c r="L602" s="15" t="s">
        <v>730</v>
      </c>
      <c r="M602" s="16">
        <v>209900</v>
      </c>
      <c r="N602" s="9">
        <v>0.95</v>
      </c>
      <c r="O602" s="8">
        <f t="shared" si="27"/>
        <v>10495</v>
      </c>
      <c r="P602" s="6" t="s">
        <v>15</v>
      </c>
    </row>
    <row r="603" spans="1:16" x14ac:dyDescent="0.25">
      <c r="A603" s="6" t="s">
        <v>3920</v>
      </c>
      <c r="B603" s="7">
        <f t="shared" si="28"/>
        <v>46114</v>
      </c>
      <c r="C603" s="7">
        <f t="shared" si="29"/>
        <v>46120</v>
      </c>
      <c r="D603" s="6">
        <v>3280</v>
      </c>
      <c r="E603" s="6">
        <v>337</v>
      </c>
      <c r="F603" s="6">
        <v>4</v>
      </c>
      <c r="G603" s="15">
        <v>1</v>
      </c>
      <c r="H603" s="15"/>
      <c r="I603" s="15" t="s">
        <v>1505</v>
      </c>
      <c r="J603" s="15">
        <v>23968450</v>
      </c>
      <c r="K603" s="15" t="s">
        <v>616</v>
      </c>
      <c r="L603" s="15" t="s">
        <v>731</v>
      </c>
      <c r="M603" s="16">
        <v>199900</v>
      </c>
      <c r="N603" s="9">
        <v>0.95</v>
      </c>
      <c r="O603" s="8">
        <f t="shared" si="27"/>
        <v>9995</v>
      </c>
      <c r="P603" s="6" t="s">
        <v>15</v>
      </c>
    </row>
    <row r="604" spans="1:16" x14ac:dyDescent="0.25">
      <c r="A604" s="6" t="s">
        <v>3920</v>
      </c>
      <c r="B604" s="7">
        <f t="shared" si="28"/>
        <v>46114</v>
      </c>
      <c r="C604" s="7">
        <f t="shared" si="29"/>
        <v>46120</v>
      </c>
      <c r="D604" s="6">
        <v>3280</v>
      </c>
      <c r="E604" s="6">
        <v>337</v>
      </c>
      <c r="F604" s="6">
        <v>4</v>
      </c>
      <c r="G604" s="15">
        <v>1</v>
      </c>
      <c r="H604" s="15"/>
      <c r="I604" s="15" t="s">
        <v>1505</v>
      </c>
      <c r="J604" s="15">
        <v>23968521</v>
      </c>
      <c r="K604" s="15" t="s">
        <v>622</v>
      </c>
      <c r="L604" s="15" t="s">
        <v>732</v>
      </c>
      <c r="M604" s="16">
        <v>199900</v>
      </c>
      <c r="N604" s="9">
        <v>0.95</v>
      </c>
      <c r="O604" s="8">
        <f t="shared" si="27"/>
        <v>9995</v>
      </c>
      <c r="P604" s="6" t="s">
        <v>15</v>
      </c>
    </row>
    <row r="605" spans="1:16" x14ac:dyDescent="0.25">
      <c r="A605" s="6" t="s">
        <v>3920</v>
      </c>
      <c r="B605" s="7">
        <f t="shared" si="28"/>
        <v>46114</v>
      </c>
      <c r="C605" s="7">
        <f t="shared" si="29"/>
        <v>46120</v>
      </c>
      <c r="D605" s="6">
        <v>3280</v>
      </c>
      <c r="E605" s="6">
        <v>337</v>
      </c>
      <c r="F605" s="6">
        <v>4</v>
      </c>
      <c r="G605" s="15">
        <v>1</v>
      </c>
      <c r="H605" s="15"/>
      <c r="I605" s="15" t="s">
        <v>1505</v>
      </c>
      <c r="J605" s="15">
        <v>23968530</v>
      </c>
      <c r="K605" s="15" t="s">
        <v>622</v>
      </c>
      <c r="L605" s="15" t="s">
        <v>733</v>
      </c>
      <c r="M605" s="16">
        <v>199900</v>
      </c>
      <c r="N605" s="9">
        <v>0.95</v>
      </c>
      <c r="O605" s="8">
        <f t="shared" si="27"/>
        <v>9995</v>
      </c>
      <c r="P605" s="6" t="s">
        <v>15</v>
      </c>
    </row>
    <row r="606" spans="1:16" x14ac:dyDescent="0.25">
      <c r="A606" s="6" t="s">
        <v>3920</v>
      </c>
      <c r="B606" s="7">
        <f t="shared" si="28"/>
        <v>46114</v>
      </c>
      <c r="C606" s="7">
        <f t="shared" si="29"/>
        <v>46120</v>
      </c>
      <c r="D606" s="6">
        <v>3280</v>
      </c>
      <c r="E606" s="6">
        <v>337</v>
      </c>
      <c r="F606" s="6">
        <v>4</v>
      </c>
      <c r="G606" s="15">
        <v>1</v>
      </c>
      <c r="H606" s="15"/>
      <c r="I606" s="15" t="s">
        <v>1505</v>
      </c>
      <c r="J606" s="15">
        <v>23968585</v>
      </c>
      <c r="K606" s="15" t="s">
        <v>618</v>
      </c>
      <c r="L606" s="15" t="s">
        <v>734</v>
      </c>
      <c r="M606" s="16">
        <v>199900</v>
      </c>
      <c r="N606" s="9">
        <v>0.95</v>
      </c>
      <c r="O606" s="8">
        <f t="shared" si="27"/>
        <v>9995</v>
      </c>
      <c r="P606" s="6" t="s">
        <v>15</v>
      </c>
    </row>
    <row r="607" spans="1:16" x14ac:dyDescent="0.25">
      <c r="A607" s="6" t="s">
        <v>3920</v>
      </c>
      <c r="B607" s="7">
        <f t="shared" si="28"/>
        <v>46114</v>
      </c>
      <c r="C607" s="7">
        <f t="shared" si="29"/>
        <v>46120</v>
      </c>
      <c r="D607" s="6">
        <v>3280</v>
      </c>
      <c r="E607" s="6">
        <v>337</v>
      </c>
      <c r="F607" s="6">
        <v>4</v>
      </c>
      <c r="G607" s="15">
        <v>1</v>
      </c>
      <c r="H607" s="15"/>
      <c r="I607" s="15" t="s">
        <v>1505</v>
      </c>
      <c r="J607" s="15">
        <v>23968594</v>
      </c>
      <c r="K607" s="15" t="s">
        <v>618</v>
      </c>
      <c r="L607" s="15" t="s">
        <v>735</v>
      </c>
      <c r="M607" s="16">
        <v>199900</v>
      </c>
      <c r="N607" s="9">
        <v>0.95</v>
      </c>
      <c r="O607" s="8">
        <f t="shared" si="27"/>
        <v>9995</v>
      </c>
      <c r="P607" s="6" t="s">
        <v>15</v>
      </c>
    </row>
    <row r="608" spans="1:16" x14ac:dyDescent="0.25">
      <c r="A608" s="6" t="s">
        <v>3920</v>
      </c>
      <c r="B608" s="7">
        <f t="shared" si="28"/>
        <v>46114</v>
      </c>
      <c r="C608" s="7">
        <f t="shared" si="29"/>
        <v>46120</v>
      </c>
      <c r="D608" s="6">
        <v>3280</v>
      </c>
      <c r="E608" s="6">
        <v>337</v>
      </c>
      <c r="F608" s="6">
        <v>4</v>
      </c>
      <c r="G608" s="15">
        <v>1</v>
      </c>
      <c r="H608" s="15"/>
      <c r="I608" s="15" t="s">
        <v>1505</v>
      </c>
      <c r="J608" s="15">
        <v>23968601</v>
      </c>
      <c r="K608" s="15" t="s">
        <v>618</v>
      </c>
      <c r="L608" s="15" t="s">
        <v>736</v>
      </c>
      <c r="M608" s="16">
        <v>209900</v>
      </c>
      <c r="N608" s="9">
        <v>0.95</v>
      </c>
      <c r="O608" s="8">
        <f t="shared" si="27"/>
        <v>10495</v>
      </c>
      <c r="P608" s="6" t="s">
        <v>15</v>
      </c>
    </row>
    <row r="609" spans="1:16" x14ac:dyDescent="0.25">
      <c r="A609" s="6" t="s">
        <v>3920</v>
      </c>
      <c r="B609" s="7">
        <f t="shared" si="28"/>
        <v>46114</v>
      </c>
      <c r="C609" s="7">
        <f t="shared" si="29"/>
        <v>46120</v>
      </c>
      <c r="D609" s="6">
        <v>3280</v>
      </c>
      <c r="E609" s="6">
        <v>337</v>
      </c>
      <c r="F609" s="6">
        <v>4</v>
      </c>
      <c r="G609" s="15">
        <v>1</v>
      </c>
      <c r="H609" s="15"/>
      <c r="I609" s="15" t="s">
        <v>1505</v>
      </c>
      <c r="J609" s="15">
        <v>23968610</v>
      </c>
      <c r="K609" s="15" t="s">
        <v>618</v>
      </c>
      <c r="L609" s="15" t="s">
        <v>737</v>
      </c>
      <c r="M609" s="16">
        <v>209900</v>
      </c>
      <c r="N609" s="9">
        <v>0.95</v>
      </c>
      <c r="O609" s="8">
        <f t="shared" si="27"/>
        <v>10495</v>
      </c>
      <c r="P609" s="6" t="s">
        <v>15</v>
      </c>
    </row>
    <row r="610" spans="1:16" x14ac:dyDescent="0.25">
      <c r="A610" s="6" t="s">
        <v>3920</v>
      </c>
      <c r="B610" s="7">
        <f t="shared" si="28"/>
        <v>46114</v>
      </c>
      <c r="C610" s="7">
        <f t="shared" si="29"/>
        <v>46120</v>
      </c>
      <c r="D610" s="6">
        <v>3280</v>
      </c>
      <c r="E610" s="6">
        <v>337</v>
      </c>
      <c r="F610" s="6">
        <v>4</v>
      </c>
      <c r="G610" s="15">
        <v>1</v>
      </c>
      <c r="H610" s="15"/>
      <c r="I610" s="15" t="s">
        <v>1505</v>
      </c>
      <c r="J610" s="15">
        <v>23968781</v>
      </c>
      <c r="K610" s="15" t="s">
        <v>614</v>
      </c>
      <c r="L610" s="15" t="s">
        <v>738</v>
      </c>
      <c r="M610" s="16">
        <v>199900</v>
      </c>
      <c r="N610" s="9">
        <v>0.95</v>
      </c>
      <c r="O610" s="8">
        <f t="shared" si="27"/>
        <v>9995</v>
      </c>
      <c r="P610" s="6" t="s">
        <v>15</v>
      </c>
    </row>
    <row r="611" spans="1:16" x14ac:dyDescent="0.25">
      <c r="A611" s="6" t="s">
        <v>3920</v>
      </c>
      <c r="B611" s="7">
        <f t="shared" si="28"/>
        <v>46114</v>
      </c>
      <c r="C611" s="7">
        <f t="shared" si="29"/>
        <v>46120</v>
      </c>
      <c r="D611" s="6">
        <v>3280</v>
      </c>
      <c r="E611" s="6">
        <v>337</v>
      </c>
      <c r="F611" s="6">
        <v>4</v>
      </c>
      <c r="G611" s="15">
        <v>1</v>
      </c>
      <c r="H611" s="15"/>
      <c r="I611" s="15" t="s">
        <v>1505</v>
      </c>
      <c r="J611" s="15">
        <v>23968790</v>
      </c>
      <c r="K611" s="15" t="s">
        <v>614</v>
      </c>
      <c r="L611" s="15" t="s">
        <v>739</v>
      </c>
      <c r="M611" s="16">
        <v>199900</v>
      </c>
      <c r="N611" s="9">
        <v>0.95</v>
      </c>
      <c r="O611" s="8">
        <f t="shared" si="27"/>
        <v>9995</v>
      </c>
      <c r="P611" s="6" t="s">
        <v>15</v>
      </c>
    </row>
    <row r="612" spans="1:16" x14ac:dyDescent="0.25">
      <c r="A612" s="6" t="s">
        <v>3920</v>
      </c>
      <c r="B612" s="7">
        <f t="shared" si="28"/>
        <v>46114</v>
      </c>
      <c r="C612" s="7">
        <f t="shared" si="29"/>
        <v>46120</v>
      </c>
      <c r="D612" s="6">
        <v>3280</v>
      </c>
      <c r="E612" s="6">
        <v>337</v>
      </c>
      <c r="F612" s="6">
        <v>4</v>
      </c>
      <c r="G612" s="15">
        <v>1</v>
      </c>
      <c r="H612" s="15"/>
      <c r="I612" s="15" t="s">
        <v>1505</v>
      </c>
      <c r="J612" s="15">
        <v>23968825</v>
      </c>
      <c r="K612" s="15" t="s">
        <v>614</v>
      </c>
      <c r="L612" s="15" t="s">
        <v>740</v>
      </c>
      <c r="M612" s="16">
        <v>209900</v>
      </c>
      <c r="N612" s="9">
        <v>0.95</v>
      </c>
      <c r="O612" s="8">
        <f t="shared" si="27"/>
        <v>10495</v>
      </c>
      <c r="P612" s="6" t="s">
        <v>15</v>
      </c>
    </row>
    <row r="613" spans="1:16" x14ac:dyDescent="0.25">
      <c r="A613" s="6" t="s">
        <v>3920</v>
      </c>
      <c r="B613" s="7">
        <f t="shared" si="28"/>
        <v>46114</v>
      </c>
      <c r="C613" s="7">
        <f t="shared" si="29"/>
        <v>46120</v>
      </c>
      <c r="D613" s="6">
        <v>3280</v>
      </c>
      <c r="E613" s="6">
        <v>337</v>
      </c>
      <c r="F613" s="6">
        <v>4</v>
      </c>
      <c r="G613" s="15">
        <v>1</v>
      </c>
      <c r="H613" s="15"/>
      <c r="I613" s="15" t="s">
        <v>1505</v>
      </c>
      <c r="J613" s="15">
        <v>23968834</v>
      </c>
      <c r="K613" s="15" t="s">
        <v>614</v>
      </c>
      <c r="L613" s="15" t="s">
        <v>741</v>
      </c>
      <c r="M613" s="16">
        <v>209900</v>
      </c>
      <c r="N613" s="9">
        <v>0.95</v>
      </c>
      <c r="O613" s="8">
        <f t="shared" si="27"/>
        <v>10495</v>
      </c>
      <c r="P613" s="6" t="s">
        <v>15</v>
      </c>
    </row>
    <row r="614" spans="1:16" x14ac:dyDescent="0.25">
      <c r="A614" s="6" t="s">
        <v>3920</v>
      </c>
      <c r="B614" s="7">
        <f t="shared" si="28"/>
        <v>46114</v>
      </c>
      <c r="C614" s="7">
        <f t="shared" si="29"/>
        <v>46120</v>
      </c>
      <c r="D614" s="6">
        <v>3280</v>
      </c>
      <c r="E614" s="6">
        <v>337</v>
      </c>
      <c r="F614" s="6">
        <v>4</v>
      </c>
      <c r="G614" s="15">
        <v>1</v>
      </c>
      <c r="H614" s="15"/>
      <c r="I614" s="15" t="s">
        <v>1505</v>
      </c>
      <c r="J614" s="15">
        <v>23969119</v>
      </c>
      <c r="K614" s="15" t="s">
        <v>742</v>
      </c>
      <c r="L614" s="15" t="s">
        <v>743</v>
      </c>
      <c r="M614" s="16">
        <v>199900</v>
      </c>
      <c r="N614" s="9">
        <v>0.95</v>
      </c>
      <c r="O614" s="8">
        <f t="shared" si="27"/>
        <v>9995</v>
      </c>
      <c r="P614" s="6" t="s">
        <v>15</v>
      </c>
    </row>
    <row r="615" spans="1:16" x14ac:dyDescent="0.25">
      <c r="A615" s="6" t="s">
        <v>3920</v>
      </c>
      <c r="B615" s="7">
        <f t="shared" si="28"/>
        <v>46114</v>
      </c>
      <c r="C615" s="7">
        <f t="shared" si="29"/>
        <v>46120</v>
      </c>
      <c r="D615" s="6">
        <v>3280</v>
      </c>
      <c r="E615" s="6">
        <v>337</v>
      </c>
      <c r="F615" s="6">
        <v>4</v>
      </c>
      <c r="G615" s="15">
        <v>1</v>
      </c>
      <c r="H615" s="15"/>
      <c r="I615" s="15" t="s">
        <v>1505</v>
      </c>
      <c r="J615" s="15">
        <v>23969128</v>
      </c>
      <c r="K615" s="15" t="s">
        <v>742</v>
      </c>
      <c r="L615" s="15" t="s">
        <v>744</v>
      </c>
      <c r="M615" s="16">
        <v>199900</v>
      </c>
      <c r="N615" s="9">
        <v>0.95</v>
      </c>
      <c r="O615" s="8">
        <f t="shared" si="27"/>
        <v>9995</v>
      </c>
      <c r="P615" s="6" t="s">
        <v>15</v>
      </c>
    </row>
    <row r="616" spans="1:16" x14ac:dyDescent="0.25">
      <c r="A616" s="6" t="s">
        <v>3920</v>
      </c>
      <c r="B616" s="7">
        <f t="shared" si="28"/>
        <v>46114</v>
      </c>
      <c r="C616" s="7">
        <f t="shared" si="29"/>
        <v>46120</v>
      </c>
      <c r="D616" s="6">
        <v>3280</v>
      </c>
      <c r="E616" s="6">
        <v>337</v>
      </c>
      <c r="F616" s="6">
        <v>4</v>
      </c>
      <c r="G616" s="15">
        <v>1</v>
      </c>
      <c r="H616" s="15"/>
      <c r="I616" s="15" t="s">
        <v>1505</v>
      </c>
      <c r="J616" s="15">
        <v>23969137</v>
      </c>
      <c r="K616" s="15" t="s">
        <v>742</v>
      </c>
      <c r="L616" s="15" t="s">
        <v>745</v>
      </c>
      <c r="M616" s="16">
        <v>199900</v>
      </c>
      <c r="N616" s="9">
        <v>0.95</v>
      </c>
      <c r="O616" s="8">
        <f t="shared" si="27"/>
        <v>9995</v>
      </c>
      <c r="P616" s="6" t="s">
        <v>15</v>
      </c>
    </row>
    <row r="617" spans="1:16" x14ac:dyDescent="0.25">
      <c r="A617" s="6" t="s">
        <v>3920</v>
      </c>
      <c r="B617" s="7">
        <f t="shared" si="28"/>
        <v>46114</v>
      </c>
      <c r="C617" s="7">
        <f t="shared" si="29"/>
        <v>46120</v>
      </c>
      <c r="D617" s="6">
        <v>3280</v>
      </c>
      <c r="E617" s="6">
        <v>337</v>
      </c>
      <c r="F617" s="6">
        <v>4</v>
      </c>
      <c r="G617" s="15">
        <v>1</v>
      </c>
      <c r="H617" s="15"/>
      <c r="I617" s="15" t="s">
        <v>1505</v>
      </c>
      <c r="J617" s="15">
        <v>23973999</v>
      </c>
      <c r="K617" s="15" t="s">
        <v>746</v>
      </c>
      <c r="L617" s="15" t="s">
        <v>747</v>
      </c>
      <c r="M617" s="16">
        <v>199900</v>
      </c>
      <c r="N617" s="9">
        <v>0.95</v>
      </c>
      <c r="O617" s="8">
        <f t="shared" si="27"/>
        <v>9995</v>
      </c>
      <c r="P617" s="6" t="s">
        <v>15</v>
      </c>
    </row>
    <row r="618" spans="1:16" x14ac:dyDescent="0.25">
      <c r="A618" s="6" t="s">
        <v>3920</v>
      </c>
      <c r="B618" s="7">
        <f t="shared" si="28"/>
        <v>46114</v>
      </c>
      <c r="C618" s="7">
        <f t="shared" si="29"/>
        <v>46120</v>
      </c>
      <c r="D618" s="6">
        <v>3280</v>
      </c>
      <c r="E618" s="6">
        <v>337</v>
      </c>
      <c r="F618" s="6">
        <v>4</v>
      </c>
      <c r="G618" s="15">
        <v>1</v>
      </c>
      <c r="H618" s="15"/>
      <c r="I618" s="15" t="s">
        <v>1505</v>
      </c>
      <c r="J618" s="15">
        <v>23974023</v>
      </c>
      <c r="K618" s="15" t="s">
        <v>746</v>
      </c>
      <c r="L618" s="15" t="s">
        <v>748</v>
      </c>
      <c r="M618" s="16">
        <v>209900</v>
      </c>
      <c r="N618" s="9">
        <v>0.95</v>
      </c>
      <c r="O618" s="8">
        <f t="shared" si="27"/>
        <v>10495</v>
      </c>
      <c r="P618" s="6" t="s">
        <v>15</v>
      </c>
    </row>
    <row r="619" spans="1:16" x14ac:dyDescent="0.25">
      <c r="A619" s="6" t="s">
        <v>3920</v>
      </c>
      <c r="B619" s="7">
        <f t="shared" si="28"/>
        <v>46114</v>
      </c>
      <c r="C619" s="7">
        <f t="shared" si="29"/>
        <v>46120</v>
      </c>
      <c r="D619" s="6">
        <v>3280</v>
      </c>
      <c r="E619" s="6">
        <v>337</v>
      </c>
      <c r="F619" s="6">
        <v>4</v>
      </c>
      <c r="G619" s="15">
        <v>1</v>
      </c>
      <c r="H619" s="15"/>
      <c r="I619" s="15" t="s">
        <v>1505</v>
      </c>
      <c r="J619" s="15">
        <v>23974032</v>
      </c>
      <c r="K619" s="15" t="s">
        <v>746</v>
      </c>
      <c r="L619" s="15" t="s">
        <v>749</v>
      </c>
      <c r="M619" s="16">
        <v>209900</v>
      </c>
      <c r="N619" s="9">
        <v>0.95</v>
      </c>
      <c r="O619" s="8">
        <f t="shared" si="27"/>
        <v>10495</v>
      </c>
      <c r="P619" s="6" t="s">
        <v>15</v>
      </c>
    </row>
    <row r="620" spans="1:16" x14ac:dyDescent="0.25">
      <c r="A620" s="6" t="s">
        <v>3920</v>
      </c>
      <c r="B620" s="7">
        <f t="shared" si="28"/>
        <v>46114</v>
      </c>
      <c r="C620" s="7">
        <f t="shared" si="29"/>
        <v>46120</v>
      </c>
      <c r="D620" s="6">
        <v>3280</v>
      </c>
      <c r="E620" s="6">
        <v>337</v>
      </c>
      <c r="F620" s="6">
        <v>4</v>
      </c>
      <c r="G620" s="15">
        <v>1</v>
      </c>
      <c r="H620" s="15"/>
      <c r="I620" s="15" t="s">
        <v>1505</v>
      </c>
      <c r="J620" s="15">
        <v>23974130</v>
      </c>
      <c r="K620" s="15" t="s">
        <v>750</v>
      </c>
      <c r="L620" s="15" t="s">
        <v>751</v>
      </c>
      <c r="M620" s="16">
        <v>199900</v>
      </c>
      <c r="N620" s="9">
        <v>0.95</v>
      </c>
      <c r="O620" s="8">
        <f t="shared" si="27"/>
        <v>9995</v>
      </c>
      <c r="P620" s="6" t="s">
        <v>15</v>
      </c>
    </row>
    <row r="621" spans="1:16" x14ac:dyDescent="0.25">
      <c r="A621" s="6" t="s">
        <v>3920</v>
      </c>
      <c r="B621" s="7">
        <f t="shared" si="28"/>
        <v>46114</v>
      </c>
      <c r="C621" s="7">
        <f t="shared" si="29"/>
        <v>46120</v>
      </c>
      <c r="D621" s="6">
        <v>3280</v>
      </c>
      <c r="E621" s="6">
        <v>337</v>
      </c>
      <c r="F621" s="6">
        <v>4</v>
      </c>
      <c r="G621" s="15">
        <v>1</v>
      </c>
      <c r="H621" s="15"/>
      <c r="I621" s="15" t="s">
        <v>1505</v>
      </c>
      <c r="J621" s="15">
        <v>23974167</v>
      </c>
      <c r="K621" s="15" t="s">
        <v>750</v>
      </c>
      <c r="L621" s="15" t="s">
        <v>752</v>
      </c>
      <c r="M621" s="16">
        <v>209900</v>
      </c>
      <c r="N621" s="9">
        <v>0.95</v>
      </c>
      <c r="O621" s="8">
        <f t="shared" si="27"/>
        <v>10495</v>
      </c>
      <c r="P621" s="6" t="s">
        <v>15</v>
      </c>
    </row>
    <row r="622" spans="1:16" x14ac:dyDescent="0.25">
      <c r="A622" s="6" t="s">
        <v>3920</v>
      </c>
      <c r="B622" s="7">
        <f t="shared" si="28"/>
        <v>46114</v>
      </c>
      <c r="C622" s="7">
        <f t="shared" si="29"/>
        <v>46120</v>
      </c>
      <c r="D622" s="6">
        <v>3280</v>
      </c>
      <c r="E622" s="6">
        <v>337</v>
      </c>
      <c r="F622" s="6">
        <v>4</v>
      </c>
      <c r="G622" s="15">
        <v>1</v>
      </c>
      <c r="H622" s="15"/>
      <c r="I622" s="15" t="s">
        <v>1505</v>
      </c>
      <c r="J622" s="15">
        <v>23974176</v>
      </c>
      <c r="K622" s="15" t="s">
        <v>750</v>
      </c>
      <c r="L622" s="15" t="s">
        <v>753</v>
      </c>
      <c r="M622" s="16">
        <v>209900</v>
      </c>
      <c r="N622" s="9">
        <v>0.95</v>
      </c>
      <c r="O622" s="8">
        <f t="shared" si="27"/>
        <v>10495</v>
      </c>
      <c r="P622" s="6" t="s">
        <v>15</v>
      </c>
    </row>
    <row r="623" spans="1:16" x14ac:dyDescent="0.25">
      <c r="A623" s="6" t="s">
        <v>3920</v>
      </c>
      <c r="B623" s="7">
        <f t="shared" si="28"/>
        <v>46114</v>
      </c>
      <c r="C623" s="7">
        <f t="shared" si="29"/>
        <v>46120</v>
      </c>
      <c r="D623" s="6">
        <v>3280</v>
      </c>
      <c r="E623" s="6">
        <v>337</v>
      </c>
      <c r="F623" s="6">
        <v>4</v>
      </c>
      <c r="G623" s="15">
        <v>1</v>
      </c>
      <c r="H623" s="15"/>
      <c r="I623" s="15" t="s">
        <v>1505</v>
      </c>
      <c r="J623" s="15">
        <v>23974185</v>
      </c>
      <c r="K623" s="15" t="s">
        <v>750</v>
      </c>
      <c r="L623" s="15" t="s">
        <v>754</v>
      </c>
      <c r="M623" s="16">
        <v>209900</v>
      </c>
      <c r="N623" s="9">
        <v>0.95</v>
      </c>
      <c r="O623" s="8">
        <f t="shared" si="27"/>
        <v>10495</v>
      </c>
      <c r="P623" s="6" t="s">
        <v>15</v>
      </c>
    </row>
    <row r="624" spans="1:16" x14ac:dyDescent="0.25">
      <c r="A624" s="6" t="s">
        <v>3920</v>
      </c>
      <c r="B624" s="7">
        <f t="shared" si="28"/>
        <v>46114</v>
      </c>
      <c r="C624" s="7">
        <f t="shared" si="29"/>
        <v>46120</v>
      </c>
      <c r="D624" s="6">
        <v>3280</v>
      </c>
      <c r="E624" s="6">
        <v>337</v>
      </c>
      <c r="F624" s="6">
        <v>4</v>
      </c>
      <c r="G624" s="15">
        <v>1</v>
      </c>
      <c r="H624" s="15"/>
      <c r="I624" s="15" t="s">
        <v>1505</v>
      </c>
      <c r="J624" s="15">
        <v>23974274</v>
      </c>
      <c r="K624" s="15" t="s">
        <v>755</v>
      </c>
      <c r="L624" s="15" t="s">
        <v>756</v>
      </c>
      <c r="M624" s="16">
        <v>199900</v>
      </c>
      <c r="N624" s="9">
        <v>0.95</v>
      </c>
      <c r="O624" s="8">
        <f t="shared" si="27"/>
        <v>9995</v>
      </c>
      <c r="P624" s="6" t="s">
        <v>15</v>
      </c>
    </row>
    <row r="625" spans="1:16" x14ac:dyDescent="0.25">
      <c r="A625" s="6" t="s">
        <v>3920</v>
      </c>
      <c r="B625" s="7">
        <f t="shared" si="28"/>
        <v>46114</v>
      </c>
      <c r="C625" s="7">
        <f t="shared" si="29"/>
        <v>46120</v>
      </c>
      <c r="D625" s="6">
        <v>3280</v>
      </c>
      <c r="E625" s="6">
        <v>337</v>
      </c>
      <c r="F625" s="6">
        <v>4</v>
      </c>
      <c r="G625" s="15">
        <v>1</v>
      </c>
      <c r="H625" s="15"/>
      <c r="I625" s="15" t="s">
        <v>1505</v>
      </c>
      <c r="J625" s="15">
        <v>23974283</v>
      </c>
      <c r="K625" s="15" t="s">
        <v>755</v>
      </c>
      <c r="L625" s="15" t="s">
        <v>757</v>
      </c>
      <c r="M625" s="16">
        <v>199900</v>
      </c>
      <c r="N625" s="9">
        <v>0.95</v>
      </c>
      <c r="O625" s="8">
        <f t="shared" si="27"/>
        <v>9995</v>
      </c>
      <c r="P625" s="6" t="s">
        <v>15</v>
      </c>
    </row>
    <row r="626" spans="1:16" x14ac:dyDescent="0.25">
      <c r="A626" s="6" t="s">
        <v>3920</v>
      </c>
      <c r="B626" s="7">
        <f t="shared" si="28"/>
        <v>46114</v>
      </c>
      <c r="C626" s="7">
        <f t="shared" si="29"/>
        <v>46120</v>
      </c>
      <c r="D626" s="6">
        <v>3280</v>
      </c>
      <c r="E626" s="6">
        <v>337</v>
      </c>
      <c r="F626" s="6">
        <v>4</v>
      </c>
      <c r="G626" s="15">
        <v>1</v>
      </c>
      <c r="H626" s="15"/>
      <c r="I626" s="15" t="s">
        <v>1505</v>
      </c>
      <c r="J626" s="15">
        <v>23974292</v>
      </c>
      <c r="K626" s="15" t="s">
        <v>755</v>
      </c>
      <c r="L626" s="15" t="s">
        <v>758</v>
      </c>
      <c r="M626" s="16">
        <v>199900</v>
      </c>
      <c r="N626" s="9">
        <v>0.95</v>
      </c>
      <c r="O626" s="8">
        <f t="shared" si="27"/>
        <v>9995</v>
      </c>
      <c r="P626" s="6" t="s">
        <v>15</v>
      </c>
    </row>
    <row r="627" spans="1:16" x14ac:dyDescent="0.25">
      <c r="A627" s="6" t="s">
        <v>3920</v>
      </c>
      <c r="B627" s="7">
        <f t="shared" si="28"/>
        <v>46114</v>
      </c>
      <c r="C627" s="7">
        <f t="shared" si="29"/>
        <v>46120</v>
      </c>
      <c r="D627" s="6">
        <v>3280</v>
      </c>
      <c r="E627" s="6">
        <v>337</v>
      </c>
      <c r="F627" s="6">
        <v>4</v>
      </c>
      <c r="G627" s="15">
        <v>1</v>
      </c>
      <c r="H627" s="15"/>
      <c r="I627" s="15" t="s">
        <v>1505</v>
      </c>
      <c r="J627" s="15">
        <v>23974327</v>
      </c>
      <c r="K627" s="15" t="s">
        <v>755</v>
      </c>
      <c r="L627" s="15" t="s">
        <v>759</v>
      </c>
      <c r="M627" s="16">
        <v>209900</v>
      </c>
      <c r="N627" s="9">
        <v>0.95</v>
      </c>
      <c r="O627" s="8">
        <f t="shared" si="27"/>
        <v>10495</v>
      </c>
      <c r="P627" s="6" t="s">
        <v>15</v>
      </c>
    </row>
    <row r="628" spans="1:16" x14ac:dyDescent="0.25">
      <c r="A628" s="6" t="s">
        <v>3920</v>
      </c>
      <c r="B628" s="7">
        <f t="shared" si="28"/>
        <v>46114</v>
      </c>
      <c r="C628" s="7">
        <f t="shared" si="29"/>
        <v>46120</v>
      </c>
      <c r="D628" s="6">
        <v>3280</v>
      </c>
      <c r="E628" s="6">
        <v>337</v>
      </c>
      <c r="F628" s="6">
        <v>4</v>
      </c>
      <c r="G628" s="15">
        <v>1</v>
      </c>
      <c r="H628" s="15"/>
      <c r="I628" s="15" t="s">
        <v>1505</v>
      </c>
      <c r="J628" s="15">
        <v>23986109</v>
      </c>
      <c r="K628" s="15" t="s">
        <v>760</v>
      </c>
      <c r="L628" s="15" t="s">
        <v>761</v>
      </c>
      <c r="M628" s="16">
        <v>219900</v>
      </c>
      <c r="N628" s="9">
        <v>0.95</v>
      </c>
      <c r="O628" s="8">
        <f t="shared" si="27"/>
        <v>10995</v>
      </c>
      <c r="P628" s="6" t="s">
        <v>15</v>
      </c>
    </row>
    <row r="629" spans="1:16" x14ac:dyDescent="0.25">
      <c r="A629" s="6" t="s">
        <v>3920</v>
      </c>
      <c r="B629" s="7">
        <f t="shared" si="28"/>
        <v>46114</v>
      </c>
      <c r="C629" s="7">
        <f t="shared" si="29"/>
        <v>46120</v>
      </c>
      <c r="D629" s="6">
        <v>3280</v>
      </c>
      <c r="E629" s="6">
        <v>337</v>
      </c>
      <c r="F629" s="6">
        <v>4</v>
      </c>
      <c r="G629" s="15">
        <v>1</v>
      </c>
      <c r="H629" s="15"/>
      <c r="I629" s="15" t="s">
        <v>1505</v>
      </c>
      <c r="J629" s="15">
        <v>23990327</v>
      </c>
      <c r="K629" s="15" t="s">
        <v>762</v>
      </c>
      <c r="L629" s="15" t="s">
        <v>763</v>
      </c>
      <c r="M629" s="16">
        <v>199900</v>
      </c>
      <c r="N629" s="9">
        <v>0.95</v>
      </c>
      <c r="O629" s="8">
        <f t="shared" si="27"/>
        <v>9995</v>
      </c>
      <c r="P629" s="6" t="s">
        <v>15</v>
      </c>
    </row>
    <row r="630" spans="1:16" x14ac:dyDescent="0.25">
      <c r="A630" s="6" t="s">
        <v>3920</v>
      </c>
      <c r="B630" s="7">
        <f t="shared" si="28"/>
        <v>46114</v>
      </c>
      <c r="C630" s="7">
        <f t="shared" si="29"/>
        <v>46120</v>
      </c>
      <c r="D630" s="6">
        <v>3280</v>
      </c>
      <c r="E630" s="6">
        <v>337</v>
      </c>
      <c r="F630" s="6">
        <v>4</v>
      </c>
      <c r="G630" s="15">
        <v>1</v>
      </c>
      <c r="H630" s="15"/>
      <c r="I630" s="15" t="s">
        <v>1505</v>
      </c>
      <c r="J630" s="15">
        <v>23990336</v>
      </c>
      <c r="K630" s="15" t="s">
        <v>762</v>
      </c>
      <c r="L630" s="15" t="s">
        <v>764</v>
      </c>
      <c r="M630" s="16">
        <v>199900</v>
      </c>
      <c r="N630" s="9">
        <v>0.95</v>
      </c>
      <c r="O630" s="8">
        <f t="shared" si="27"/>
        <v>9995</v>
      </c>
      <c r="P630" s="6" t="s">
        <v>15</v>
      </c>
    </row>
    <row r="631" spans="1:16" x14ac:dyDescent="0.25">
      <c r="A631" s="6" t="s">
        <v>3920</v>
      </c>
      <c r="B631" s="7">
        <f t="shared" si="28"/>
        <v>46114</v>
      </c>
      <c r="C631" s="7">
        <f t="shared" si="29"/>
        <v>46120</v>
      </c>
      <c r="D631" s="6">
        <v>3280</v>
      </c>
      <c r="E631" s="6">
        <v>337</v>
      </c>
      <c r="F631" s="6">
        <v>4</v>
      </c>
      <c r="G631" s="15">
        <v>1</v>
      </c>
      <c r="H631" s="15"/>
      <c r="I631" s="15" t="s">
        <v>1505</v>
      </c>
      <c r="J631" s="15">
        <v>23990345</v>
      </c>
      <c r="K631" s="15" t="s">
        <v>762</v>
      </c>
      <c r="L631" s="15" t="s">
        <v>765</v>
      </c>
      <c r="M631" s="16">
        <v>209900</v>
      </c>
      <c r="N631" s="9">
        <v>0.95</v>
      </c>
      <c r="O631" s="8">
        <f t="shared" si="27"/>
        <v>10495</v>
      </c>
      <c r="P631" s="6" t="s">
        <v>15</v>
      </c>
    </row>
    <row r="632" spans="1:16" x14ac:dyDescent="0.25">
      <c r="A632" s="6" t="s">
        <v>3920</v>
      </c>
      <c r="B632" s="7">
        <f t="shared" si="28"/>
        <v>46114</v>
      </c>
      <c r="C632" s="7">
        <f t="shared" si="29"/>
        <v>46120</v>
      </c>
      <c r="D632" s="6">
        <v>3280</v>
      </c>
      <c r="E632" s="6">
        <v>337</v>
      </c>
      <c r="F632" s="6">
        <v>4</v>
      </c>
      <c r="G632" s="15">
        <v>1</v>
      </c>
      <c r="H632" s="15"/>
      <c r="I632" s="15" t="s">
        <v>1505</v>
      </c>
      <c r="J632" s="15">
        <v>23990354</v>
      </c>
      <c r="K632" s="15" t="s">
        <v>762</v>
      </c>
      <c r="L632" s="15" t="s">
        <v>766</v>
      </c>
      <c r="M632" s="16">
        <v>209900</v>
      </c>
      <c r="N632" s="9">
        <v>0.95</v>
      </c>
      <c r="O632" s="8">
        <f t="shared" si="27"/>
        <v>10495</v>
      </c>
      <c r="P632" s="6" t="s">
        <v>15</v>
      </c>
    </row>
    <row r="633" spans="1:16" x14ac:dyDescent="0.25">
      <c r="A633" s="6" t="s">
        <v>3920</v>
      </c>
      <c r="B633" s="7">
        <f t="shared" si="28"/>
        <v>46114</v>
      </c>
      <c r="C633" s="7">
        <f t="shared" si="29"/>
        <v>46120</v>
      </c>
      <c r="D633" s="6">
        <v>3280</v>
      </c>
      <c r="E633" s="6">
        <v>337</v>
      </c>
      <c r="F633" s="6">
        <v>4</v>
      </c>
      <c r="G633" s="15">
        <v>1</v>
      </c>
      <c r="H633" s="15"/>
      <c r="I633" s="15" t="s">
        <v>1505</v>
      </c>
      <c r="J633" s="15">
        <v>23990363</v>
      </c>
      <c r="K633" s="15" t="s">
        <v>762</v>
      </c>
      <c r="L633" s="15" t="s">
        <v>767</v>
      </c>
      <c r="M633" s="16">
        <v>209900</v>
      </c>
      <c r="N633" s="9">
        <v>0.95</v>
      </c>
      <c r="O633" s="8">
        <f t="shared" si="27"/>
        <v>10495</v>
      </c>
      <c r="P633" s="6" t="s">
        <v>15</v>
      </c>
    </row>
    <row r="634" spans="1:16" x14ac:dyDescent="0.25">
      <c r="A634" s="6" t="s">
        <v>3920</v>
      </c>
      <c r="B634" s="7">
        <f t="shared" si="28"/>
        <v>46114</v>
      </c>
      <c r="C634" s="7">
        <f t="shared" si="29"/>
        <v>46120</v>
      </c>
      <c r="D634" s="6">
        <v>3280</v>
      </c>
      <c r="E634" s="6">
        <v>337</v>
      </c>
      <c r="F634" s="6">
        <v>4</v>
      </c>
      <c r="G634" s="15">
        <v>1</v>
      </c>
      <c r="H634" s="15"/>
      <c r="I634" s="15" t="s">
        <v>1505</v>
      </c>
      <c r="J634" s="15">
        <v>23990470</v>
      </c>
      <c r="K634" s="15" t="s">
        <v>768</v>
      </c>
      <c r="L634" s="15" t="s">
        <v>769</v>
      </c>
      <c r="M634" s="16">
        <v>199900</v>
      </c>
      <c r="N634" s="9">
        <v>0.95</v>
      </c>
      <c r="O634" s="8">
        <f t="shared" si="27"/>
        <v>9995</v>
      </c>
      <c r="P634" s="6" t="s">
        <v>15</v>
      </c>
    </row>
    <row r="635" spans="1:16" x14ac:dyDescent="0.25">
      <c r="A635" s="6" t="s">
        <v>3920</v>
      </c>
      <c r="B635" s="7">
        <f t="shared" si="28"/>
        <v>46114</v>
      </c>
      <c r="C635" s="7">
        <f t="shared" si="29"/>
        <v>46120</v>
      </c>
      <c r="D635" s="6">
        <v>3280</v>
      </c>
      <c r="E635" s="6">
        <v>337</v>
      </c>
      <c r="F635" s="6">
        <v>4</v>
      </c>
      <c r="G635" s="15">
        <v>1</v>
      </c>
      <c r="H635" s="15"/>
      <c r="I635" s="15" t="s">
        <v>1505</v>
      </c>
      <c r="J635" s="15">
        <v>23990489</v>
      </c>
      <c r="K635" s="15" t="s">
        <v>768</v>
      </c>
      <c r="L635" s="15" t="s">
        <v>770</v>
      </c>
      <c r="M635" s="16">
        <v>199900</v>
      </c>
      <c r="N635" s="9">
        <v>0.95</v>
      </c>
      <c r="O635" s="8">
        <f t="shared" si="27"/>
        <v>9995</v>
      </c>
      <c r="P635" s="6" t="s">
        <v>15</v>
      </c>
    </row>
    <row r="636" spans="1:16" x14ac:dyDescent="0.25">
      <c r="A636" s="6" t="s">
        <v>3920</v>
      </c>
      <c r="B636" s="7">
        <f t="shared" si="28"/>
        <v>46114</v>
      </c>
      <c r="C636" s="7">
        <f t="shared" si="29"/>
        <v>46120</v>
      </c>
      <c r="D636" s="6">
        <v>3280</v>
      </c>
      <c r="E636" s="6">
        <v>337</v>
      </c>
      <c r="F636" s="6">
        <v>4</v>
      </c>
      <c r="G636" s="15">
        <v>1</v>
      </c>
      <c r="H636" s="15"/>
      <c r="I636" s="15" t="s">
        <v>1505</v>
      </c>
      <c r="J636" s="15">
        <v>23990498</v>
      </c>
      <c r="K636" s="15" t="s">
        <v>768</v>
      </c>
      <c r="L636" s="15" t="s">
        <v>771</v>
      </c>
      <c r="M636" s="16">
        <v>199900</v>
      </c>
      <c r="N636" s="9">
        <v>0.95</v>
      </c>
      <c r="O636" s="8">
        <f t="shared" si="27"/>
        <v>9995</v>
      </c>
      <c r="P636" s="6" t="s">
        <v>15</v>
      </c>
    </row>
    <row r="637" spans="1:16" x14ac:dyDescent="0.25">
      <c r="A637" s="6" t="s">
        <v>3920</v>
      </c>
      <c r="B637" s="7">
        <f t="shared" si="28"/>
        <v>46114</v>
      </c>
      <c r="C637" s="7">
        <f t="shared" si="29"/>
        <v>46120</v>
      </c>
      <c r="D637" s="6">
        <v>3280</v>
      </c>
      <c r="E637" s="6">
        <v>337</v>
      </c>
      <c r="F637" s="6">
        <v>4</v>
      </c>
      <c r="G637" s="15">
        <v>1</v>
      </c>
      <c r="H637" s="15"/>
      <c r="I637" s="15" t="s">
        <v>1505</v>
      </c>
      <c r="J637" s="15">
        <v>23990505</v>
      </c>
      <c r="K637" s="15" t="s">
        <v>768</v>
      </c>
      <c r="L637" s="15" t="s">
        <v>772</v>
      </c>
      <c r="M637" s="16">
        <v>209900</v>
      </c>
      <c r="N637" s="9">
        <v>0.95</v>
      </c>
      <c r="O637" s="8">
        <f t="shared" si="27"/>
        <v>10495</v>
      </c>
      <c r="P637" s="6" t="s">
        <v>15</v>
      </c>
    </row>
    <row r="638" spans="1:16" x14ac:dyDescent="0.25">
      <c r="A638" s="6" t="s">
        <v>3920</v>
      </c>
      <c r="B638" s="7">
        <f t="shared" si="28"/>
        <v>46114</v>
      </c>
      <c r="C638" s="7">
        <f t="shared" si="29"/>
        <v>46120</v>
      </c>
      <c r="D638" s="6">
        <v>3280</v>
      </c>
      <c r="E638" s="6">
        <v>337</v>
      </c>
      <c r="F638" s="6">
        <v>4</v>
      </c>
      <c r="G638" s="15">
        <v>1</v>
      </c>
      <c r="H638" s="15"/>
      <c r="I638" s="15" t="s">
        <v>1505</v>
      </c>
      <c r="J638" s="15">
        <v>23990514</v>
      </c>
      <c r="K638" s="15" t="s">
        <v>768</v>
      </c>
      <c r="L638" s="15" t="s">
        <v>773</v>
      </c>
      <c r="M638" s="16">
        <v>209900</v>
      </c>
      <c r="N638" s="9">
        <v>0.95</v>
      </c>
      <c r="O638" s="8">
        <f t="shared" si="27"/>
        <v>10495</v>
      </c>
      <c r="P638" s="6" t="s">
        <v>15</v>
      </c>
    </row>
    <row r="639" spans="1:16" x14ac:dyDescent="0.25">
      <c r="A639" s="6" t="s">
        <v>3920</v>
      </c>
      <c r="B639" s="7">
        <f t="shared" si="28"/>
        <v>46114</v>
      </c>
      <c r="C639" s="7">
        <f t="shared" si="29"/>
        <v>46120</v>
      </c>
      <c r="D639" s="6">
        <v>3280</v>
      </c>
      <c r="E639" s="6">
        <v>337</v>
      </c>
      <c r="F639" s="6">
        <v>4</v>
      </c>
      <c r="G639" s="15">
        <v>1</v>
      </c>
      <c r="H639" s="15"/>
      <c r="I639" s="15" t="s">
        <v>1505</v>
      </c>
      <c r="J639" s="15">
        <v>23990523</v>
      </c>
      <c r="K639" s="15" t="s">
        <v>768</v>
      </c>
      <c r="L639" s="15" t="s">
        <v>774</v>
      </c>
      <c r="M639" s="16">
        <v>209900</v>
      </c>
      <c r="N639" s="9">
        <v>0.95</v>
      </c>
      <c r="O639" s="8">
        <f t="shared" si="27"/>
        <v>10495</v>
      </c>
      <c r="P639" s="6" t="s">
        <v>15</v>
      </c>
    </row>
    <row r="640" spans="1:16" x14ac:dyDescent="0.25">
      <c r="A640" s="6" t="s">
        <v>3920</v>
      </c>
      <c r="B640" s="7">
        <f t="shared" si="28"/>
        <v>46114</v>
      </c>
      <c r="C640" s="7">
        <f t="shared" si="29"/>
        <v>46120</v>
      </c>
      <c r="D640" s="6">
        <v>3280</v>
      </c>
      <c r="E640" s="6">
        <v>337</v>
      </c>
      <c r="F640" s="6">
        <v>4</v>
      </c>
      <c r="G640" s="15">
        <v>1</v>
      </c>
      <c r="H640" s="15"/>
      <c r="I640" s="15" t="s">
        <v>1505</v>
      </c>
      <c r="J640" s="15">
        <v>23990621</v>
      </c>
      <c r="K640" s="15" t="s">
        <v>775</v>
      </c>
      <c r="L640" s="15" t="s">
        <v>776</v>
      </c>
      <c r="M640" s="16">
        <v>209900</v>
      </c>
      <c r="N640" s="9">
        <v>0.95</v>
      </c>
      <c r="O640" s="8">
        <f t="shared" si="27"/>
        <v>10495</v>
      </c>
      <c r="P640" s="6" t="s">
        <v>15</v>
      </c>
    </row>
    <row r="641" spans="1:16" x14ac:dyDescent="0.25">
      <c r="A641" s="6" t="s">
        <v>3920</v>
      </c>
      <c r="B641" s="7">
        <f t="shared" si="28"/>
        <v>46114</v>
      </c>
      <c r="C641" s="7">
        <f t="shared" si="29"/>
        <v>46120</v>
      </c>
      <c r="D641" s="6">
        <v>3280</v>
      </c>
      <c r="E641" s="6">
        <v>337</v>
      </c>
      <c r="F641" s="6">
        <v>4</v>
      </c>
      <c r="G641" s="15">
        <v>1</v>
      </c>
      <c r="H641" s="15"/>
      <c r="I641" s="15" t="s">
        <v>1505</v>
      </c>
      <c r="J641" s="15">
        <v>23990630</v>
      </c>
      <c r="K641" s="15" t="s">
        <v>775</v>
      </c>
      <c r="L641" s="15" t="s">
        <v>777</v>
      </c>
      <c r="M641" s="16">
        <v>209900</v>
      </c>
      <c r="N641" s="9">
        <v>0.95</v>
      </c>
      <c r="O641" s="8">
        <f t="shared" si="27"/>
        <v>10495</v>
      </c>
      <c r="P641" s="6" t="s">
        <v>15</v>
      </c>
    </row>
    <row r="642" spans="1:16" x14ac:dyDescent="0.25">
      <c r="A642" s="6" t="s">
        <v>3920</v>
      </c>
      <c r="B642" s="7">
        <f t="shared" si="28"/>
        <v>46114</v>
      </c>
      <c r="C642" s="7">
        <f t="shared" si="29"/>
        <v>46120</v>
      </c>
      <c r="D642" s="6">
        <v>3280</v>
      </c>
      <c r="E642" s="6">
        <v>337</v>
      </c>
      <c r="F642" s="6">
        <v>4</v>
      </c>
      <c r="G642" s="15">
        <v>1</v>
      </c>
      <c r="H642" s="15"/>
      <c r="I642" s="15" t="s">
        <v>1505</v>
      </c>
      <c r="J642" s="15">
        <v>23990649</v>
      </c>
      <c r="K642" s="15" t="s">
        <v>775</v>
      </c>
      <c r="L642" s="15" t="s">
        <v>778</v>
      </c>
      <c r="M642" s="16">
        <v>209900</v>
      </c>
      <c r="N642" s="9">
        <v>0.95</v>
      </c>
      <c r="O642" s="8">
        <f t="shared" ref="O642:O705" si="30">M642-((95*M642)/100)</f>
        <v>10495</v>
      </c>
      <c r="P642" s="6" t="s">
        <v>15</v>
      </c>
    </row>
    <row r="643" spans="1:16" x14ac:dyDescent="0.25">
      <c r="A643" s="6" t="s">
        <v>3920</v>
      </c>
      <c r="B643" s="7">
        <f t="shared" si="28"/>
        <v>46114</v>
      </c>
      <c r="C643" s="7">
        <f t="shared" si="29"/>
        <v>46120</v>
      </c>
      <c r="D643" s="6">
        <v>3280</v>
      </c>
      <c r="E643" s="6">
        <v>337</v>
      </c>
      <c r="F643" s="6">
        <v>4</v>
      </c>
      <c r="G643" s="15">
        <v>1</v>
      </c>
      <c r="H643" s="15"/>
      <c r="I643" s="15" t="s">
        <v>1505</v>
      </c>
      <c r="J643" s="15">
        <v>23990658</v>
      </c>
      <c r="K643" s="15" t="s">
        <v>775</v>
      </c>
      <c r="L643" s="15" t="s">
        <v>779</v>
      </c>
      <c r="M643" s="16">
        <v>219900</v>
      </c>
      <c r="N643" s="9">
        <v>0.95</v>
      </c>
      <c r="O643" s="8">
        <f t="shared" si="30"/>
        <v>10995</v>
      </c>
      <c r="P643" s="6" t="s">
        <v>15</v>
      </c>
    </row>
    <row r="644" spans="1:16" x14ac:dyDescent="0.25">
      <c r="A644" s="6" t="s">
        <v>3920</v>
      </c>
      <c r="B644" s="7">
        <f t="shared" ref="B644:B707" si="31">B643</f>
        <v>46114</v>
      </c>
      <c r="C644" s="7">
        <f t="shared" ref="C644:C707" si="32">C643</f>
        <v>46120</v>
      </c>
      <c r="D644" s="6">
        <v>3280</v>
      </c>
      <c r="E644" s="6">
        <v>337</v>
      </c>
      <c r="F644" s="6">
        <v>4</v>
      </c>
      <c r="G644" s="15">
        <v>1</v>
      </c>
      <c r="H644" s="15"/>
      <c r="I644" s="15" t="s">
        <v>1505</v>
      </c>
      <c r="J644" s="15">
        <v>23990667</v>
      </c>
      <c r="K644" s="15" t="s">
        <v>775</v>
      </c>
      <c r="L644" s="15" t="s">
        <v>780</v>
      </c>
      <c r="M644" s="16">
        <v>219900</v>
      </c>
      <c r="N644" s="9">
        <v>0.95</v>
      </c>
      <c r="O644" s="8">
        <f t="shared" si="30"/>
        <v>10995</v>
      </c>
      <c r="P644" s="6" t="s">
        <v>15</v>
      </c>
    </row>
    <row r="645" spans="1:16" x14ac:dyDescent="0.25">
      <c r="A645" s="6" t="s">
        <v>3920</v>
      </c>
      <c r="B645" s="7">
        <f t="shared" si="31"/>
        <v>46114</v>
      </c>
      <c r="C645" s="7">
        <f t="shared" si="32"/>
        <v>46120</v>
      </c>
      <c r="D645" s="6">
        <v>3280</v>
      </c>
      <c r="E645" s="6">
        <v>337</v>
      </c>
      <c r="F645" s="6">
        <v>4</v>
      </c>
      <c r="G645" s="15">
        <v>1</v>
      </c>
      <c r="H645" s="15"/>
      <c r="I645" s="15" t="s">
        <v>1505</v>
      </c>
      <c r="J645" s="15">
        <v>23990676</v>
      </c>
      <c r="K645" s="15" t="s">
        <v>775</v>
      </c>
      <c r="L645" s="15" t="s">
        <v>781</v>
      </c>
      <c r="M645" s="16">
        <v>219900</v>
      </c>
      <c r="N645" s="9">
        <v>0.95</v>
      </c>
      <c r="O645" s="8">
        <f t="shared" si="30"/>
        <v>10995</v>
      </c>
      <c r="P645" s="6" t="s">
        <v>15</v>
      </c>
    </row>
    <row r="646" spans="1:16" x14ac:dyDescent="0.25">
      <c r="A646" s="6" t="s">
        <v>3920</v>
      </c>
      <c r="B646" s="7">
        <f t="shared" si="31"/>
        <v>46114</v>
      </c>
      <c r="C646" s="7">
        <f t="shared" si="32"/>
        <v>46120</v>
      </c>
      <c r="D646" s="6">
        <v>3280</v>
      </c>
      <c r="E646" s="6">
        <v>337</v>
      </c>
      <c r="F646" s="6">
        <v>4</v>
      </c>
      <c r="G646" s="15">
        <v>1</v>
      </c>
      <c r="H646" s="15"/>
      <c r="I646" s="15" t="s">
        <v>1505</v>
      </c>
      <c r="J646" s="15">
        <v>23990907</v>
      </c>
      <c r="K646" s="15" t="s">
        <v>782</v>
      </c>
      <c r="L646" s="15" t="s">
        <v>783</v>
      </c>
      <c r="M646" s="16">
        <v>209900</v>
      </c>
      <c r="N646" s="9">
        <v>0.95</v>
      </c>
      <c r="O646" s="8">
        <f t="shared" si="30"/>
        <v>10495</v>
      </c>
      <c r="P646" s="6" t="s">
        <v>15</v>
      </c>
    </row>
    <row r="647" spans="1:16" x14ac:dyDescent="0.25">
      <c r="A647" s="6" t="s">
        <v>3920</v>
      </c>
      <c r="B647" s="7">
        <f t="shared" si="31"/>
        <v>46114</v>
      </c>
      <c r="C647" s="7">
        <f t="shared" si="32"/>
        <v>46120</v>
      </c>
      <c r="D647" s="6">
        <v>3280</v>
      </c>
      <c r="E647" s="6">
        <v>337</v>
      </c>
      <c r="F647" s="6">
        <v>4</v>
      </c>
      <c r="G647" s="15">
        <v>1</v>
      </c>
      <c r="H647" s="15"/>
      <c r="I647" s="15" t="s">
        <v>1505</v>
      </c>
      <c r="J647" s="15">
        <v>23990916</v>
      </c>
      <c r="K647" s="15" t="s">
        <v>782</v>
      </c>
      <c r="L647" s="15" t="s">
        <v>784</v>
      </c>
      <c r="M647" s="16">
        <v>209900</v>
      </c>
      <c r="N647" s="9">
        <v>0.95</v>
      </c>
      <c r="O647" s="8">
        <f t="shared" si="30"/>
        <v>10495</v>
      </c>
      <c r="P647" s="6" t="s">
        <v>15</v>
      </c>
    </row>
    <row r="648" spans="1:16" x14ac:dyDescent="0.25">
      <c r="A648" s="6" t="s">
        <v>3920</v>
      </c>
      <c r="B648" s="7">
        <f t="shared" si="31"/>
        <v>46114</v>
      </c>
      <c r="C648" s="7">
        <f t="shared" si="32"/>
        <v>46120</v>
      </c>
      <c r="D648" s="6">
        <v>3280</v>
      </c>
      <c r="E648" s="6">
        <v>337</v>
      </c>
      <c r="F648" s="6">
        <v>4</v>
      </c>
      <c r="G648" s="15">
        <v>1</v>
      </c>
      <c r="H648" s="15"/>
      <c r="I648" s="15" t="s">
        <v>1505</v>
      </c>
      <c r="J648" s="15">
        <v>23990925</v>
      </c>
      <c r="K648" s="15" t="s">
        <v>782</v>
      </c>
      <c r="L648" s="15" t="s">
        <v>785</v>
      </c>
      <c r="M648" s="16">
        <v>209900</v>
      </c>
      <c r="N648" s="9">
        <v>0.95</v>
      </c>
      <c r="O648" s="8">
        <f t="shared" si="30"/>
        <v>10495</v>
      </c>
      <c r="P648" s="6" t="s">
        <v>15</v>
      </c>
    </row>
    <row r="649" spans="1:16" x14ac:dyDescent="0.25">
      <c r="A649" s="6" t="s">
        <v>3920</v>
      </c>
      <c r="B649" s="7">
        <f t="shared" si="31"/>
        <v>46114</v>
      </c>
      <c r="C649" s="7">
        <f t="shared" si="32"/>
        <v>46120</v>
      </c>
      <c r="D649" s="6">
        <v>3280</v>
      </c>
      <c r="E649" s="6">
        <v>337</v>
      </c>
      <c r="F649" s="6">
        <v>4</v>
      </c>
      <c r="G649" s="15">
        <v>1</v>
      </c>
      <c r="H649" s="15"/>
      <c r="I649" s="15" t="s">
        <v>1505</v>
      </c>
      <c r="J649" s="15">
        <v>23995760</v>
      </c>
      <c r="K649" s="15" t="s">
        <v>620</v>
      </c>
      <c r="L649" s="15" t="s">
        <v>786</v>
      </c>
      <c r="M649" s="16">
        <v>199900</v>
      </c>
      <c r="N649" s="9">
        <v>0.95</v>
      </c>
      <c r="O649" s="8">
        <f t="shared" si="30"/>
        <v>9995</v>
      </c>
      <c r="P649" s="6" t="s">
        <v>15</v>
      </c>
    </row>
    <row r="650" spans="1:16" x14ac:dyDescent="0.25">
      <c r="A650" s="6" t="s">
        <v>3920</v>
      </c>
      <c r="B650" s="7">
        <f t="shared" si="31"/>
        <v>46114</v>
      </c>
      <c r="C650" s="7">
        <f t="shared" si="32"/>
        <v>46120</v>
      </c>
      <c r="D650" s="6">
        <v>3280</v>
      </c>
      <c r="E650" s="6">
        <v>337</v>
      </c>
      <c r="F650" s="6">
        <v>4</v>
      </c>
      <c r="G650" s="15">
        <v>1</v>
      </c>
      <c r="H650" s="15"/>
      <c r="I650" s="15" t="s">
        <v>1505</v>
      </c>
      <c r="J650" s="15">
        <v>23996054</v>
      </c>
      <c r="K650" s="15" t="s">
        <v>787</v>
      </c>
      <c r="L650" s="15" t="s">
        <v>788</v>
      </c>
      <c r="M650" s="16">
        <v>199900</v>
      </c>
      <c r="N650" s="9">
        <v>0.95</v>
      </c>
      <c r="O650" s="8">
        <f t="shared" si="30"/>
        <v>9995</v>
      </c>
      <c r="P650" s="6" t="s">
        <v>15</v>
      </c>
    </row>
    <row r="651" spans="1:16" x14ac:dyDescent="0.25">
      <c r="A651" s="6" t="s">
        <v>3920</v>
      </c>
      <c r="B651" s="7">
        <f t="shared" si="31"/>
        <v>46114</v>
      </c>
      <c r="C651" s="7">
        <f t="shared" si="32"/>
        <v>46120</v>
      </c>
      <c r="D651" s="6">
        <v>3280</v>
      </c>
      <c r="E651" s="6">
        <v>337</v>
      </c>
      <c r="F651" s="6">
        <v>4</v>
      </c>
      <c r="G651" s="15">
        <v>1</v>
      </c>
      <c r="H651" s="15"/>
      <c r="I651" s="15" t="s">
        <v>1505</v>
      </c>
      <c r="J651" s="15">
        <v>23996063</v>
      </c>
      <c r="K651" s="15" t="s">
        <v>787</v>
      </c>
      <c r="L651" s="15" t="s">
        <v>789</v>
      </c>
      <c r="M651" s="16">
        <v>199900</v>
      </c>
      <c r="N651" s="9">
        <v>0.95</v>
      </c>
      <c r="O651" s="8">
        <f t="shared" si="30"/>
        <v>9995</v>
      </c>
      <c r="P651" s="6" t="s">
        <v>15</v>
      </c>
    </row>
    <row r="652" spans="1:16" x14ac:dyDescent="0.25">
      <c r="A652" s="6" t="s">
        <v>3920</v>
      </c>
      <c r="B652" s="7">
        <f t="shared" si="31"/>
        <v>46114</v>
      </c>
      <c r="C652" s="7">
        <f t="shared" si="32"/>
        <v>46120</v>
      </c>
      <c r="D652" s="6">
        <v>3280</v>
      </c>
      <c r="E652" s="6">
        <v>337</v>
      </c>
      <c r="F652" s="6">
        <v>4</v>
      </c>
      <c r="G652" s="15">
        <v>1</v>
      </c>
      <c r="H652" s="15"/>
      <c r="I652" s="15" t="s">
        <v>1505</v>
      </c>
      <c r="J652" s="15">
        <v>23996107</v>
      </c>
      <c r="K652" s="15" t="s">
        <v>787</v>
      </c>
      <c r="L652" s="15" t="s">
        <v>790</v>
      </c>
      <c r="M652" s="16">
        <v>209900</v>
      </c>
      <c r="N652" s="9">
        <v>0.95</v>
      </c>
      <c r="O652" s="8">
        <f t="shared" si="30"/>
        <v>10495</v>
      </c>
      <c r="P652" s="6" t="s">
        <v>15</v>
      </c>
    </row>
    <row r="653" spans="1:16" x14ac:dyDescent="0.25">
      <c r="A653" s="6" t="s">
        <v>3920</v>
      </c>
      <c r="B653" s="7">
        <f t="shared" si="31"/>
        <v>46114</v>
      </c>
      <c r="C653" s="7">
        <f t="shared" si="32"/>
        <v>46120</v>
      </c>
      <c r="D653" s="6">
        <v>3280</v>
      </c>
      <c r="E653" s="6">
        <v>337</v>
      </c>
      <c r="F653" s="6">
        <v>4</v>
      </c>
      <c r="G653" s="15">
        <v>1</v>
      </c>
      <c r="H653" s="15"/>
      <c r="I653" s="15" t="s">
        <v>1505</v>
      </c>
      <c r="J653" s="15">
        <v>23996965</v>
      </c>
      <c r="K653" s="15" t="s">
        <v>791</v>
      </c>
      <c r="L653" s="15" t="s">
        <v>792</v>
      </c>
      <c r="M653" s="16">
        <v>199900</v>
      </c>
      <c r="N653" s="9">
        <v>0.95</v>
      </c>
      <c r="O653" s="8">
        <f t="shared" si="30"/>
        <v>9995</v>
      </c>
      <c r="P653" s="6" t="s">
        <v>15</v>
      </c>
    </row>
    <row r="654" spans="1:16" x14ac:dyDescent="0.25">
      <c r="A654" s="6" t="s">
        <v>3920</v>
      </c>
      <c r="B654" s="7">
        <f t="shared" si="31"/>
        <v>46114</v>
      </c>
      <c r="C654" s="7">
        <f t="shared" si="32"/>
        <v>46120</v>
      </c>
      <c r="D654" s="6">
        <v>3280</v>
      </c>
      <c r="E654" s="6">
        <v>337</v>
      </c>
      <c r="F654" s="6">
        <v>4</v>
      </c>
      <c r="G654" s="15">
        <v>1</v>
      </c>
      <c r="H654" s="15"/>
      <c r="I654" s="15" t="s">
        <v>1505</v>
      </c>
      <c r="J654" s="15">
        <v>23996974</v>
      </c>
      <c r="K654" s="15" t="s">
        <v>791</v>
      </c>
      <c r="L654" s="15" t="s">
        <v>793</v>
      </c>
      <c r="M654" s="16">
        <v>209900</v>
      </c>
      <c r="N654" s="9">
        <v>0.95</v>
      </c>
      <c r="O654" s="8">
        <f t="shared" si="30"/>
        <v>10495</v>
      </c>
      <c r="P654" s="6" t="s">
        <v>15</v>
      </c>
    </row>
    <row r="655" spans="1:16" x14ac:dyDescent="0.25">
      <c r="A655" s="6" t="s">
        <v>3920</v>
      </c>
      <c r="B655" s="7">
        <f t="shared" si="31"/>
        <v>46114</v>
      </c>
      <c r="C655" s="7">
        <f t="shared" si="32"/>
        <v>46120</v>
      </c>
      <c r="D655" s="6">
        <v>3280</v>
      </c>
      <c r="E655" s="6">
        <v>337</v>
      </c>
      <c r="F655" s="6">
        <v>4</v>
      </c>
      <c r="G655" s="15">
        <v>1</v>
      </c>
      <c r="H655" s="15"/>
      <c r="I655" s="15" t="s">
        <v>1505</v>
      </c>
      <c r="J655" s="15">
        <v>23996983</v>
      </c>
      <c r="K655" s="15" t="s">
        <v>791</v>
      </c>
      <c r="L655" s="15" t="s">
        <v>794</v>
      </c>
      <c r="M655" s="16">
        <v>209900</v>
      </c>
      <c r="N655" s="9">
        <v>0.95</v>
      </c>
      <c r="O655" s="8">
        <f t="shared" si="30"/>
        <v>10495</v>
      </c>
      <c r="P655" s="6" t="s">
        <v>15</v>
      </c>
    </row>
    <row r="656" spans="1:16" x14ac:dyDescent="0.25">
      <c r="A656" s="6" t="s">
        <v>3920</v>
      </c>
      <c r="B656" s="7">
        <f t="shared" si="31"/>
        <v>46114</v>
      </c>
      <c r="C656" s="7">
        <f t="shared" si="32"/>
        <v>46120</v>
      </c>
      <c r="D656" s="6">
        <v>3280</v>
      </c>
      <c r="E656" s="6">
        <v>337</v>
      </c>
      <c r="F656" s="6">
        <v>4</v>
      </c>
      <c r="G656" s="15">
        <v>1</v>
      </c>
      <c r="H656" s="15"/>
      <c r="I656" s="15" t="s">
        <v>1505</v>
      </c>
      <c r="J656" s="15">
        <v>23996992</v>
      </c>
      <c r="K656" s="15" t="s">
        <v>791</v>
      </c>
      <c r="L656" s="15" t="s">
        <v>795</v>
      </c>
      <c r="M656" s="16">
        <v>209900</v>
      </c>
      <c r="N656" s="9">
        <v>0.95</v>
      </c>
      <c r="O656" s="8">
        <f t="shared" si="30"/>
        <v>10495</v>
      </c>
      <c r="P656" s="6" t="s">
        <v>15</v>
      </c>
    </row>
    <row r="657" spans="1:16" x14ac:dyDescent="0.25">
      <c r="A657" s="6" t="s">
        <v>3920</v>
      </c>
      <c r="B657" s="7">
        <f t="shared" si="31"/>
        <v>46114</v>
      </c>
      <c r="C657" s="7">
        <f t="shared" si="32"/>
        <v>46120</v>
      </c>
      <c r="D657" s="6">
        <v>3280</v>
      </c>
      <c r="E657" s="6">
        <v>337</v>
      </c>
      <c r="F657" s="6">
        <v>4</v>
      </c>
      <c r="G657" s="15">
        <v>1</v>
      </c>
      <c r="H657" s="15"/>
      <c r="I657" s="15" t="s">
        <v>1505</v>
      </c>
      <c r="J657" s="15">
        <v>23997213</v>
      </c>
      <c r="K657" s="15" t="s">
        <v>796</v>
      </c>
      <c r="L657" s="15" t="s">
        <v>797</v>
      </c>
      <c r="M657" s="16">
        <v>219900</v>
      </c>
      <c r="N657" s="9">
        <v>0.95</v>
      </c>
      <c r="O657" s="8">
        <f t="shared" si="30"/>
        <v>10995</v>
      </c>
      <c r="P657" s="6" t="s">
        <v>15</v>
      </c>
    </row>
    <row r="658" spans="1:16" x14ac:dyDescent="0.25">
      <c r="A658" s="6" t="s">
        <v>3920</v>
      </c>
      <c r="B658" s="7">
        <f t="shared" si="31"/>
        <v>46114</v>
      </c>
      <c r="C658" s="7">
        <f t="shared" si="32"/>
        <v>46120</v>
      </c>
      <c r="D658" s="6">
        <v>3280</v>
      </c>
      <c r="E658" s="6">
        <v>337</v>
      </c>
      <c r="F658" s="6">
        <v>4</v>
      </c>
      <c r="G658" s="15">
        <v>1</v>
      </c>
      <c r="H658" s="15"/>
      <c r="I658" s="15" t="s">
        <v>1505</v>
      </c>
      <c r="J658" s="15">
        <v>23997222</v>
      </c>
      <c r="K658" s="15" t="s">
        <v>796</v>
      </c>
      <c r="L658" s="15" t="s">
        <v>798</v>
      </c>
      <c r="M658" s="16">
        <v>219900</v>
      </c>
      <c r="N658" s="9">
        <v>0.95</v>
      </c>
      <c r="O658" s="8">
        <f t="shared" si="30"/>
        <v>10995</v>
      </c>
      <c r="P658" s="6" t="s">
        <v>15</v>
      </c>
    </row>
    <row r="659" spans="1:16" x14ac:dyDescent="0.25">
      <c r="A659" s="6" t="s">
        <v>3920</v>
      </c>
      <c r="B659" s="7">
        <f t="shared" si="31"/>
        <v>46114</v>
      </c>
      <c r="C659" s="7">
        <f t="shared" si="32"/>
        <v>46120</v>
      </c>
      <c r="D659" s="6">
        <v>3280</v>
      </c>
      <c r="E659" s="6">
        <v>337</v>
      </c>
      <c r="F659" s="6">
        <v>4</v>
      </c>
      <c r="G659" s="15">
        <v>1</v>
      </c>
      <c r="H659" s="15"/>
      <c r="I659" s="15" t="s">
        <v>1505</v>
      </c>
      <c r="J659" s="15">
        <v>23997231</v>
      </c>
      <c r="K659" s="15" t="s">
        <v>796</v>
      </c>
      <c r="L659" s="15" t="s">
        <v>799</v>
      </c>
      <c r="M659" s="16">
        <v>219900</v>
      </c>
      <c r="N659" s="9">
        <v>0.95</v>
      </c>
      <c r="O659" s="8">
        <f t="shared" si="30"/>
        <v>10995</v>
      </c>
      <c r="P659" s="6" t="s">
        <v>15</v>
      </c>
    </row>
    <row r="660" spans="1:16" x14ac:dyDescent="0.25">
      <c r="A660" s="6" t="s">
        <v>3920</v>
      </c>
      <c r="B660" s="7">
        <f t="shared" si="31"/>
        <v>46114</v>
      </c>
      <c r="C660" s="7">
        <f t="shared" si="32"/>
        <v>46120</v>
      </c>
      <c r="D660" s="6">
        <v>3280</v>
      </c>
      <c r="E660" s="6">
        <v>337</v>
      </c>
      <c r="F660" s="6">
        <v>4</v>
      </c>
      <c r="G660" s="15">
        <v>1</v>
      </c>
      <c r="H660" s="15"/>
      <c r="I660" s="15" t="s">
        <v>1505</v>
      </c>
      <c r="J660" s="15">
        <v>23997259</v>
      </c>
      <c r="K660" s="15" t="s">
        <v>796</v>
      </c>
      <c r="L660" s="15" t="s">
        <v>800</v>
      </c>
      <c r="M660" s="16">
        <v>229900</v>
      </c>
      <c r="N660" s="9">
        <v>0.95</v>
      </c>
      <c r="O660" s="8">
        <f t="shared" si="30"/>
        <v>11495</v>
      </c>
      <c r="P660" s="6" t="s">
        <v>15</v>
      </c>
    </row>
    <row r="661" spans="1:16" x14ac:dyDescent="0.25">
      <c r="A661" s="6" t="s">
        <v>3920</v>
      </c>
      <c r="B661" s="7">
        <f t="shared" si="31"/>
        <v>46114</v>
      </c>
      <c r="C661" s="7">
        <f t="shared" si="32"/>
        <v>46120</v>
      </c>
      <c r="D661" s="6">
        <v>3280</v>
      </c>
      <c r="E661" s="6">
        <v>337</v>
      </c>
      <c r="F661" s="6">
        <v>4</v>
      </c>
      <c r="G661" s="15">
        <v>1</v>
      </c>
      <c r="H661" s="15"/>
      <c r="I661" s="15" t="s">
        <v>1505</v>
      </c>
      <c r="J661" s="15">
        <v>23997268</v>
      </c>
      <c r="K661" s="15" t="s">
        <v>796</v>
      </c>
      <c r="L661" s="15" t="s">
        <v>801</v>
      </c>
      <c r="M661" s="16">
        <v>229900</v>
      </c>
      <c r="N661" s="9">
        <v>0.95</v>
      </c>
      <c r="O661" s="8">
        <f t="shared" si="30"/>
        <v>11495</v>
      </c>
      <c r="P661" s="6" t="s">
        <v>15</v>
      </c>
    </row>
    <row r="662" spans="1:16" x14ac:dyDescent="0.25">
      <c r="A662" s="6" t="s">
        <v>3920</v>
      </c>
      <c r="B662" s="7">
        <f t="shared" si="31"/>
        <v>46114</v>
      </c>
      <c r="C662" s="7">
        <f t="shared" si="32"/>
        <v>46120</v>
      </c>
      <c r="D662" s="6">
        <v>3280</v>
      </c>
      <c r="E662" s="6">
        <v>337</v>
      </c>
      <c r="F662" s="6">
        <v>4</v>
      </c>
      <c r="G662" s="15">
        <v>1</v>
      </c>
      <c r="H662" s="15"/>
      <c r="I662" s="15" t="s">
        <v>1505</v>
      </c>
      <c r="J662" s="15">
        <v>23998310</v>
      </c>
      <c r="K662" s="15" t="s">
        <v>802</v>
      </c>
      <c r="L662" s="15" t="s">
        <v>803</v>
      </c>
      <c r="M662" s="16">
        <v>209900</v>
      </c>
      <c r="N662" s="9">
        <v>0.95</v>
      </c>
      <c r="O662" s="8">
        <f t="shared" si="30"/>
        <v>10495</v>
      </c>
      <c r="P662" s="6" t="s">
        <v>15</v>
      </c>
    </row>
    <row r="663" spans="1:16" x14ac:dyDescent="0.25">
      <c r="A663" s="6" t="s">
        <v>3920</v>
      </c>
      <c r="B663" s="7">
        <f t="shared" si="31"/>
        <v>46114</v>
      </c>
      <c r="C663" s="7">
        <f t="shared" si="32"/>
        <v>46120</v>
      </c>
      <c r="D663" s="6">
        <v>3280</v>
      </c>
      <c r="E663" s="6">
        <v>337</v>
      </c>
      <c r="F663" s="6">
        <v>4</v>
      </c>
      <c r="G663" s="15">
        <v>1</v>
      </c>
      <c r="H663" s="15"/>
      <c r="I663" s="15" t="s">
        <v>1505</v>
      </c>
      <c r="J663" s="15">
        <v>23998329</v>
      </c>
      <c r="K663" s="15" t="s">
        <v>802</v>
      </c>
      <c r="L663" s="15" t="s">
        <v>804</v>
      </c>
      <c r="M663" s="16">
        <v>209900</v>
      </c>
      <c r="N663" s="9">
        <v>0.95</v>
      </c>
      <c r="O663" s="8">
        <f t="shared" si="30"/>
        <v>10495</v>
      </c>
      <c r="P663" s="6" t="s">
        <v>15</v>
      </c>
    </row>
    <row r="664" spans="1:16" x14ac:dyDescent="0.25">
      <c r="A664" s="6" t="s">
        <v>3920</v>
      </c>
      <c r="B664" s="7">
        <f t="shared" si="31"/>
        <v>46114</v>
      </c>
      <c r="C664" s="7">
        <f t="shared" si="32"/>
        <v>46120</v>
      </c>
      <c r="D664" s="6">
        <v>3280</v>
      </c>
      <c r="E664" s="6">
        <v>337</v>
      </c>
      <c r="F664" s="6">
        <v>4</v>
      </c>
      <c r="G664" s="15">
        <v>1</v>
      </c>
      <c r="H664" s="15"/>
      <c r="I664" s="15" t="s">
        <v>1505</v>
      </c>
      <c r="J664" s="15">
        <v>23998338</v>
      </c>
      <c r="K664" s="15" t="s">
        <v>802</v>
      </c>
      <c r="L664" s="15" t="s">
        <v>805</v>
      </c>
      <c r="M664" s="16">
        <v>209900</v>
      </c>
      <c r="N664" s="9">
        <v>0.95</v>
      </c>
      <c r="O664" s="8">
        <f t="shared" si="30"/>
        <v>10495</v>
      </c>
      <c r="P664" s="6" t="s">
        <v>15</v>
      </c>
    </row>
    <row r="665" spans="1:16" x14ac:dyDescent="0.25">
      <c r="A665" s="6" t="s">
        <v>3920</v>
      </c>
      <c r="B665" s="7">
        <f t="shared" si="31"/>
        <v>46114</v>
      </c>
      <c r="C665" s="7">
        <f t="shared" si="32"/>
        <v>46120</v>
      </c>
      <c r="D665" s="6">
        <v>3280</v>
      </c>
      <c r="E665" s="6">
        <v>337</v>
      </c>
      <c r="F665" s="6">
        <v>4</v>
      </c>
      <c r="G665" s="15">
        <v>1</v>
      </c>
      <c r="H665" s="15"/>
      <c r="I665" s="15" t="s">
        <v>1505</v>
      </c>
      <c r="J665" s="15">
        <v>23998347</v>
      </c>
      <c r="K665" s="15" t="s">
        <v>802</v>
      </c>
      <c r="L665" s="15" t="s">
        <v>806</v>
      </c>
      <c r="M665" s="16">
        <v>219900</v>
      </c>
      <c r="N665" s="9">
        <v>0.95</v>
      </c>
      <c r="O665" s="8">
        <f t="shared" si="30"/>
        <v>10995</v>
      </c>
      <c r="P665" s="6" t="s">
        <v>15</v>
      </c>
    </row>
    <row r="666" spans="1:16" x14ac:dyDescent="0.25">
      <c r="A666" s="6" t="s">
        <v>3920</v>
      </c>
      <c r="B666" s="7">
        <f t="shared" si="31"/>
        <v>46114</v>
      </c>
      <c r="C666" s="7">
        <f t="shared" si="32"/>
        <v>46120</v>
      </c>
      <c r="D666" s="6">
        <v>3280</v>
      </c>
      <c r="E666" s="6">
        <v>337</v>
      </c>
      <c r="F666" s="6">
        <v>4</v>
      </c>
      <c r="G666" s="15">
        <v>1</v>
      </c>
      <c r="H666" s="15"/>
      <c r="I666" s="15" t="s">
        <v>1505</v>
      </c>
      <c r="J666" s="15">
        <v>23998356</v>
      </c>
      <c r="K666" s="15" t="s">
        <v>802</v>
      </c>
      <c r="L666" s="15" t="s">
        <v>807</v>
      </c>
      <c r="M666" s="16">
        <v>219900</v>
      </c>
      <c r="N666" s="9">
        <v>0.95</v>
      </c>
      <c r="O666" s="8">
        <f t="shared" si="30"/>
        <v>10995</v>
      </c>
      <c r="P666" s="6" t="s">
        <v>15</v>
      </c>
    </row>
    <row r="667" spans="1:16" x14ac:dyDescent="0.25">
      <c r="A667" s="6" t="s">
        <v>3920</v>
      </c>
      <c r="B667" s="7">
        <f t="shared" si="31"/>
        <v>46114</v>
      </c>
      <c r="C667" s="7">
        <f t="shared" si="32"/>
        <v>46120</v>
      </c>
      <c r="D667" s="6">
        <v>3280</v>
      </c>
      <c r="E667" s="6">
        <v>337</v>
      </c>
      <c r="F667" s="6">
        <v>4</v>
      </c>
      <c r="G667" s="15">
        <v>1</v>
      </c>
      <c r="H667" s="15"/>
      <c r="I667" s="15" t="s">
        <v>1505</v>
      </c>
      <c r="J667" s="15">
        <v>23998365</v>
      </c>
      <c r="K667" s="15" t="s">
        <v>802</v>
      </c>
      <c r="L667" s="15" t="s">
        <v>808</v>
      </c>
      <c r="M667" s="16">
        <v>219900</v>
      </c>
      <c r="N667" s="9">
        <v>0.95</v>
      </c>
      <c r="O667" s="8">
        <f t="shared" si="30"/>
        <v>10995</v>
      </c>
      <c r="P667" s="6" t="s">
        <v>15</v>
      </c>
    </row>
    <row r="668" spans="1:16" x14ac:dyDescent="0.25">
      <c r="A668" s="6" t="s">
        <v>3920</v>
      </c>
      <c r="B668" s="7">
        <f t="shared" si="31"/>
        <v>46114</v>
      </c>
      <c r="C668" s="7">
        <f t="shared" si="32"/>
        <v>46120</v>
      </c>
      <c r="D668" s="6">
        <v>3280</v>
      </c>
      <c r="E668" s="6">
        <v>337</v>
      </c>
      <c r="F668" s="6">
        <v>4</v>
      </c>
      <c r="G668" s="15">
        <v>1</v>
      </c>
      <c r="H668" s="15"/>
      <c r="I668" s="15" t="s">
        <v>1505</v>
      </c>
      <c r="J668" s="15">
        <v>24000313</v>
      </c>
      <c r="K668" s="15" t="s">
        <v>809</v>
      </c>
      <c r="L668" s="15" t="s">
        <v>810</v>
      </c>
      <c r="M668" s="16">
        <v>219900</v>
      </c>
      <c r="N668" s="9">
        <v>0.95</v>
      </c>
      <c r="O668" s="8">
        <f t="shared" si="30"/>
        <v>10995</v>
      </c>
      <c r="P668" s="6" t="s">
        <v>15</v>
      </c>
    </row>
    <row r="669" spans="1:16" x14ac:dyDescent="0.25">
      <c r="A669" s="6" t="s">
        <v>3920</v>
      </c>
      <c r="B669" s="7">
        <f t="shared" si="31"/>
        <v>46114</v>
      </c>
      <c r="C669" s="7">
        <f t="shared" si="32"/>
        <v>46120</v>
      </c>
      <c r="D669" s="6">
        <v>3280</v>
      </c>
      <c r="E669" s="6">
        <v>337</v>
      </c>
      <c r="F669" s="6">
        <v>4</v>
      </c>
      <c r="G669" s="15">
        <v>1</v>
      </c>
      <c r="H669" s="15"/>
      <c r="I669" s="15" t="s">
        <v>1505</v>
      </c>
      <c r="J669" s="15">
        <v>24000322</v>
      </c>
      <c r="K669" s="15" t="s">
        <v>809</v>
      </c>
      <c r="L669" s="15" t="s">
        <v>811</v>
      </c>
      <c r="M669" s="16">
        <v>219900</v>
      </c>
      <c r="N669" s="9">
        <v>0.95</v>
      </c>
      <c r="O669" s="8">
        <f t="shared" si="30"/>
        <v>10995</v>
      </c>
      <c r="P669" s="6" t="s">
        <v>15</v>
      </c>
    </row>
    <row r="670" spans="1:16" x14ac:dyDescent="0.25">
      <c r="A670" s="6" t="s">
        <v>3920</v>
      </c>
      <c r="B670" s="7">
        <f t="shared" si="31"/>
        <v>46114</v>
      </c>
      <c r="C670" s="7">
        <f t="shared" si="32"/>
        <v>46120</v>
      </c>
      <c r="D670" s="6">
        <v>3280</v>
      </c>
      <c r="E670" s="6">
        <v>337</v>
      </c>
      <c r="F670" s="6">
        <v>4</v>
      </c>
      <c r="G670" s="15">
        <v>1</v>
      </c>
      <c r="H670" s="15"/>
      <c r="I670" s="15" t="s">
        <v>1505</v>
      </c>
      <c r="J670" s="15">
        <v>24000331</v>
      </c>
      <c r="K670" s="15" t="s">
        <v>809</v>
      </c>
      <c r="L670" s="15" t="s">
        <v>812</v>
      </c>
      <c r="M670" s="16">
        <v>219900</v>
      </c>
      <c r="N670" s="9">
        <v>0.95</v>
      </c>
      <c r="O670" s="8">
        <f t="shared" si="30"/>
        <v>10995</v>
      </c>
      <c r="P670" s="6" t="s">
        <v>15</v>
      </c>
    </row>
    <row r="671" spans="1:16" x14ac:dyDescent="0.25">
      <c r="A671" s="6" t="s">
        <v>3920</v>
      </c>
      <c r="B671" s="7">
        <f t="shared" si="31"/>
        <v>46114</v>
      </c>
      <c r="C671" s="7">
        <f t="shared" si="32"/>
        <v>46120</v>
      </c>
      <c r="D671" s="6">
        <v>3280</v>
      </c>
      <c r="E671" s="6">
        <v>337</v>
      </c>
      <c r="F671" s="6">
        <v>4</v>
      </c>
      <c r="G671" s="15">
        <v>1</v>
      </c>
      <c r="H671" s="15"/>
      <c r="I671" s="15" t="s">
        <v>1505</v>
      </c>
      <c r="J671" s="15">
        <v>24000340</v>
      </c>
      <c r="K671" s="15" t="s">
        <v>809</v>
      </c>
      <c r="L671" s="15" t="s">
        <v>813</v>
      </c>
      <c r="M671" s="16">
        <v>229900</v>
      </c>
      <c r="N671" s="9">
        <v>0.95</v>
      </c>
      <c r="O671" s="8">
        <f t="shared" si="30"/>
        <v>11495</v>
      </c>
      <c r="P671" s="6" t="s">
        <v>15</v>
      </c>
    </row>
    <row r="672" spans="1:16" x14ac:dyDescent="0.25">
      <c r="A672" s="6" t="s">
        <v>3920</v>
      </c>
      <c r="B672" s="7">
        <f t="shared" si="31"/>
        <v>46114</v>
      </c>
      <c r="C672" s="7">
        <f t="shared" si="32"/>
        <v>46120</v>
      </c>
      <c r="D672" s="6">
        <v>3280</v>
      </c>
      <c r="E672" s="6">
        <v>337</v>
      </c>
      <c r="F672" s="6">
        <v>4</v>
      </c>
      <c r="G672" s="15">
        <v>1</v>
      </c>
      <c r="H672" s="15"/>
      <c r="I672" s="15" t="s">
        <v>1505</v>
      </c>
      <c r="J672" s="15">
        <v>24000359</v>
      </c>
      <c r="K672" s="15" t="s">
        <v>809</v>
      </c>
      <c r="L672" s="15" t="s">
        <v>814</v>
      </c>
      <c r="M672" s="16">
        <v>229900</v>
      </c>
      <c r="N672" s="9">
        <v>0.95</v>
      </c>
      <c r="O672" s="8">
        <f t="shared" si="30"/>
        <v>11495</v>
      </c>
      <c r="P672" s="6" t="s">
        <v>15</v>
      </c>
    </row>
    <row r="673" spans="1:16" x14ac:dyDescent="0.25">
      <c r="A673" s="6" t="s">
        <v>3920</v>
      </c>
      <c r="B673" s="7">
        <f t="shared" si="31"/>
        <v>46114</v>
      </c>
      <c r="C673" s="7">
        <f t="shared" si="32"/>
        <v>46120</v>
      </c>
      <c r="D673" s="6">
        <v>3280</v>
      </c>
      <c r="E673" s="6">
        <v>337</v>
      </c>
      <c r="F673" s="6">
        <v>4</v>
      </c>
      <c r="G673" s="15">
        <v>1</v>
      </c>
      <c r="H673" s="15"/>
      <c r="I673" s="15" t="s">
        <v>1505</v>
      </c>
      <c r="J673" s="15">
        <v>24000439</v>
      </c>
      <c r="K673" s="15" t="s">
        <v>815</v>
      </c>
      <c r="L673" s="15" t="s">
        <v>816</v>
      </c>
      <c r="M673" s="16">
        <v>219900</v>
      </c>
      <c r="N673" s="9">
        <v>0.95</v>
      </c>
      <c r="O673" s="8">
        <f t="shared" si="30"/>
        <v>10995</v>
      </c>
      <c r="P673" s="6" t="s">
        <v>15</v>
      </c>
    </row>
    <row r="674" spans="1:16" x14ac:dyDescent="0.25">
      <c r="A674" s="6" t="s">
        <v>3920</v>
      </c>
      <c r="B674" s="7">
        <f t="shared" si="31"/>
        <v>46114</v>
      </c>
      <c r="C674" s="7">
        <f t="shared" si="32"/>
        <v>46120</v>
      </c>
      <c r="D674" s="6">
        <v>3280</v>
      </c>
      <c r="E674" s="6">
        <v>337</v>
      </c>
      <c r="F674" s="6">
        <v>4</v>
      </c>
      <c r="G674" s="15">
        <v>1</v>
      </c>
      <c r="H674" s="15"/>
      <c r="I674" s="15" t="s">
        <v>1505</v>
      </c>
      <c r="J674" s="15">
        <v>24000448</v>
      </c>
      <c r="K674" s="15" t="s">
        <v>815</v>
      </c>
      <c r="L674" s="15" t="s">
        <v>817</v>
      </c>
      <c r="M674" s="16">
        <v>219900</v>
      </c>
      <c r="N674" s="9">
        <v>0.95</v>
      </c>
      <c r="O674" s="8">
        <f t="shared" si="30"/>
        <v>10995</v>
      </c>
      <c r="P674" s="6" t="s">
        <v>15</v>
      </c>
    </row>
    <row r="675" spans="1:16" x14ac:dyDescent="0.25">
      <c r="A675" s="6" t="s">
        <v>3920</v>
      </c>
      <c r="B675" s="7">
        <f t="shared" si="31"/>
        <v>46114</v>
      </c>
      <c r="C675" s="7">
        <f t="shared" si="32"/>
        <v>46120</v>
      </c>
      <c r="D675" s="6">
        <v>3280</v>
      </c>
      <c r="E675" s="6">
        <v>337</v>
      </c>
      <c r="F675" s="6">
        <v>4</v>
      </c>
      <c r="G675" s="15">
        <v>1</v>
      </c>
      <c r="H675" s="15"/>
      <c r="I675" s="15" t="s">
        <v>1505</v>
      </c>
      <c r="J675" s="15">
        <v>24000457</v>
      </c>
      <c r="K675" s="15" t="s">
        <v>815</v>
      </c>
      <c r="L675" s="15" t="s">
        <v>818</v>
      </c>
      <c r="M675" s="16">
        <v>219900</v>
      </c>
      <c r="N675" s="9">
        <v>0.95</v>
      </c>
      <c r="O675" s="8">
        <f t="shared" si="30"/>
        <v>10995</v>
      </c>
      <c r="P675" s="6" t="s">
        <v>15</v>
      </c>
    </row>
    <row r="676" spans="1:16" x14ac:dyDescent="0.25">
      <c r="A676" s="6" t="s">
        <v>3920</v>
      </c>
      <c r="B676" s="7">
        <f t="shared" si="31"/>
        <v>46114</v>
      </c>
      <c r="C676" s="7">
        <f t="shared" si="32"/>
        <v>46120</v>
      </c>
      <c r="D676" s="6">
        <v>3280</v>
      </c>
      <c r="E676" s="6">
        <v>337</v>
      </c>
      <c r="F676" s="6">
        <v>4</v>
      </c>
      <c r="G676" s="15">
        <v>1</v>
      </c>
      <c r="H676" s="15"/>
      <c r="I676" s="15" t="s">
        <v>1505</v>
      </c>
      <c r="J676" s="15">
        <v>24000466</v>
      </c>
      <c r="K676" s="15" t="s">
        <v>815</v>
      </c>
      <c r="L676" s="15" t="s">
        <v>819</v>
      </c>
      <c r="M676" s="16">
        <v>229900</v>
      </c>
      <c r="N676" s="9">
        <v>0.95</v>
      </c>
      <c r="O676" s="8">
        <f t="shared" si="30"/>
        <v>11495</v>
      </c>
      <c r="P676" s="6" t="s">
        <v>15</v>
      </c>
    </row>
    <row r="677" spans="1:16" x14ac:dyDescent="0.25">
      <c r="A677" s="6" t="s">
        <v>3920</v>
      </c>
      <c r="B677" s="7">
        <f t="shared" si="31"/>
        <v>46114</v>
      </c>
      <c r="C677" s="7">
        <f t="shared" si="32"/>
        <v>46120</v>
      </c>
      <c r="D677" s="6">
        <v>3280</v>
      </c>
      <c r="E677" s="6">
        <v>337</v>
      </c>
      <c r="F677" s="6">
        <v>4</v>
      </c>
      <c r="G677" s="15">
        <v>1</v>
      </c>
      <c r="H677" s="15"/>
      <c r="I677" s="15" t="s">
        <v>1505</v>
      </c>
      <c r="J677" s="15">
        <v>24000475</v>
      </c>
      <c r="K677" s="15" t="s">
        <v>815</v>
      </c>
      <c r="L677" s="15" t="s">
        <v>820</v>
      </c>
      <c r="M677" s="16">
        <v>229900</v>
      </c>
      <c r="N677" s="9">
        <v>0.95</v>
      </c>
      <c r="O677" s="8">
        <f t="shared" si="30"/>
        <v>11495</v>
      </c>
      <c r="P677" s="6" t="s">
        <v>15</v>
      </c>
    </row>
    <row r="678" spans="1:16" x14ac:dyDescent="0.25">
      <c r="A678" s="6" t="s">
        <v>3920</v>
      </c>
      <c r="B678" s="7">
        <f t="shared" si="31"/>
        <v>46114</v>
      </c>
      <c r="C678" s="7">
        <f t="shared" si="32"/>
        <v>46120</v>
      </c>
      <c r="D678" s="6">
        <v>3280</v>
      </c>
      <c r="E678" s="6">
        <v>337</v>
      </c>
      <c r="F678" s="6">
        <v>4</v>
      </c>
      <c r="G678" s="15">
        <v>1</v>
      </c>
      <c r="H678" s="15"/>
      <c r="I678" s="15" t="s">
        <v>1505</v>
      </c>
      <c r="J678" s="15">
        <v>24001198</v>
      </c>
      <c r="K678" s="15" t="s">
        <v>821</v>
      </c>
      <c r="L678" s="15" t="s">
        <v>822</v>
      </c>
      <c r="M678" s="16">
        <v>219900</v>
      </c>
      <c r="N678" s="9">
        <v>0.95</v>
      </c>
      <c r="O678" s="8">
        <f t="shared" si="30"/>
        <v>10995</v>
      </c>
      <c r="P678" s="6" t="s">
        <v>15</v>
      </c>
    </row>
    <row r="679" spans="1:16" x14ac:dyDescent="0.25">
      <c r="A679" s="6" t="s">
        <v>3920</v>
      </c>
      <c r="B679" s="7">
        <f t="shared" si="31"/>
        <v>46114</v>
      </c>
      <c r="C679" s="7">
        <f t="shared" si="32"/>
        <v>46120</v>
      </c>
      <c r="D679" s="6">
        <v>3280</v>
      </c>
      <c r="E679" s="6">
        <v>337</v>
      </c>
      <c r="F679" s="6">
        <v>4</v>
      </c>
      <c r="G679" s="15">
        <v>1</v>
      </c>
      <c r="H679" s="15"/>
      <c r="I679" s="15" t="s">
        <v>1505</v>
      </c>
      <c r="J679" s="15">
        <v>24001205</v>
      </c>
      <c r="K679" s="15" t="s">
        <v>821</v>
      </c>
      <c r="L679" s="15" t="s">
        <v>823</v>
      </c>
      <c r="M679" s="16">
        <v>219900</v>
      </c>
      <c r="N679" s="9">
        <v>0.95</v>
      </c>
      <c r="O679" s="8">
        <f t="shared" si="30"/>
        <v>10995</v>
      </c>
      <c r="P679" s="6" t="s">
        <v>15</v>
      </c>
    </row>
    <row r="680" spans="1:16" x14ac:dyDescent="0.25">
      <c r="A680" s="6" t="s">
        <v>3920</v>
      </c>
      <c r="B680" s="7">
        <f t="shared" si="31"/>
        <v>46114</v>
      </c>
      <c r="C680" s="7">
        <f t="shared" si="32"/>
        <v>46120</v>
      </c>
      <c r="D680" s="6">
        <v>3280</v>
      </c>
      <c r="E680" s="6">
        <v>337</v>
      </c>
      <c r="F680" s="6">
        <v>4</v>
      </c>
      <c r="G680" s="15">
        <v>1</v>
      </c>
      <c r="H680" s="15"/>
      <c r="I680" s="15" t="s">
        <v>1505</v>
      </c>
      <c r="J680" s="15">
        <v>24001214</v>
      </c>
      <c r="K680" s="15" t="s">
        <v>821</v>
      </c>
      <c r="L680" s="15" t="s">
        <v>824</v>
      </c>
      <c r="M680" s="16">
        <v>219900</v>
      </c>
      <c r="N680" s="9">
        <v>0.95</v>
      </c>
      <c r="O680" s="8">
        <f t="shared" si="30"/>
        <v>10995</v>
      </c>
      <c r="P680" s="6" t="s">
        <v>15</v>
      </c>
    </row>
    <row r="681" spans="1:16" x14ac:dyDescent="0.25">
      <c r="A681" s="6" t="s">
        <v>3920</v>
      </c>
      <c r="B681" s="7">
        <f t="shared" si="31"/>
        <v>46114</v>
      </c>
      <c r="C681" s="7">
        <f t="shared" si="32"/>
        <v>46120</v>
      </c>
      <c r="D681" s="6">
        <v>3280</v>
      </c>
      <c r="E681" s="6">
        <v>337</v>
      </c>
      <c r="F681" s="6">
        <v>4</v>
      </c>
      <c r="G681" s="15">
        <v>1</v>
      </c>
      <c r="H681" s="15"/>
      <c r="I681" s="15" t="s">
        <v>1505</v>
      </c>
      <c r="J681" s="15">
        <v>24001223</v>
      </c>
      <c r="K681" s="15" t="s">
        <v>821</v>
      </c>
      <c r="L681" s="15" t="s">
        <v>825</v>
      </c>
      <c r="M681" s="16">
        <v>229900</v>
      </c>
      <c r="N681" s="9">
        <v>0.95</v>
      </c>
      <c r="O681" s="8">
        <f t="shared" si="30"/>
        <v>11495</v>
      </c>
      <c r="P681" s="6" t="s">
        <v>15</v>
      </c>
    </row>
    <row r="682" spans="1:16" x14ac:dyDescent="0.25">
      <c r="A682" s="6" t="s">
        <v>3920</v>
      </c>
      <c r="B682" s="7">
        <f t="shared" si="31"/>
        <v>46114</v>
      </c>
      <c r="C682" s="7">
        <f t="shared" si="32"/>
        <v>46120</v>
      </c>
      <c r="D682" s="6">
        <v>3280</v>
      </c>
      <c r="E682" s="6">
        <v>337</v>
      </c>
      <c r="F682" s="6">
        <v>4</v>
      </c>
      <c r="G682" s="15">
        <v>1</v>
      </c>
      <c r="H682" s="15"/>
      <c r="I682" s="15" t="s">
        <v>1505</v>
      </c>
      <c r="J682" s="15">
        <v>24001232</v>
      </c>
      <c r="K682" s="15" t="s">
        <v>821</v>
      </c>
      <c r="L682" s="15" t="s">
        <v>826</v>
      </c>
      <c r="M682" s="16">
        <v>229900</v>
      </c>
      <c r="N682" s="9">
        <v>0.95</v>
      </c>
      <c r="O682" s="8">
        <f t="shared" si="30"/>
        <v>11495</v>
      </c>
      <c r="P682" s="6" t="s">
        <v>15</v>
      </c>
    </row>
    <row r="683" spans="1:16" x14ac:dyDescent="0.25">
      <c r="A683" s="6" t="s">
        <v>3920</v>
      </c>
      <c r="B683" s="7">
        <f t="shared" si="31"/>
        <v>46114</v>
      </c>
      <c r="C683" s="7">
        <f t="shared" si="32"/>
        <v>46120</v>
      </c>
      <c r="D683" s="6">
        <v>3280</v>
      </c>
      <c r="E683" s="6">
        <v>337</v>
      </c>
      <c r="F683" s="6">
        <v>4</v>
      </c>
      <c r="G683" s="15">
        <v>1</v>
      </c>
      <c r="H683" s="15"/>
      <c r="I683" s="15" t="s">
        <v>1505</v>
      </c>
      <c r="J683" s="15">
        <v>24002213</v>
      </c>
      <c r="K683" s="15" t="s">
        <v>827</v>
      </c>
      <c r="L683" s="15" t="s">
        <v>828</v>
      </c>
      <c r="M683" s="16">
        <v>199900</v>
      </c>
      <c r="N683" s="9">
        <v>0.95</v>
      </c>
      <c r="O683" s="8">
        <f t="shared" si="30"/>
        <v>9995</v>
      </c>
      <c r="P683" s="6" t="s">
        <v>15</v>
      </c>
    </row>
    <row r="684" spans="1:16" x14ac:dyDescent="0.25">
      <c r="A684" s="6" t="s">
        <v>3920</v>
      </c>
      <c r="B684" s="7">
        <f t="shared" si="31"/>
        <v>46114</v>
      </c>
      <c r="C684" s="7">
        <f t="shared" si="32"/>
        <v>46120</v>
      </c>
      <c r="D684" s="6">
        <v>3280</v>
      </c>
      <c r="E684" s="6">
        <v>337</v>
      </c>
      <c r="F684" s="6">
        <v>4</v>
      </c>
      <c r="G684" s="15">
        <v>1</v>
      </c>
      <c r="H684" s="15"/>
      <c r="I684" s="15" t="s">
        <v>1505</v>
      </c>
      <c r="J684" s="15">
        <v>24002222</v>
      </c>
      <c r="K684" s="15" t="s">
        <v>827</v>
      </c>
      <c r="L684" s="15" t="s">
        <v>829</v>
      </c>
      <c r="M684" s="16">
        <v>199900</v>
      </c>
      <c r="N684" s="9">
        <v>0.95</v>
      </c>
      <c r="O684" s="8">
        <f t="shared" si="30"/>
        <v>9995</v>
      </c>
      <c r="P684" s="6" t="s">
        <v>15</v>
      </c>
    </row>
    <row r="685" spans="1:16" x14ac:dyDescent="0.25">
      <c r="A685" s="6" t="s">
        <v>3920</v>
      </c>
      <c r="B685" s="7">
        <f t="shared" si="31"/>
        <v>46114</v>
      </c>
      <c r="C685" s="7">
        <f t="shared" si="32"/>
        <v>46120</v>
      </c>
      <c r="D685" s="6">
        <v>3280</v>
      </c>
      <c r="E685" s="6">
        <v>337</v>
      </c>
      <c r="F685" s="6">
        <v>4</v>
      </c>
      <c r="G685" s="15">
        <v>1</v>
      </c>
      <c r="H685" s="15"/>
      <c r="I685" s="15" t="s">
        <v>1505</v>
      </c>
      <c r="J685" s="15">
        <v>24002231</v>
      </c>
      <c r="K685" s="15" t="s">
        <v>827</v>
      </c>
      <c r="L685" s="15" t="s">
        <v>830</v>
      </c>
      <c r="M685" s="16">
        <v>199900</v>
      </c>
      <c r="N685" s="9">
        <v>0.95</v>
      </c>
      <c r="O685" s="8">
        <f t="shared" si="30"/>
        <v>9995</v>
      </c>
      <c r="P685" s="6" t="s">
        <v>15</v>
      </c>
    </row>
    <row r="686" spans="1:16" x14ac:dyDescent="0.25">
      <c r="A686" s="6" t="s">
        <v>3920</v>
      </c>
      <c r="B686" s="7">
        <f t="shared" si="31"/>
        <v>46114</v>
      </c>
      <c r="C686" s="7">
        <f t="shared" si="32"/>
        <v>46120</v>
      </c>
      <c r="D686" s="6">
        <v>3280</v>
      </c>
      <c r="E686" s="6">
        <v>337</v>
      </c>
      <c r="F686" s="6">
        <v>4</v>
      </c>
      <c r="G686" s="15">
        <v>1</v>
      </c>
      <c r="H686" s="15"/>
      <c r="I686" s="15" t="s">
        <v>1505</v>
      </c>
      <c r="J686" s="15">
        <v>24002240</v>
      </c>
      <c r="K686" s="15" t="s">
        <v>827</v>
      </c>
      <c r="L686" s="15" t="s">
        <v>831</v>
      </c>
      <c r="M686" s="16">
        <v>209900</v>
      </c>
      <c r="N686" s="9">
        <v>0.95</v>
      </c>
      <c r="O686" s="8">
        <f t="shared" si="30"/>
        <v>10495</v>
      </c>
      <c r="P686" s="6" t="s">
        <v>15</v>
      </c>
    </row>
    <row r="687" spans="1:16" x14ac:dyDescent="0.25">
      <c r="A687" s="6" t="s">
        <v>3920</v>
      </c>
      <c r="B687" s="7">
        <f t="shared" si="31"/>
        <v>46114</v>
      </c>
      <c r="C687" s="7">
        <f t="shared" si="32"/>
        <v>46120</v>
      </c>
      <c r="D687" s="6">
        <v>3280</v>
      </c>
      <c r="E687" s="6">
        <v>337</v>
      </c>
      <c r="F687" s="6">
        <v>4</v>
      </c>
      <c r="G687" s="15">
        <v>1</v>
      </c>
      <c r="H687" s="15"/>
      <c r="I687" s="15" t="s">
        <v>1505</v>
      </c>
      <c r="J687" s="15">
        <v>24002553</v>
      </c>
      <c r="K687" s="15" t="s">
        <v>832</v>
      </c>
      <c r="L687" s="15" t="s">
        <v>833</v>
      </c>
      <c r="M687" s="16">
        <v>199900</v>
      </c>
      <c r="N687" s="9">
        <v>0.95</v>
      </c>
      <c r="O687" s="8">
        <f t="shared" si="30"/>
        <v>9995</v>
      </c>
      <c r="P687" s="6" t="s">
        <v>15</v>
      </c>
    </row>
    <row r="688" spans="1:16" x14ac:dyDescent="0.25">
      <c r="A688" s="6" t="s">
        <v>3920</v>
      </c>
      <c r="B688" s="7">
        <f t="shared" si="31"/>
        <v>46114</v>
      </c>
      <c r="C688" s="7">
        <f t="shared" si="32"/>
        <v>46120</v>
      </c>
      <c r="D688" s="6">
        <v>3280</v>
      </c>
      <c r="E688" s="6">
        <v>337</v>
      </c>
      <c r="F688" s="6">
        <v>4</v>
      </c>
      <c r="G688" s="15">
        <v>1</v>
      </c>
      <c r="H688" s="15"/>
      <c r="I688" s="15" t="s">
        <v>1505</v>
      </c>
      <c r="J688" s="15">
        <v>24002562</v>
      </c>
      <c r="K688" s="15" t="s">
        <v>832</v>
      </c>
      <c r="L688" s="15" t="s">
        <v>834</v>
      </c>
      <c r="M688" s="16">
        <v>199900</v>
      </c>
      <c r="N688" s="9">
        <v>0.95</v>
      </c>
      <c r="O688" s="8">
        <f t="shared" si="30"/>
        <v>9995</v>
      </c>
      <c r="P688" s="6" t="s">
        <v>15</v>
      </c>
    </row>
    <row r="689" spans="1:16" x14ac:dyDescent="0.25">
      <c r="A689" s="6" t="s">
        <v>3920</v>
      </c>
      <c r="B689" s="7">
        <f t="shared" si="31"/>
        <v>46114</v>
      </c>
      <c r="C689" s="7">
        <f t="shared" si="32"/>
        <v>46120</v>
      </c>
      <c r="D689" s="6">
        <v>3280</v>
      </c>
      <c r="E689" s="6">
        <v>337</v>
      </c>
      <c r="F689" s="6">
        <v>4</v>
      </c>
      <c r="G689" s="15">
        <v>1</v>
      </c>
      <c r="H689" s="15"/>
      <c r="I689" s="15" t="s">
        <v>1505</v>
      </c>
      <c r="J689" s="15">
        <v>24002571</v>
      </c>
      <c r="K689" s="15" t="s">
        <v>832</v>
      </c>
      <c r="L689" s="15" t="s">
        <v>835</v>
      </c>
      <c r="M689" s="16">
        <v>199900</v>
      </c>
      <c r="N689" s="9">
        <v>0.95</v>
      </c>
      <c r="O689" s="8">
        <f t="shared" si="30"/>
        <v>9995</v>
      </c>
      <c r="P689" s="6" t="s">
        <v>15</v>
      </c>
    </row>
    <row r="690" spans="1:16" x14ac:dyDescent="0.25">
      <c r="A690" s="6" t="s">
        <v>3920</v>
      </c>
      <c r="B690" s="7">
        <f t="shared" si="31"/>
        <v>46114</v>
      </c>
      <c r="C690" s="7">
        <f t="shared" si="32"/>
        <v>46120</v>
      </c>
      <c r="D690" s="6">
        <v>3280</v>
      </c>
      <c r="E690" s="6">
        <v>337</v>
      </c>
      <c r="F690" s="6">
        <v>4</v>
      </c>
      <c r="G690" s="15">
        <v>1</v>
      </c>
      <c r="H690" s="15"/>
      <c r="I690" s="15" t="s">
        <v>1505</v>
      </c>
      <c r="J690" s="15">
        <v>24002580</v>
      </c>
      <c r="K690" s="15" t="s">
        <v>832</v>
      </c>
      <c r="L690" s="15" t="s">
        <v>836</v>
      </c>
      <c r="M690" s="16">
        <v>209900</v>
      </c>
      <c r="N690" s="9">
        <v>0.95</v>
      </c>
      <c r="O690" s="8">
        <f t="shared" si="30"/>
        <v>10495</v>
      </c>
      <c r="P690" s="6" t="s">
        <v>15</v>
      </c>
    </row>
    <row r="691" spans="1:16" x14ac:dyDescent="0.25">
      <c r="A691" s="6" t="s">
        <v>3920</v>
      </c>
      <c r="B691" s="7">
        <f t="shared" si="31"/>
        <v>46114</v>
      </c>
      <c r="C691" s="7">
        <f t="shared" si="32"/>
        <v>46120</v>
      </c>
      <c r="D691" s="6">
        <v>3280</v>
      </c>
      <c r="E691" s="6">
        <v>337</v>
      </c>
      <c r="F691" s="6">
        <v>4</v>
      </c>
      <c r="G691" s="15">
        <v>1</v>
      </c>
      <c r="H691" s="15"/>
      <c r="I691" s="15" t="s">
        <v>1505</v>
      </c>
      <c r="J691" s="15">
        <v>24002599</v>
      </c>
      <c r="K691" s="15" t="s">
        <v>832</v>
      </c>
      <c r="L691" s="15" t="s">
        <v>837</v>
      </c>
      <c r="M691" s="16">
        <v>209900</v>
      </c>
      <c r="N691" s="9">
        <v>0.95</v>
      </c>
      <c r="O691" s="8">
        <f t="shared" si="30"/>
        <v>10495</v>
      </c>
      <c r="P691" s="6" t="s">
        <v>15</v>
      </c>
    </row>
    <row r="692" spans="1:16" x14ac:dyDescent="0.25">
      <c r="A692" s="6" t="s">
        <v>3920</v>
      </c>
      <c r="B692" s="7">
        <f t="shared" si="31"/>
        <v>46114</v>
      </c>
      <c r="C692" s="7">
        <f t="shared" si="32"/>
        <v>46120</v>
      </c>
      <c r="D692" s="6">
        <v>3280</v>
      </c>
      <c r="E692" s="6">
        <v>337</v>
      </c>
      <c r="F692" s="6">
        <v>4</v>
      </c>
      <c r="G692" s="15">
        <v>1</v>
      </c>
      <c r="H692" s="15"/>
      <c r="I692" s="15" t="s">
        <v>1505</v>
      </c>
      <c r="J692" s="15">
        <v>24002606</v>
      </c>
      <c r="K692" s="15" t="s">
        <v>832</v>
      </c>
      <c r="L692" s="15" t="s">
        <v>838</v>
      </c>
      <c r="M692" s="16">
        <v>209900</v>
      </c>
      <c r="N692" s="9">
        <v>0.95</v>
      </c>
      <c r="O692" s="8">
        <f t="shared" si="30"/>
        <v>10495</v>
      </c>
      <c r="P692" s="6" t="s">
        <v>15</v>
      </c>
    </row>
    <row r="693" spans="1:16" x14ac:dyDescent="0.25">
      <c r="A693" s="6" t="s">
        <v>3920</v>
      </c>
      <c r="B693" s="7">
        <f t="shared" si="31"/>
        <v>46114</v>
      </c>
      <c r="C693" s="7">
        <f t="shared" si="32"/>
        <v>46120</v>
      </c>
      <c r="D693" s="6">
        <v>3280</v>
      </c>
      <c r="E693" s="6">
        <v>337</v>
      </c>
      <c r="F693" s="6">
        <v>4</v>
      </c>
      <c r="G693" s="15">
        <v>1</v>
      </c>
      <c r="H693" s="15"/>
      <c r="I693" s="15" t="s">
        <v>1505</v>
      </c>
      <c r="J693" s="15">
        <v>24030371</v>
      </c>
      <c r="K693" s="15" t="s">
        <v>839</v>
      </c>
      <c r="L693" s="15" t="s">
        <v>840</v>
      </c>
      <c r="M693" s="16">
        <v>279900</v>
      </c>
      <c r="N693" s="9">
        <v>0.95</v>
      </c>
      <c r="O693" s="8">
        <f t="shared" si="30"/>
        <v>13995</v>
      </c>
      <c r="P693" s="6" t="s">
        <v>15</v>
      </c>
    </row>
    <row r="694" spans="1:16" x14ac:dyDescent="0.25">
      <c r="A694" s="6" t="s">
        <v>3920</v>
      </c>
      <c r="B694" s="7">
        <f t="shared" si="31"/>
        <v>46114</v>
      </c>
      <c r="C694" s="7">
        <f t="shared" si="32"/>
        <v>46120</v>
      </c>
      <c r="D694" s="6">
        <v>3280</v>
      </c>
      <c r="E694" s="6">
        <v>337</v>
      </c>
      <c r="F694" s="6">
        <v>4</v>
      </c>
      <c r="G694" s="15">
        <v>1</v>
      </c>
      <c r="H694" s="15"/>
      <c r="I694" s="15" t="s">
        <v>1505</v>
      </c>
      <c r="J694" s="15">
        <v>24030380</v>
      </c>
      <c r="K694" s="15" t="s">
        <v>839</v>
      </c>
      <c r="L694" s="15" t="s">
        <v>841</v>
      </c>
      <c r="M694" s="16">
        <v>279900</v>
      </c>
      <c r="N694" s="9">
        <v>0.95</v>
      </c>
      <c r="O694" s="8">
        <f t="shared" si="30"/>
        <v>13995</v>
      </c>
      <c r="P694" s="6" t="s">
        <v>15</v>
      </c>
    </row>
    <row r="695" spans="1:16" x14ac:dyDescent="0.25">
      <c r="A695" s="6" t="s">
        <v>3920</v>
      </c>
      <c r="B695" s="7">
        <f t="shared" si="31"/>
        <v>46114</v>
      </c>
      <c r="C695" s="7">
        <f t="shared" si="32"/>
        <v>46120</v>
      </c>
      <c r="D695" s="6">
        <v>3280</v>
      </c>
      <c r="E695" s="6">
        <v>337</v>
      </c>
      <c r="F695" s="6">
        <v>4</v>
      </c>
      <c r="G695" s="15">
        <v>1</v>
      </c>
      <c r="H695" s="15"/>
      <c r="I695" s="15" t="s">
        <v>1505</v>
      </c>
      <c r="J695" s="15">
        <v>24031049</v>
      </c>
      <c r="K695" s="15" t="s">
        <v>842</v>
      </c>
      <c r="L695" s="15" t="s">
        <v>843</v>
      </c>
      <c r="M695" s="16">
        <v>199900</v>
      </c>
      <c r="N695" s="9">
        <v>0.95</v>
      </c>
      <c r="O695" s="8">
        <f t="shared" si="30"/>
        <v>9995</v>
      </c>
      <c r="P695" s="6" t="s">
        <v>15</v>
      </c>
    </row>
    <row r="696" spans="1:16" x14ac:dyDescent="0.25">
      <c r="A696" s="6" t="s">
        <v>3920</v>
      </c>
      <c r="B696" s="7">
        <f t="shared" si="31"/>
        <v>46114</v>
      </c>
      <c r="C696" s="7">
        <f t="shared" si="32"/>
        <v>46120</v>
      </c>
      <c r="D696" s="6">
        <v>3280</v>
      </c>
      <c r="E696" s="6">
        <v>337</v>
      </c>
      <c r="F696" s="6">
        <v>4</v>
      </c>
      <c r="G696" s="15">
        <v>1</v>
      </c>
      <c r="H696" s="15"/>
      <c r="I696" s="15" t="s">
        <v>1505</v>
      </c>
      <c r="J696" s="15">
        <v>24031058</v>
      </c>
      <c r="K696" s="15" t="s">
        <v>842</v>
      </c>
      <c r="L696" s="15" t="s">
        <v>844</v>
      </c>
      <c r="M696" s="16">
        <v>199900</v>
      </c>
      <c r="N696" s="9">
        <v>0.95</v>
      </c>
      <c r="O696" s="8">
        <f t="shared" si="30"/>
        <v>9995</v>
      </c>
      <c r="P696" s="6" t="s">
        <v>15</v>
      </c>
    </row>
    <row r="697" spans="1:16" x14ac:dyDescent="0.25">
      <c r="A697" s="6" t="s">
        <v>3920</v>
      </c>
      <c r="B697" s="7">
        <f t="shared" si="31"/>
        <v>46114</v>
      </c>
      <c r="C697" s="7">
        <f t="shared" si="32"/>
        <v>46120</v>
      </c>
      <c r="D697" s="6">
        <v>3280</v>
      </c>
      <c r="E697" s="6">
        <v>337</v>
      </c>
      <c r="F697" s="6">
        <v>4</v>
      </c>
      <c r="G697" s="15">
        <v>1</v>
      </c>
      <c r="H697" s="15"/>
      <c r="I697" s="15" t="s">
        <v>1505</v>
      </c>
      <c r="J697" s="15">
        <v>24031290</v>
      </c>
      <c r="K697" s="15" t="s">
        <v>845</v>
      </c>
      <c r="L697" s="15" t="s">
        <v>846</v>
      </c>
      <c r="M697" s="16">
        <v>249900</v>
      </c>
      <c r="N697" s="9">
        <v>0.95</v>
      </c>
      <c r="O697" s="8">
        <f t="shared" si="30"/>
        <v>12495</v>
      </c>
      <c r="P697" s="6" t="s">
        <v>15</v>
      </c>
    </row>
    <row r="698" spans="1:16" x14ac:dyDescent="0.25">
      <c r="A698" s="6" t="s">
        <v>3920</v>
      </c>
      <c r="B698" s="7">
        <f t="shared" si="31"/>
        <v>46114</v>
      </c>
      <c r="C698" s="7">
        <f t="shared" si="32"/>
        <v>46120</v>
      </c>
      <c r="D698" s="6">
        <v>3280</v>
      </c>
      <c r="E698" s="6">
        <v>337</v>
      </c>
      <c r="F698" s="6">
        <v>4</v>
      </c>
      <c r="G698" s="15">
        <v>1</v>
      </c>
      <c r="H698" s="15"/>
      <c r="I698" s="15" t="s">
        <v>1505</v>
      </c>
      <c r="J698" s="15">
        <v>24031307</v>
      </c>
      <c r="K698" s="15" t="s">
        <v>845</v>
      </c>
      <c r="L698" s="15" t="s">
        <v>847</v>
      </c>
      <c r="M698" s="16">
        <v>249900</v>
      </c>
      <c r="N698" s="9">
        <v>0.95</v>
      </c>
      <c r="O698" s="8">
        <f t="shared" si="30"/>
        <v>12495</v>
      </c>
      <c r="P698" s="6" t="s">
        <v>15</v>
      </c>
    </row>
    <row r="699" spans="1:16" x14ac:dyDescent="0.25">
      <c r="A699" s="6" t="s">
        <v>3920</v>
      </c>
      <c r="B699" s="7">
        <f t="shared" si="31"/>
        <v>46114</v>
      </c>
      <c r="C699" s="7">
        <f t="shared" si="32"/>
        <v>46120</v>
      </c>
      <c r="D699" s="6">
        <v>3280</v>
      </c>
      <c r="E699" s="6">
        <v>337</v>
      </c>
      <c r="F699" s="6">
        <v>4</v>
      </c>
      <c r="G699" s="15">
        <v>1</v>
      </c>
      <c r="H699" s="15"/>
      <c r="I699" s="15" t="s">
        <v>1505</v>
      </c>
      <c r="J699" s="15">
        <v>24031754</v>
      </c>
      <c r="K699" s="15" t="s">
        <v>848</v>
      </c>
      <c r="L699" s="15" t="s">
        <v>849</v>
      </c>
      <c r="M699" s="16">
        <v>199900</v>
      </c>
      <c r="N699" s="9">
        <v>0.95</v>
      </c>
      <c r="O699" s="8">
        <f t="shared" si="30"/>
        <v>9995</v>
      </c>
      <c r="P699" s="6" t="s">
        <v>15</v>
      </c>
    </row>
    <row r="700" spans="1:16" x14ac:dyDescent="0.25">
      <c r="A700" s="6" t="s">
        <v>3920</v>
      </c>
      <c r="B700" s="7">
        <f t="shared" si="31"/>
        <v>46114</v>
      </c>
      <c r="C700" s="7">
        <f t="shared" si="32"/>
        <v>46120</v>
      </c>
      <c r="D700" s="6">
        <v>3280</v>
      </c>
      <c r="E700" s="6">
        <v>337</v>
      </c>
      <c r="F700" s="6">
        <v>4</v>
      </c>
      <c r="G700" s="15">
        <v>1</v>
      </c>
      <c r="H700" s="15"/>
      <c r="I700" s="15" t="s">
        <v>1505</v>
      </c>
      <c r="J700" s="15">
        <v>24031763</v>
      </c>
      <c r="K700" s="15" t="s">
        <v>848</v>
      </c>
      <c r="L700" s="15" t="s">
        <v>850</v>
      </c>
      <c r="M700" s="16">
        <v>209900</v>
      </c>
      <c r="N700" s="9">
        <v>0.95</v>
      </c>
      <c r="O700" s="8">
        <f t="shared" si="30"/>
        <v>10495</v>
      </c>
      <c r="P700" s="6" t="s">
        <v>15</v>
      </c>
    </row>
    <row r="701" spans="1:16" x14ac:dyDescent="0.25">
      <c r="A701" s="6" t="s">
        <v>3920</v>
      </c>
      <c r="B701" s="7">
        <f t="shared" si="31"/>
        <v>46114</v>
      </c>
      <c r="C701" s="7">
        <f t="shared" si="32"/>
        <v>46120</v>
      </c>
      <c r="D701" s="6">
        <v>3280</v>
      </c>
      <c r="E701" s="6">
        <v>337</v>
      </c>
      <c r="F701" s="6">
        <v>4</v>
      </c>
      <c r="G701" s="15">
        <v>1</v>
      </c>
      <c r="H701" s="15"/>
      <c r="I701" s="15" t="s">
        <v>1505</v>
      </c>
      <c r="J701" s="15">
        <v>24031772</v>
      </c>
      <c r="K701" s="15" t="s">
        <v>848</v>
      </c>
      <c r="L701" s="15" t="s">
        <v>851</v>
      </c>
      <c r="M701" s="16">
        <v>209900</v>
      </c>
      <c r="N701" s="9">
        <v>0.95</v>
      </c>
      <c r="O701" s="8">
        <f t="shared" si="30"/>
        <v>10495</v>
      </c>
      <c r="P701" s="6" t="s">
        <v>15</v>
      </c>
    </row>
    <row r="702" spans="1:16" x14ac:dyDescent="0.25">
      <c r="A702" s="6" t="s">
        <v>3920</v>
      </c>
      <c r="B702" s="7">
        <f t="shared" si="31"/>
        <v>46114</v>
      </c>
      <c r="C702" s="7">
        <f t="shared" si="32"/>
        <v>46120</v>
      </c>
      <c r="D702" s="6">
        <v>3280</v>
      </c>
      <c r="E702" s="6">
        <v>337</v>
      </c>
      <c r="F702" s="6">
        <v>4</v>
      </c>
      <c r="G702" s="15">
        <v>1</v>
      </c>
      <c r="H702" s="15"/>
      <c r="I702" s="15" t="s">
        <v>1505</v>
      </c>
      <c r="J702" s="15">
        <v>24031781</v>
      </c>
      <c r="K702" s="15" t="s">
        <v>848</v>
      </c>
      <c r="L702" s="15" t="s">
        <v>852</v>
      </c>
      <c r="M702" s="16">
        <v>209900</v>
      </c>
      <c r="N702" s="9">
        <v>0.95</v>
      </c>
      <c r="O702" s="8">
        <f t="shared" si="30"/>
        <v>10495</v>
      </c>
      <c r="P702" s="6" t="s">
        <v>15</v>
      </c>
    </row>
    <row r="703" spans="1:16" x14ac:dyDescent="0.25">
      <c r="A703" s="6" t="s">
        <v>3920</v>
      </c>
      <c r="B703" s="7">
        <f t="shared" si="31"/>
        <v>46114</v>
      </c>
      <c r="C703" s="7">
        <f t="shared" si="32"/>
        <v>46120</v>
      </c>
      <c r="D703" s="6">
        <v>3280</v>
      </c>
      <c r="E703" s="6">
        <v>337</v>
      </c>
      <c r="F703" s="6">
        <v>4</v>
      </c>
      <c r="G703" s="15">
        <v>1</v>
      </c>
      <c r="H703" s="15"/>
      <c r="I703" s="15" t="s">
        <v>1505</v>
      </c>
      <c r="J703" s="15">
        <v>24102981</v>
      </c>
      <c r="K703" s="15" t="s">
        <v>853</v>
      </c>
      <c r="L703" s="15" t="s">
        <v>854</v>
      </c>
      <c r="M703" s="16">
        <v>239900</v>
      </c>
      <c r="N703" s="9">
        <v>0.95</v>
      </c>
      <c r="O703" s="8">
        <f t="shared" si="30"/>
        <v>11995</v>
      </c>
      <c r="P703" s="6" t="s">
        <v>15</v>
      </c>
    </row>
    <row r="704" spans="1:16" x14ac:dyDescent="0.25">
      <c r="A704" s="6" t="s">
        <v>3920</v>
      </c>
      <c r="B704" s="7">
        <f t="shared" si="31"/>
        <v>46114</v>
      </c>
      <c r="C704" s="7">
        <f t="shared" si="32"/>
        <v>46120</v>
      </c>
      <c r="D704" s="6">
        <v>3280</v>
      </c>
      <c r="E704" s="6">
        <v>337</v>
      </c>
      <c r="F704" s="6">
        <v>4</v>
      </c>
      <c r="G704" s="15">
        <v>1</v>
      </c>
      <c r="H704" s="15"/>
      <c r="I704" s="15" t="s">
        <v>1505</v>
      </c>
      <c r="J704" s="15">
        <v>24102990</v>
      </c>
      <c r="K704" s="15" t="s">
        <v>853</v>
      </c>
      <c r="L704" s="15" t="s">
        <v>855</v>
      </c>
      <c r="M704" s="16">
        <v>239900</v>
      </c>
      <c r="N704" s="9">
        <v>0.95</v>
      </c>
      <c r="O704" s="8">
        <f t="shared" si="30"/>
        <v>11995</v>
      </c>
      <c r="P704" s="6" t="s">
        <v>15</v>
      </c>
    </row>
    <row r="705" spans="1:16" x14ac:dyDescent="0.25">
      <c r="A705" s="6" t="s">
        <v>3920</v>
      </c>
      <c r="B705" s="7">
        <f t="shared" si="31"/>
        <v>46114</v>
      </c>
      <c r="C705" s="7">
        <f t="shared" si="32"/>
        <v>46120</v>
      </c>
      <c r="D705" s="6">
        <v>3280</v>
      </c>
      <c r="E705" s="6">
        <v>337</v>
      </c>
      <c r="F705" s="6">
        <v>4</v>
      </c>
      <c r="G705" s="15">
        <v>1</v>
      </c>
      <c r="H705" s="15"/>
      <c r="I705" s="15" t="s">
        <v>1505</v>
      </c>
      <c r="J705" s="15">
        <v>24103006</v>
      </c>
      <c r="K705" s="15" t="s">
        <v>853</v>
      </c>
      <c r="L705" s="15" t="s">
        <v>856</v>
      </c>
      <c r="M705" s="16">
        <v>239900</v>
      </c>
      <c r="N705" s="9">
        <v>0.95</v>
      </c>
      <c r="O705" s="8">
        <f t="shared" si="30"/>
        <v>11995</v>
      </c>
      <c r="P705" s="6" t="s">
        <v>15</v>
      </c>
    </row>
    <row r="706" spans="1:16" x14ac:dyDescent="0.25">
      <c r="A706" s="6" t="s">
        <v>3920</v>
      </c>
      <c r="B706" s="7">
        <f t="shared" si="31"/>
        <v>46114</v>
      </c>
      <c r="C706" s="7">
        <f t="shared" si="32"/>
        <v>46120</v>
      </c>
      <c r="D706" s="6">
        <v>3280</v>
      </c>
      <c r="E706" s="6">
        <v>337</v>
      </c>
      <c r="F706" s="6">
        <v>4</v>
      </c>
      <c r="G706" s="15">
        <v>1</v>
      </c>
      <c r="H706" s="15"/>
      <c r="I706" s="15" t="s">
        <v>1505</v>
      </c>
      <c r="J706" s="15">
        <v>24103051</v>
      </c>
      <c r="K706" s="15" t="s">
        <v>857</v>
      </c>
      <c r="L706" s="15" t="s">
        <v>858</v>
      </c>
      <c r="M706" s="16">
        <v>209900</v>
      </c>
      <c r="N706" s="9">
        <v>0.95</v>
      </c>
      <c r="O706" s="8">
        <f t="shared" ref="O706:O769" si="33">M706-((95*M706)/100)</f>
        <v>10495</v>
      </c>
      <c r="P706" s="6" t="s">
        <v>15</v>
      </c>
    </row>
    <row r="707" spans="1:16" x14ac:dyDescent="0.25">
      <c r="A707" s="6" t="s">
        <v>3920</v>
      </c>
      <c r="B707" s="7">
        <f t="shared" si="31"/>
        <v>46114</v>
      </c>
      <c r="C707" s="7">
        <f t="shared" si="32"/>
        <v>46120</v>
      </c>
      <c r="D707" s="6">
        <v>3280</v>
      </c>
      <c r="E707" s="6">
        <v>337</v>
      </c>
      <c r="F707" s="6">
        <v>4</v>
      </c>
      <c r="G707" s="15">
        <v>1</v>
      </c>
      <c r="H707" s="15"/>
      <c r="I707" s="15" t="s">
        <v>1505</v>
      </c>
      <c r="J707" s="15">
        <v>24103060</v>
      </c>
      <c r="K707" s="15" t="s">
        <v>857</v>
      </c>
      <c r="L707" s="15" t="s">
        <v>859</v>
      </c>
      <c r="M707" s="16">
        <v>209900</v>
      </c>
      <c r="N707" s="9">
        <v>0.95</v>
      </c>
      <c r="O707" s="8">
        <f t="shared" si="33"/>
        <v>10495</v>
      </c>
      <c r="P707" s="6" t="s">
        <v>15</v>
      </c>
    </row>
    <row r="708" spans="1:16" x14ac:dyDescent="0.25">
      <c r="A708" s="6" t="s">
        <v>3920</v>
      </c>
      <c r="B708" s="7">
        <f t="shared" ref="B708:B771" si="34">B707</f>
        <v>46114</v>
      </c>
      <c r="C708" s="7">
        <f t="shared" ref="C708:C771" si="35">C707</f>
        <v>46120</v>
      </c>
      <c r="D708" s="6">
        <v>3280</v>
      </c>
      <c r="E708" s="6">
        <v>337</v>
      </c>
      <c r="F708" s="6">
        <v>4</v>
      </c>
      <c r="G708" s="15">
        <v>1</v>
      </c>
      <c r="H708" s="15"/>
      <c r="I708" s="15" t="s">
        <v>1505</v>
      </c>
      <c r="J708" s="15">
        <v>24117537</v>
      </c>
      <c r="K708" s="15" t="s">
        <v>860</v>
      </c>
      <c r="L708" s="15" t="s">
        <v>861</v>
      </c>
      <c r="M708" s="16">
        <v>199900</v>
      </c>
      <c r="N708" s="9">
        <v>0.95</v>
      </c>
      <c r="O708" s="8">
        <f t="shared" si="33"/>
        <v>9995</v>
      </c>
      <c r="P708" s="6" t="s">
        <v>15</v>
      </c>
    </row>
    <row r="709" spans="1:16" x14ac:dyDescent="0.25">
      <c r="A709" s="6" t="s">
        <v>3920</v>
      </c>
      <c r="B709" s="7">
        <f t="shared" si="34"/>
        <v>46114</v>
      </c>
      <c r="C709" s="7">
        <f t="shared" si="35"/>
        <v>46120</v>
      </c>
      <c r="D709" s="6">
        <v>3280</v>
      </c>
      <c r="E709" s="6">
        <v>337</v>
      </c>
      <c r="F709" s="6">
        <v>4</v>
      </c>
      <c r="G709" s="15">
        <v>1</v>
      </c>
      <c r="H709" s="15"/>
      <c r="I709" s="15" t="s">
        <v>1505</v>
      </c>
      <c r="J709" s="15">
        <v>24117546</v>
      </c>
      <c r="K709" s="15" t="s">
        <v>860</v>
      </c>
      <c r="L709" s="15" t="s">
        <v>862</v>
      </c>
      <c r="M709" s="16">
        <v>199900</v>
      </c>
      <c r="N709" s="9">
        <v>0.95</v>
      </c>
      <c r="O709" s="8">
        <f t="shared" si="33"/>
        <v>9995</v>
      </c>
      <c r="P709" s="6" t="s">
        <v>15</v>
      </c>
    </row>
    <row r="710" spans="1:16" x14ac:dyDescent="0.25">
      <c r="A710" s="6" t="s">
        <v>3920</v>
      </c>
      <c r="B710" s="7">
        <f t="shared" si="34"/>
        <v>46114</v>
      </c>
      <c r="C710" s="7">
        <f t="shared" si="35"/>
        <v>46120</v>
      </c>
      <c r="D710" s="6">
        <v>3280</v>
      </c>
      <c r="E710" s="6">
        <v>337</v>
      </c>
      <c r="F710" s="6">
        <v>4</v>
      </c>
      <c r="G710" s="15">
        <v>1</v>
      </c>
      <c r="H710" s="15"/>
      <c r="I710" s="15" t="s">
        <v>1505</v>
      </c>
      <c r="J710" s="15">
        <v>24117555</v>
      </c>
      <c r="K710" s="15" t="s">
        <v>860</v>
      </c>
      <c r="L710" s="15" t="s">
        <v>863</v>
      </c>
      <c r="M710" s="16">
        <v>199900</v>
      </c>
      <c r="N710" s="9">
        <v>0.95</v>
      </c>
      <c r="O710" s="8">
        <f t="shared" si="33"/>
        <v>9995</v>
      </c>
      <c r="P710" s="6" t="s">
        <v>15</v>
      </c>
    </row>
    <row r="711" spans="1:16" x14ac:dyDescent="0.25">
      <c r="A711" s="6" t="s">
        <v>3920</v>
      </c>
      <c r="B711" s="7">
        <f t="shared" si="34"/>
        <v>46114</v>
      </c>
      <c r="C711" s="7">
        <f t="shared" si="35"/>
        <v>46120</v>
      </c>
      <c r="D711" s="6">
        <v>3280</v>
      </c>
      <c r="E711" s="6">
        <v>337</v>
      </c>
      <c r="F711" s="6">
        <v>4</v>
      </c>
      <c r="G711" s="15">
        <v>1</v>
      </c>
      <c r="H711" s="15"/>
      <c r="I711" s="15" t="s">
        <v>1505</v>
      </c>
      <c r="J711" s="15">
        <v>24117564</v>
      </c>
      <c r="K711" s="15" t="s">
        <v>860</v>
      </c>
      <c r="L711" s="15" t="s">
        <v>864</v>
      </c>
      <c r="M711" s="16">
        <v>209900</v>
      </c>
      <c r="N711" s="9">
        <v>0.95</v>
      </c>
      <c r="O711" s="8">
        <f t="shared" si="33"/>
        <v>10495</v>
      </c>
      <c r="P711" s="6" t="s">
        <v>15</v>
      </c>
    </row>
    <row r="712" spans="1:16" x14ac:dyDescent="0.25">
      <c r="A712" s="6" t="s">
        <v>3920</v>
      </c>
      <c r="B712" s="7">
        <f t="shared" si="34"/>
        <v>46114</v>
      </c>
      <c r="C712" s="7">
        <f t="shared" si="35"/>
        <v>46120</v>
      </c>
      <c r="D712" s="6">
        <v>3280</v>
      </c>
      <c r="E712" s="6">
        <v>337</v>
      </c>
      <c r="F712" s="6">
        <v>4</v>
      </c>
      <c r="G712" s="15">
        <v>1</v>
      </c>
      <c r="H712" s="15"/>
      <c r="I712" s="15" t="s">
        <v>1505</v>
      </c>
      <c r="J712" s="15">
        <v>24117699</v>
      </c>
      <c r="K712" s="15" t="s">
        <v>865</v>
      </c>
      <c r="L712" s="15" t="s">
        <v>866</v>
      </c>
      <c r="M712" s="16">
        <v>199900</v>
      </c>
      <c r="N712" s="9">
        <v>0.95</v>
      </c>
      <c r="O712" s="8">
        <f t="shared" si="33"/>
        <v>9995</v>
      </c>
      <c r="P712" s="6" t="s">
        <v>15</v>
      </c>
    </row>
    <row r="713" spans="1:16" x14ac:dyDescent="0.25">
      <c r="A713" s="6" t="s">
        <v>3920</v>
      </c>
      <c r="B713" s="7">
        <f t="shared" si="34"/>
        <v>46114</v>
      </c>
      <c r="C713" s="7">
        <f t="shared" si="35"/>
        <v>46120</v>
      </c>
      <c r="D713" s="6">
        <v>3280</v>
      </c>
      <c r="E713" s="6">
        <v>337</v>
      </c>
      <c r="F713" s="6">
        <v>4</v>
      </c>
      <c r="G713" s="15">
        <v>1</v>
      </c>
      <c r="H713" s="15"/>
      <c r="I713" s="15" t="s">
        <v>1505</v>
      </c>
      <c r="J713" s="15">
        <v>24117706</v>
      </c>
      <c r="K713" s="15" t="s">
        <v>865</v>
      </c>
      <c r="L713" s="15" t="s">
        <v>867</v>
      </c>
      <c r="M713" s="16">
        <v>199900</v>
      </c>
      <c r="N713" s="9">
        <v>0.95</v>
      </c>
      <c r="O713" s="8">
        <f t="shared" si="33"/>
        <v>9995</v>
      </c>
      <c r="P713" s="6" t="s">
        <v>15</v>
      </c>
    </row>
    <row r="714" spans="1:16" x14ac:dyDescent="0.25">
      <c r="A714" s="6" t="s">
        <v>3920</v>
      </c>
      <c r="B714" s="7">
        <f t="shared" si="34"/>
        <v>46114</v>
      </c>
      <c r="C714" s="7">
        <f t="shared" si="35"/>
        <v>46120</v>
      </c>
      <c r="D714" s="6">
        <v>3280</v>
      </c>
      <c r="E714" s="6">
        <v>337</v>
      </c>
      <c r="F714" s="6">
        <v>4</v>
      </c>
      <c r="G714" s="15">
        <v>1</v>
      </c>
      <c r="H714" s="15"/>
      <c r="I714" s="15" t="s">
        <v>1505</v>
      </c>
      <c r="J714" s="15">
        <v>24117715</v>
      </c>
      <c r="K714" s="15" t="s">
        <v>865</v>
      </c>
      <c r="L714" s="15" t="s">
        <v>868</v>
      </c>
      <c r="M714" s="16">
        <v>209900</v>
      </c>
      <c r="N714" s="9">
        <v>0.95</v>
      </c>
      <c r="O714" s="8">
        <f t="shared" si="33"/>
        <v>10495</v>
      </c>
      <c r="P714" s="6" t="s">
        <v>15</v>
      </c>
    </row>
    <row r="715" spans="1:16" x14ac:dyDescent="0.25">
      <c r="A715" s="6" t="s">
        <v>3920</v>
      </c>
      <c r="B715" s="7">
        <f t="shared" si="34"/>
        <v>46114</v>
      </c>
      <c r="C715" s="7">
        <f t="shared" si="35"/>
        <v>46120</v>
      </c>
      <c r="D715" s="6">
        <v>3280</v>
      </c>
      <c r="E715" s="6">
        <v>337</v>
      </c>
      <c r="F715" s="6">
        <v>4</v>
      </c>
      <c r="G715" s="15">
        <v>1</v>
      </c>
      <c r="H715" s="15"/>
      <c r="I715" s="15" t="s">
        <v>1505</v>
      </c>
      <c r="J715" s="15">
        <v>24117724</v>
      </c>
      <c r="K715" s="15" t="s">
        <v>865</v>
      </c>
      <c r="L715" s="15" t="s">
        <v>869</v>
      </c>
      <c r="M715" s="16">
        <v>209900</v>
      </c>
      <c r="N715" s="9">
        <v>0.95</v>
      </c>
      <c r="O715" s="8">
        <f t="shared" si="33"/>
        <v>10495</v>
      </c>
      <c r="P715" s="6" t="s">
        <v>15</v>
      </c>
    </row>
    <row r="716" spans="1:16" x14ac:dyDescent="0.25">
      <c r="A716" s="6" t="s">
        <v>3920</v>
      </c>
      <c r="B716" s="7">
        <f t="shared" si="34"/>
        <v>46114</v>
      </c>
      <c r="C716" s="7">
        <f t="shared" si="35"/>
        <v>46120</v>
      </c>
      <c r="D716" s="6">
        <v>3280</v>
      </c>
      <c r="E716" s="6">
        <v>337</v>
      </c>
      <c r="F716" s="6">
        <v>4</v>
      </c>
      <c r="G716" s="15">
        <v>1</v>
      </c>
      <c r="H716" s="15"/>
      <c r="I716" s="15" t="s">
        <v>1505</v>
      </c>
      <c r="J716" s="15">
        <v>24133993</v>
      </c>
      <c r="K716" s="15" t="s">
        <v>870</v>
      </c>
      <c r="L716" s="15" t="s">
        <v>871</v>
      </c>
      <c r="M716" s="16">
        <v>219900</v>
      </c>
      <c r="N716" s="9">
        <v>0.95</v>
      </c>
      <c r="O716" s="8">
        <f t="shared" si="33"/>
        <v>10995</v>
      </c>
      <c r="P716" s="6" t="s">
        <v>15</v>
      </c>
    </row>
    <row r="717" spans="1:16" x14ac:dyDescent="0.25">
      <c r="A717" s="6" t="s">
        <v>3920</v>
      </c>
      <c r="B717" s="7">
        <f t="shared" si="34"/>
        <v>46114</v>
      </c>
      <c r="C717" s="7">
        <f t="shared" si="35"/>
        <v>46120</v>
      </c>
      <c r="D717" s="6">
        <v>3280</v>
      </c>
      <c r="E717" s="6">
        <v>337</v>
      </c>
      <c r="F717" s="6">
        <v>4</v>
      </c>
      <c r="G717" s="15">
        <v>1</v>
      </c>
      <c r="H717" s="15"/>
      <c r="I717" s="15" t="s">
        <v>1505</v>
      </c>
      <c r="J717" s="15">
        <v>24134009</v>
      </c>
      <c r="K717" s="15" t="s">
        <v>870</v>
      </c>
      <c r="L717" s="15" t="s">
        <v>872</v>
      </c>
      <c r="M717" s="16">
        <v>219900</v>
      </c>
      <c r="N717" s="9">
        <v>0.95</v>
      </c>
      <c r="O717" s="8">
        <f t="shared" si="33"/>
        <v>10995</v>
      </c>
      <c r="P717" s="6" t="s">
        <v>15</v>
      </c>
    </row>
    <row r="718" spans="1:16" x14ac:dyDescent="0.25">
      <c r="A718" s="6" t="s">
        <v>3920</v>
      </c>
      <c r="B718" s="7">
        <f t="shared" si="34"/>
        <v>46114</v>
      </c>
      <c r="C718" s="7">
        <f t="shared" si="35"/>
        <v>46120</v>
      </c>
      <c r="D718" s="6">
        <v>3280</v>
      </c>
      <c r="E718" s="6">
        <v>337</v>
      </c>
      <c r="F718" s="6">
        <v>4</v>
      </c>
      <c r="G718" s="15">
        <v>1</v>
      </c>
      <c r="H718" s="15"/>
      <c r="I718" s="15" t="s">
        <v>1505</v>
      </c>
      <c r="J718" s="15">
        <v>24217090</v>
      </c>
      <c r="K718" s="15" t="s">
        <v>873</v>
      </c>
      <c r="L718" s="15" t="s">
        <v>874</v>
      </c>
      <c r="M718" s="16">
        <v>79900</v>
      </c>
      <c r="N718" s="9">
        <v>0.95</v>
      </c>
      <c r="O718" s="8">
        <f t="shared" si="33"/>
        <v>3995</v>
      </c>
      <c r="P718" s="6" t="s">
        <v>15</v>
      </c>
    </row>
    <row r="719" spans="1:16" x14ac:dyDescent="0.25">
      <c r="A719" s="6" t="s">
        <v>3920</v>
      </c>
      <c r="B719" s="7">
        <f t="shared" si="34"/>
        <v>46114</v>
      </c>
      <c r="C719" s="7">
        <f t="shared" si="35"/>
        <v>46120</v>
      </c>
      <c r="D719" s="6">
        <v>3280</v>
      </c>
      <c r="E719" s="6">
        <v>337</v>
      </c>
      <c r="F719" s="6">
        <v>4</v>
      </c>
      <c r="G719" s="15">
        <v>1</v>
      </c>
      <c r="H719" s="15"/>
      <c r="I719" s="15" t="s">
        <v>1505</v>
      </c>
      <c r="J719" s="15">
        <v>23995788</v>
      </c>
      <c r="K719" s="15" t="s">
        <v>620</v>
      </c>
      <c r="L719" s="15" t="s">
        <v>875</v>
      </c>
      <c r="M719" s="16">
        <v>199900</v>
      </c>
      <c r="N719" s="9">
        <v>0.95</v>
      </c>
      <c r="O719" s="8">
        <f t="shared" si="33"/>
        <v>9995</v>
      </c>
      <c r="P719" s="6" t="s">
        <v>15</v>
      </c>
    </row>
    <row r="720" spans="1:16" x14ac:dyDescent="0.25">
      <c r="A720" s="6" t="s">
        <v>3920</v>
      </c>
      <c r="B720" s="7">
        <f t="shared" si="34"/>
        <v>46114</v>
      </c>
      <c r="C720" s="7">
        <f t="shared" si="35"/>
        <v>46120</v>
      </c>
      <c r="D720" s="6">
        <v>3280</v>
      </c>
      <c r="E720" s="6">
        <v>337</v>
      </c>
      <c r="F720" s="6">
        <v>4</v>
      </c>
      <c r="G720" s="15">
        <v>1</v>
      </c>
      <c r="H720" s="15"/>
      <c r="I720" s="15" t="s">
        <v>1505</v>
      </c>
      <c r="J720" s="15">
        <v>23968629</v>
      </c>
      <c r="K720" s="15" t="s">
        <v>618</v>
      </c>
      <c r="L720" s="15" t="s">
        <v>876</v>
      </c>
      <c r="M720" s="16">
        <v>209900</v>
      </c>
      <c r="N720" s="9">
        <v>0.95</v>
      </c>
      <c r="O720" s="8">
        <f t="shared" si="33"/>
        <v>10495</v>
      </c>
      <c r="P720" s="6" t="s">
        <v>15</v>
      </c>
    </row>
    <row r="721" spans="1:16" x14ac:dyDescent="0.25">
      <c r="A721" s="6" t="s">
        <v>3920</v>
      </c>
      <c r="B721" s="7">
        <f t="shared" si="34"/>
        <v>46114</v>
      </c>
      <c r="C721" s="7">
        <f t="shared" si="35"/>
        <v>46120</v>
      </c>
      <c r="D721" s="6">
        <v>3280</v>
      </c>
      <c r="E721" s="6">
        <v>337</v>
      </c>
      <c r="F721" s="6">
        <v>4</v>
      </c>
      <c r="G721" s="15">
        <v>1</v>
      </c>
      <c r="H721" s="15"/>
      <c r="I721" s="15" t="s">
        <v>1505</v>
      </c>
      <c r="J721" s="15">
        <v>24133966</v>
      </c>
      <c r="K721" s="15" t="s">
        <v>870</v>
      </c>
      <c r="L721" s="15" t="s">
        <v>877</v>
      </c>
      <c r="M721" s="16">
        <v>209900</v>
      </c>
      <c r="N721" s="9">
        <v>0.95</v>
      </c>
      <c r="O721" s="8">
        <f t="shared" si="33"/>
        <v>10495</v>
      </c>
      <c r="P721" s="6" t="s">
        <v>15</v>
      </c>
    </row>
    <row r="722" spans="1:16" x14ac:dyDescent="0.25">
      <c r="A722" s="6" t="s">
        <v>3920</v>
      </c>
      <c r="B722" s="7">
        <f t="shared" si="34"/>
        <v>46114</v>
      </c>
      <c r="C722" s="7">
        <f t="shared" si="35"/>
        <v>46120</v>
      </c>
      <c r="D722" s="6">
        <v>3280</v>
      </c>
      <c r="E722" s="6">
        <v>337</v>
      </c>
      <c r="F722" s="6">
        <v>4</v>
      </c>
      <c r="G722" s="15">
        <v>1</v>
      </c>
      <c r="H722" s="15"/>
      <c r="I722" s="15" t="s">
        <v>1505</v>
      </c>
      <c r="J722" s="15">
        <v>23990890</v>
      </c>
      <c r="K722" s="15" t="s">
        <v>782</v>
      </c>
      <c r="L722" s="15" t="s">
        <v>878</v>
      </c>
      <c r="M722" s="16">
        <v>199900</v>
      </c>
      <c r="N722" s="9">
        <v>0.95</v>
      </c>
      <c r="O722" s="8">
        <f t="shared" si="33"/>
        <v>9995</v>
      </c>
      <c r="P722" s="6" t="s">
        <v>15</v>
      </c>
    </row>
    <row r="723" spans="1:16" x14ac:dyDescent="0.25">
      <c r="A723" s="6" t="s">
        <v>3920</v>
      </c>
      <c r="B723" s="7">
        <f t="shared" si="34"/>
        <v>46114</v>
      </c>
      <c r="C723" s="7">
        <f t="shared" si="35"/>
        <v>46120</v>
      </c>
      <c r="D723" s="6">
        <v>3280</v>
      </c>
      <c r="E723" s="6">
        <v>337</v>
      </c>
      <c r="F723" s="6">
        <v>4</v>
      </c>
      <c r="G723" s="15">
        <v>1</v>
      </c>
      <c r="H723" s="15"/>
      <c r="I723" s="15" t="s">
        <v>1505</v>
      </c>
      <c r="J723" s="15">
        <v>24030424</v>
      </c>
      <c r="K723" s="15" t="s">
        <v>839</v>
      </c>
      <c r="L723" s="15" t="s">
        <v>879</v>
      </c>
      <c r="M723" s="16">
        <v>299900</v>
      </c>
      <c r="N723" s="9">
        <v>0.95</v>
      </c>
      <c r="O723" s="8">
        <f t="shared" si="33"/>
        <v>14995</v>
      </c>
      <c r="P723" s="6" t="s">
        <v>15</v>
      </c>
    </row>
    <row r="724" spans="1:16" x14ac:dyDescent="0.25">
      <c r="A724" s="6" t="s">
        <v>3920</v>
      </c>
      <c r="B724" s="7">
        <f t="shared" si="34"/>
        <v>46114</v>
      </c>
      <c r="C724" s="7">
        <f t="shared" si="35"/>
        <v>46120</v>
      </c>
      <c r="D724" s="6">
        <v>3280</v>
      </c>
      <c r="E724" s="6">
        <v>337</v>
      </c>
      <c r="F724" s="6">
        <v>4</v>
      </c>
      <c r="G724" s="15">
        <v>1</v>
      </c>
      <c r="H724" s="15"/>
      <c r="I724" s="15" t="s">
        <v>1505</v>
      </c>
      <c r="J724" s="15">
        <v>23845823</v>
      </c>
      <c r="K724" s="15" t="s">
        <v>637</v>
      </c>
      <c r="L724" s="15" t="s">
        <v>880</v>
      </c>
      <c r="M724" s="16">
        <v>209900</v>
      </c>
      <c r="N724" s="9">
        <v>0.95</v>
      </c>
      <c r="O724" s="8">
        <f t="shared" si="33"/>
        <v>10495</v>
      </c>
      <c r="P724" s="6" t="s">
        <v>15</v>
      </c>
    </row>
    <row r="725" spans="1:16" x14ac:dyDescent="0.25">
      <c r="A725" s="6" t="s">
        <v>3920</v>
      </c>
      <c r="B725" s="7">
        <f t="shared" si="34"/>
        <v>46114</v>
      </c>
      <c r="C725" s="7">
        <f t="shared" si="35"/>
        <v>46120</v>
      </c>
      <c r="D725" s="6">
        <v>3280</v>
      </c>
      <c r="E725" s="6">
        <v>337</v>
      </c>
      <c r="F725" s="6">
        <v>4</v>
      </c>
      <c r="G725" s="15">
        <v>1</v>
      </c>
      <c r="H725" s="15"/>
      <c r="I725" s="15" t="s">
        <v>1505</v>
      </c>
      <c r="J725" s="15">
        <v>23995779</v>
      </c>
      <c r="K725" s="15" t="s">
        <v>620</v>
      </c>
      <c r="L725" s="15" t="s">
        <v>881</v>
      </c>
      <c r="M725" s="16">
        <v>199900</v>
      </c>
      <c r="N725" s="9">
        <v>0.95</v>
      </c>
      <c r="O725" s="8">
        <f t="shared" si="33"/>
        <v>9995</v>
      </c>
      <c r="P725" s="6" t="s">
        <v>15</v>
      </c>
    </row>
    <row r="726" spans="1:16" x14ac:dyDescent="0.25">
      <c r="A726" s="6" t="s">
        <v>3920</v>
      </c>
      <c r="B726" s="7">
        <f t="shared" si="34"/>
        <v>46114</v>
      </c>
      <c r="C726" s="7">
        <f t="shared" si="35"/>
        <v>46120</v>
      </c>
      <c r="D726" s="6">
        <v>3280</v>
      </c>
      <c r="E726" s="6">
        <v>337</v>
      </c>
      <c r="F726" s="6">
        <v>4</v>
      </c>
      <c r="G726" s="15">
        <v>1</v>
      </c>
      <c r="H726" s="15"/>
      <c r="I726" s="15" t="s">
        <v>1505</v>
      </c>
      <c r="J726" s="15">
        <v>23844566</v>
      </c>
      <c r="K726" s="15" t="s">
        <v>629</v>
      </c>
      <c r="L726" s="15" t="s">
        <v>882</v>
      </c>
      <c r="M726" s="16">
        <v>199900</v>
      </c>
      <c r="N726" s="9">
        <v>0.95</v>
      </c>
      <c r="O726" s="8">
        <f t="shared" si="33"/>
        <v>9995</v>
      </c>
      <c r="P726" s="6" t="s">
        <v>15</v>
      </c>
    </row>
    <row r="727" spans="1:16" x14ac:dyDescent="0.25">
      <c r="A727" s="6" t="s">
        <v>3920</v>
      </c>
      <c r="B727" s="7">
        <f t="shared" si="34"/>
        <v>46114</v>
      </c>
      <c r="C727" s="7">
        <f t="shared" si="35"/>
        <v>46120</v>
      </c>
      <c r="D727" s="6">
        <v>3280</v>
      </c>
      <c r="E727" s="6">
        <v>337</v>
      </c>
      <c r="F727" s="6">
        <v>4</v>
      </c>
      <c r="G727" s="15">
        <v>1</v>
      </c>
      <c r="H727" s="15"/>
      <c r="I727" s="15" t="s">
        <v>1505</v>
      </c>
      <c r="J727" s="15">
        <v>23868308</v>
      </c>
      <c r="K727" s="15" t="s">
        <v>687</v>
      </c>
      <c r="L727" s="15" t="s">
        <v>883</v>
      </c>
      <c r="M727" s="16">
        <v>199900</v>
      </c>
      <c r="N727" s="9">
        <v>0.95</v>
      </c>
      <c r="O727" s="8">
        <f t="shared" si="33"/>
        <v>9995</v>
      </c>
      <c r="P727" s="6" t="s">
        <v>15</v>
      </c>
    </row>
    <row r="728" spans="1:16" x14ac:dyDescent="0.25">
      <c r="A728" s="6" t="s">
        <v>3920</v>
      </c>
      <c r="B728" s="7">
        <f t="shared" si="34"/>
        <v>46114</v>
      </c>
      <c r="C728" s="7">
        <f t="shared" si="35"/>
        <v>46120</v>
      </c>
      <c r="D728" s="6">
        <v>3280</v>
      </c>
      <c r="E728" s="6">
        <v>337</v>
      </c>
      <c r="F728" s="6">
        <v>4</v>
      </c>
      <c r="G728" s="15">
        <v>1</v>
      </c>
      <c r="H728" s="15"/>
      <c r="I728" s="15" t="s">
        <v>1505</v>
      </c>
      <c r="J728" s="15">
        <v>23861823</v>
      </c>
      <c r="K728" s="15" t="s">
        <v>884</v>
      </c>
      <c r="L728" s="15" t="s">
        <v>885</v>
      </c>
      <c r="M728" s="16">
        <v>239900</v>
      </c>
      <c r="N728" s="9">
        <v>0.95</v>
      </c>
      <c r="O728" s="8">
        <f t="shared" si="33"/>
        <v>11995</v>
      </c>
      <c r="P728" s="6" t="s">
        <v>15</v>
      </c>
    </row>
    <row r="729" spans="1:16" x14ac:dyDescent="0.25">
      <c r="A729" s="6" t="s">
        <v>3920</v>
      </c>
      <c r="B729" s="7">
        <f t="shared" si="34"/>
        <v>46114</v>
      </c>
      <c r="C729" s="7">
        <f t="shared" si="35"/>
        <v>46120</v>
      </c>
      <c r="D729" s="6">
        <v>3280</v>
      </c>
      <c r="E729" s="6">
        <v>337</v>
      </c>
      <c r="F729" s="6">
        <v>4</v>
      </c>
      <c r="G729" s="15">
        <v>1</v>
      </c>
      <c r="H729" s="15"/>
      <c r="I729" s="15" t="s">
        <v>1505</v>
      </c>
      <c r="J729" s="15">
        <v>23858257</v>
      </c>
      <c r="K729" s="15" t="s">
        <v>654</v>
      </c>
      <c r="L729" s="15" t="s">
        <v>886</v>
      </c>
      <c r="M729" s="16">
        <v>219900</v>
      </c>
      <c r="N729" s="9">
        <v>0.95</v>
      </c>
      <c r="O729" s="8">
        <f t="shared" si="33"/>
        <v>10995</v>
      </c>
      <c r="P729" s="6" t="s">
        <v>15</v>
      </c>
    </row>
    <row r="730" spans="1:16" x14ac:dyDescent="0.25">
      <c r="A730" s="6" t="s">
        <v>3920</v>
      </c>
      <c r="B730" s="7">
        <f t="shared" si="34"/>
        <v>46114</v>
      </c>
      <c r="C730" s="7">
        <f t="shared" si="35"/>
        <v>46120</v>
      </c>
      <c r="D730" s="6">
        <v>3280</v>
      </c>
      <c r="E730" s="6">
        <v>337</v>
      </c>
      <c r="F730" s="6">
        <v>4</v>
      </c>
      <c r="G730" s="15">
        <v>1</v>
      </c>
      <c r="H730" s="15"/>
      <c r="I730" s="15" t="s">
        <v>1505</v>
      </c>
      <c r="J730" s="15">
        <v>23968567</v>
      </c>
      <c r="K730" s="15" t="s">
        <v>622</v>
      </c>
      <c r="L730" s="15" t="s">
        <v>887</v>
      </c>
      <c r="M730" s="16">
        <v>209900</v>
      </c>
      <c r="N730" s="9">
        <v>0.95</v>
      </c>
      <c r="O730" s="8">
        <f t="shared" si="33"/>
        <v>10495</v>
      </c>
      <c r="P730" s="6" t="s">
        <v>15</v>
      </c>
    </row>
    <row r="731" spans="1:16" x14ac:dyDescent="0.25">
      <c r="A731" s="6" t="s">
        <v>3920</v>
      </c>
      <c r="B731" s="7">
        <f t="shared" si="34"/>
        <v>46114</v>
      </c>
      <c r="C731" s="7">
        <f t="shared" si="35"/>
        <v>46120</v>
      </c>
      <c r="D731" s="6">
        <v>3280</v>
      </c>
      <c r="E731" s="6">
        <v>337</v>
      </c>
      <c r="F731" s="6">
        <v>4</v>
      </c>
      <c r="G731" s="15">
        <v>1</v>
      </c>
      <c r="H731" s="15"/>
      <c r="I731" s="15" t="s">
        <v>1505</v>
      </c>
      <c r="J731" s="15">
        <v>23845798</v>
      </c>
      <c r="K731" s="15" t="s">
        <v>637</v>
      </c>
      <c r="L731" s="15" t="s">
        <v>888</v>
      </c>
      <c r="M731" s="16">
        <v>199900</v>
      </c>
      <c r="N731" s="9">
        <v>0.95</v>
      </c>
      <c r="O731" s="8">
        <f t="shared" si="33"/>
        <v>9995</v>
      </c>
      <c r="P731" s="6" t="s">
        <v>15</v>
      </c>
    </row>
    <row r="732" spans="1:16" x14ac:dyDescent="0.25">
      <c r="A732" s="6" t="s">
        <v>3920</v>
      </c>
      <c r="B732" s="7">
        <f t="shared" si="34"/>
        <v>46114</v>
      </c>
      <c r="C732" s="7">
        <f t="shared" si="35"/>
        <v>46120</v>
      </c>
      <c r="D732" s="6">
        <v>3280</v>
      </c>
      <c r="E732" s="6">
        <v>337</v>
      </c>
      <c r="F732" s="6">
        <v>4</v>
      </c>
      <c r="G732" s="15">
        <v>1</v>
      </c>
      <c r="H732" s="15"/>
      <c r="I732" s="15" t="s">
        <v>1505</v>
      </c>
      <c r="J732" s="15">
        <v>24103097</v>
      </c>
      <c r="K732" s="15" t="s">
        <v>857</v>
      </c>
      <c r="L732" s="15" t="s">
        <v>889</v>
      </c>
      <c r="M732" s="16">
        <v>219900</v>
      </c>
      <c r="N732" s="9">
        <v>0.95</v>
      </c>
      <c r="O732" s="8">
        <f t="shared" si="33"/>
        <v>10995</v>
      </c>
      <c r="P732" s="6" t="s">
        <v>15</v>
      </c>
    </row>
    <row r="733" spans="1:16" x14ac:dyDescent="0.25">
      <c r="A733" s="6" t="s">
        <v>3920</v>
      </c>
      <c r="B733" s="7">
        <f t="shared" si="34"/>
        <v>46114</v>
      </c>
      <c r="C733" s="7">
        <f t="shared" si="35"/>
        <v>46120</v>
      </c>
      <c r="D733" s="6">
        <v>3280</v>
      </c>
      <c r="E733" s="6">
        <v>337</v>
      </c>
      <c r="F733" s="6">
        <v>4</v>
      </c>
      <c r="G733" s="15">
        <v>1</v>
      </c>
      <c r="H733" s="15"/>
      <c r="I733" s="15" t="s">
        <v>1505</v>
      </c>
      <c r="J733" s="15">
        <v>23969164</v>
      </c>
      <c r="K733" s="15" t="s">
        <v>742</v>
      </c>
      <c r="L733" s="15" t="s">
        <v>890</v>
      </c>
      <c r="M733" s="16">
        <v>209900</v>
      </c>
      <c r="N733" s="9">
        <v>0.95</v>
      </c>
      <c r="O733" s="8">
        <f t="shared" si="33"/>
        <v>10495</v>
      </c>
      <c r="P733" s="6" t="s">
        <v>15</v>
      </c>
    </row>
    <row r="734" spans="1:16" x14ac:dyDescent="0.25">
      <c r="A734" s="6" t="s">
        <v>3920</v>
      </c>
      <c r="B734" s="7">
        <f t="shared" si="34"/>
        <v>46114</v>
      </c>
      <c r="C734" s="7">
        <f t="shared" si="35"/>
        <v>46120</v>
      </c>
      <c r="D734" s="6">
        <v>3280</v>
      </c>
      <c r="E734" s="6">
        <v>337</v>
      </c>
      <c r="F734" s="6">
        <v>4</v>
      </c>
      <c r="G734" s="15">
        <v>1</v>
      </c>
      <c r="H734" s="15"/>
      <c r="I734" s="15" t="s">
        <v>1505</v>
      </c>
      <c r="J734" s="15">
        <v>24103015</v>
      </c>
      <c r="K734" s="15" t="s">
        <v>853</v>
      </c>
      <c r="L734" s="15" t="s">
        <v>891</v>
      </c>
      <c r="M734" s="16">
        <v>249900</v>
      </c>
      <c r="N734" s="9">
        <v>0.95</v>
      </c>
      <c r="O734" s="8">
        <f t="shared" si="33"/>
        <v>12495</v>
      </c>
      <c r="P734" s="6" t="s">
        <v>15</v>
      </c>
    </row>
    <row r="735" spans="1:16" x14ac:dyDescent="0.25">
      <c r="A735" s="6" t="s">
        <v>3920</v>
      </c>
      <c r="B735" s="7">
        <f t="shared" si="34"/>
        <v>46114</v>
      </c>
      <c r="C735" s="7">
        <f t="shared" si="35"/>
        <v>46120</v>
      </c>
      <c r="D735" s="6">
        <v>3280</v>
      </c>
      <c r="E735" s="6">
        <v>337</v>
      </c>
      <c r="F735" s="6">
        <v>4</v>
      </c>
      <c r="G735" s="15">
        <v>1</v>
      </c>
      <c r="H735" s="15"/>
      <c r="I735" s="15" t="s">
        <v>1505</v>
      </c>
      <c r="J735" s="15">
        <v>23861789</v>
      </c>
      <c r="K735" s="15" t="s">
        <v>884</v>
      </c>
      <c r="L735" s="15" t="s">
        <v>892</v>
      </c>
      <c r="M735" s="16">
        <v>229900</v>
      </c>
      <c r="N735" s="9">
        <v>0.95</v>
      </c>
      <c r="O735" s="8">
        <f t="shared" si="33"/>
        <v>11495</v>
      </c>
      <c r="P735" s="6" t="s">
        <v>15</v>
      </c>
    </row>
    <row r="736" spans="1:16" x14ac:dyDescent="0.25">
      <c r="A736" s="6" t="s">
        <v>3920</v>
      </c>
      <c r="B736" s="7">
        <f t="shared" si="34"/>
        <v>46114</v>
      </c>
      <c r="C736" s="7">
        <f t="shared" si="35"/>
        <v>46120</v>
      </c>
      <c r="D736" s="6">
        <v>3280</v>
      </c>
      <c r="E736" s="6">
        <v>337</v>
      </c>
      <c r="F736" s="6">
        <v>4</v>
      </c>
      <c r="G736" s="15">
        <v>1</v>
      </c>
      <c r="H736" s="15"/>
      <c r="I736" s="15" t="s">
        <v>1505</v>
      </c>
      <c r="J736" s="15">
        <v>23846920</v>
      </c>
      <c r="K736" s="15" t="s">
        <v>639</v>
      </c>
      <c r="L736" s="15" t="s">
        <v>893</v>
      </c>
      <c r="M736" s="16">
        <v>199900</v>
      </c>
      <c r="N736" s="9">
        <v>0.95</v>
      </c>
      <c r="O736" s="8">
        <f t="shared" si="33"/>
        <v>9995</v>
      </c>
      <c r="P736" s="6" t="s">
        <v>15</v>
      </c>
    </row>
    <row r="737" spans="1:16" x14ac:dyDescent="0.25">
      <c r="A737" s="6" t="s">
        <v>3920</v>
      </c>
      <c r="B737" s="7">
        <f t="shared" si="34"/>
        <v>46114</v>
      </c>
      <c r="C737" s="7">
        <f t="shared" si="35"/>
        <v>46120</v>
      </c>
      <c r="D737" s="6">
        <v>3280</v>
      </c>
      <c r="E737" s="6">
        <v>337</v>
      </c>
      <c r="F737" s="6">
        <v>4</v>
      </c>
      <c r="G737" s="15">
        <v>1</v>
      </c>
      <c r="H737" s="15"/>
      <c r="I737" s="15" t="s">
        <v>1505</v>
      </c>
      <c r="J737" s="15">
        <v>23974309</v>
      </c>
      <c r="K737" s="15" t="s">
        <v>755</v>
      </c>
      <c r="L737" s="15" t="s">
        <v>894</v>
      </c>
      <c r="M737" s="16">
        <v>209900</v>
      </c>
      <c r="N737" s="9">
        <v>0.95</v>
      </c>
      <c r="O737" s="8">
        <f t="shared" si="33"/>
        <v>10495</v>
      </c>
      <c r="P737" s="6" t="s">
        <v>15</v>
      </c>
    </row>
    <row r="738" spans="1:16" x14ac:dyDescent="0.25">
      <c r="A738" s="6" t="s">
        <v>3920</v>
      </c>
      <c r="B738" s="7">
        <f t="shared" si="34"/>
        <v>46114</v>
      </c>
      <c r="C738" s="7">
        <f t="shared" si="35"/>
        <v>46120</v>
      </c>
      <c r="D738" s="6">
        <v>3280</v>
      </c>
      <c r="E738" s="6">
        <v>337</v>
      </c>
      <c r="F738" s="6">
        <v>4</v>
      </c>
      <c r="G738" s="15">
        <v>1</v>
      </c>
      <c r="H738" s="15"/>
      <c r="I738" s="15" t="s">
        <v>1505</v>
      </c>
      <c r="J738" s="15">
        <v>23872875</v>
      </c>
      <c r="K738" s="15" t="s">
        <v>703</v>
      </c>
      <c r="L738" s="15" t="s">
        <v>895</v>
      </c>
      <c r="M738" s="16">
        <v>219900</v>
      </c>
      <c r="N738" s="9">
        <v>0.95</v>
      </c>
      <c r="O738" s="8">
        <f t="shared" si="33"/>
        <v>10995</v>
      </c>
      <c r="P738" s="6" t="s">
        <v>15</v>
      </c>
    </row>
    <row r="739" spans="1:16" x14ac:dyDescent="0.25">
      <c r="A739" s="6" t="s">
        <v>3920</v>
      </c>
      <c r="B739" s="7">
        <f t="shared" si="34"/>
        <v>46114</v>
      </c>
      <c r="C739" s="7">
        <f t="shared" si="35"/>
        <v>46120</v>
      </c>
      <c r="D739" s="6">
        <v>3280</v>
      </c>
      <c r="E739" s="6">
        <v>337</v>
      </c>
      <c r="F739" s="6">
        <v>4</v>
      </c>
      <c r="G739" s="15">
        <v>1</v>
      </c>
      <c r="H739" s="15"/>
      <c r="I739" s="15" t="s">
        <v>1505</v>
      </c>
      <c r="J739" s="15">
        <v>23969075</v>
      </c>
      <c r="K739" s="15" t="s">
        <v>896</v>
      </c>
      <c r="L739" s="15" t="s">
        <v>897</v>
      </c>
      <c r="M739" s="16">
        <v>199900</v>
      </c>
      <c r="N739" s="9">
        <v>0.95</v>
      </c>
      <c r="O739" s="8">
        <f t="shared" si="33"/>
        <v>9995</v>
      </c>
      <c r="P739" s="6" t="s">
        <v>15</v>
      </c>
    </row>
    <row r="740" spans="1:16" x14ac:dyDescent="0.25">
      <c r="A740" s="6" t="s">
        <v>3920</v>
      </c>
      <c r="B740" s="7">
        <f t="shared" si="34"/>
        <v>46114</v>
      </c>
      <c r="C740" s="7">
        <f t="shared" si="35"/>
        <v>46120</v>
      </c>
      <c r="D740" s="6">
        <v>3280</v>
      </c>
      <c r="E740" s="6">
        <v>337</v>
      </c>
      <c r="F740" s="6">
        <v>4</v>
      </c>
      <c r="G740" s="15">
        <v>1</v>
      </c>
      <c r="H740" s="15"/>
      <c r="I740" s="15" t="s">
        <v>1505</v>
      </c>
      <c r="J740" s="15">
        <v>23932327</v>
      </c>
      <c r="K740" s="15" t="s">
        <v>726</v>
      </c>
      <c r="L740" s="15" t="s">
        <v>898</v>
      </c>
      <c r="M740" s="16">
        <v>219900</v>
      </c>
      <c r="N740" s="9">
        <v>0.95</v>
      </c>
      <c r="O740" s="8">
        <f t="shared" si="33"/>
        <v>10995</v>
      </c>
      <c r="P740" s="6" t="s">
        <v>15</v>
      </c>
    </row>
    <row r="741" spans="1:16" x14ac:dyDescent="0.25">
      <c r="A741" s="6" t="s">
        <v>3920</v>
      </c>
      <c r="B741" s="7">
        <f t="shared" si="34"/>
        <v>46114</v>
      </c>
      <c r="C741" s="7">
        <f t="shared" si="35"/>
        <v>46120</v>
      </c>
      <c r="D741" s="6">
        <v>3280</v>
      </c>
      <c r="E741" s="6">
        <v>337</v>
      </c>
      <c r="F741" s="6">
        <v>4</v>
      </c>
      <c r="G741" s="15">
        <v>1</v>
      </c>
      <c r="H741" s="15"/>
      <c r="I741" s="15" t="s">
        <v>1505</v>
      </c>
      <c r="J741" s="15">
        <v>23995804</v>
      </c>
      <c r="K741" s="15" t="s">
        <v>620</v>
      </c>
      <c r="L741" s="15" t="s">
        <v>899</v>
      </c>
      <c r="M741" s="16">
        <v>209900</v>
      </c>
      <c r="N741" s="9">
        <v>0.95</v>
      </c>
      <c r="O741" s="8">
        <f t="shared" si="33"/>
        <v>10495</v>
      </c>
      <c r="P741" s="6" t="s">
        <v>15</v>
      </c>
    </row>
    <row r="742" spans="1:16" x14ac:dyDescent="0.25">
      <c r="A742" s="6" t="s">
        <v>3920</v>
      </c>
      <c r="B742" s="7">
        <f t="shared" si="34"/>
        <v>46114</v>
      </c>
      <c r="C742" s="7">
        <f t="shared" si="35"/>
        <v>46120</v>
      </c>
      <c r="D742" s="6">
        <v>3280</v>
      </c>
      <c r="E742" s="6">
        <v>337</v>
      </c>
      <c r="F742" s="6">
        <v>4</v>
      </c>
      <c r="G742" s="15">
        <v>1</v>
      </c>
      <c r="H742" s="15"/>
      <c r="I742" s="15" t="s">
        <v>1505</v>
      </c>
      <c r="J742" s="15">
        <v>23858239</v>
      </c>
      <c r="K742" s="15" t="s">
        <v>654</v>
      </c>
      <c r="L742" s="15" t="s">
        <v>900</v>
      </c>
      <c r="M742" s="16">
        <v>219900</v>
      </c>
      <c r="N742" s="9">
        <v>0.95</v>
      </c>
      <c r="O742" s="8">
        <f t="shared" si="33"/>
        <v>10995</v>
      </c>
      <c r="P742" s="6" t="s">
        <v>15</v>
      </c>
    </row>
    <row r="743" spans="1:16" x14ac:dyDescent="0.25">
      <c r="A743" s="6" t="s">
        <v>3920</v>
      </c>
      <c r="B743" s="7">
        <f t="shared" si="34"/>
        <v>46114</v>
      </c>
      <c r="C743" s="7">
        <f t="shared" si="35"/>
        <v>46120</v>
      </c>
      <c r="D743" s="6">
        <v>3280</v>
      </c>
      <c r="E743" s="6">
        <v>337</v>
      </c>
      <c r="F743" s="6">
        <v>4</v>
      </c>
      <c r="G743" s="15">
        <v>1</v>
      </c>
      <c r="H743" s="15"/>
      <c r="I743" s="15" t="s">
        <v>1505</v>
      </c>
      <c r="J743" s="15">
        <v>23974318</v>
      </c>
      <c r="K743" s="15" t="s">
        <v>755</v>
      </c>
      <c r="L743" s="15" t="s">
        <v>901</v>
      </c>
      <c r="M743" s="16">
        <v>209900</v>
      </c>
      <c r="N743" s="9">
        <v>0.95</v>
      </c>
      <c r="O743" s="8">
        <f t="shared" si="33"/>
        <v>10495</v>
      </c>
      <c r="P743" s="6" t="s">
        <v>15</v>
      </c>
    </row>
    <row r="744" spans="1:16" x14ac:dyDescent="0.25">
      <c r="A744" s="6" t="s">
        <v>3920</v>
      </c>
      <c r="B744" s="7">
        <f t="shared" si="34"/>
        <v>46114</v>
      </c>
      <c r="C744" s="7">
        <f t="shared" si="35"/>
        <v>46120</v>
      </c>
      <c r="D744" s="6">
        <v>3280</v>
      </c>
      <c r="E744" s="6">
        <v>337</v>
      </c>
      <c r="F744" s="6">
        <v>4</v>
      </c>
      <c r="G744" s="15">
        <v>1</v>
      </c>
      <c r="H744" s="15"/>
      <c r="I744" s="15" t="s">
        <v>1505</v>
      </c>
      <c r="J744" s="15">
        <v>23996090</v>
      </c>
      <c r="K744" s="15" t="s">
        <v>787</v>
      </c>
      <c r="L744" s="15" t="s">
        <v>902</v>
      </c>
      <c r="M744" s="16">
        <v>209900</v>
      </c>
      <c r="N744" s="9">
        <v>0.95</v>
      </c>
      <c r="O744" s="8">
        <f t="shared" si="33"/>
        <v>10495</v>
      </c>
      <c r="P744" s="6" t="s">
        <v>15</v>
      </c>
    </row>
    <row r="745" spans="1:16" x14ac:dyDescent="0.25">
      <c r="A745" s="6" t="s">
        <v>3920</v>
      </c>
      <c r="B745" s="7">
        <f t="shared" si="34"/>
        <v>46114</v>
      </c>
      <c r="C745" s="7">
        <f t="shared" si="35"/>
        <v>46120</v>
      </c>
      <c r="D745" s="6">
        <v>3280</v>
      </c>
      <c r="E745" s="6">
        <v>337</v>
      </c>
      <c r="F745" s="6">
        <v>4</v>
      </c>
      <c r="G745" s="15">
        <v>1</v>
      </c>
      <c r="H745" s="15"/>
      <c r="I745" s="15" t="s">
        <v>1505</v>
      </c>
      <c r="J745" s="15">
        <v>23846911</v>
      </c>
      <c r="K745" s="15" t="s">
        <v>639</v>
      </c>
      <c r="L745" s="15" t="s">
        <v>903</v>
      </c>
      <c r="M745" s="16">
        <v>199900</v>
      </c>
      <c r="N745" s="9">
        <v>0.95</v>
      </c>
      <c r="O745" s="8">
        <f t="shared" si="33"/>
        <v>9995</v>
      </c>
      <c r="P745" s="6" t="s">
        <v>15</v>
      </c>
    </row>
    <row r="746" spans="1:16" x14ac:dyDescent="0.25">
      <c r="A746" s="6" t="s">
        <v>3920</v>
      </c>
      <c r="B746" s="7">
        <f t="shared" si="34"/>
        <v>46114</v>
      </c>
      <c r="C746" s="7">
        <f t="shared" si="35"/>
        <v>46120</v>
      </c>
      <c r="D746" s="6">
        <v>3280</v>
      </c>
      <c r="E746" s="6">
        <v>337</v>
      </c>
      <c r="F746" s="6">
        <v>4</v>
      </c>
      <c r="G746" s="15">
        <v>1</v>
      </c>
      <c r="H746" s="15"/>
      <c r="I746" s="15" t="s">
        <v>1505</v>
      </c>
      <c r="J746" s="15">
        <v>23861805</v>
      </c>
      <c r="K746" s="15" t="s">
        <v>884</v>
      </c>
      <c r="L746" s="15" t="s">
        <v>904</v>
      </c>
      <c r="M746" s="16">
        <v>229900</v>
      </c>
      <c r="N746" s="9">
        <v>0.95</v>
      </c>
      <c r="O746" s="8">
        <f t="shared" si="33"/>
        <v>11495</v>
      </c>
      <c r="P746" s="6" t="s">
        <v>15</v>
      </c>
    </row>
    <row r="747" spans="1:16" x14ac:dyDescent="0.25">
      <c r="A747" s="6" t="s">
        <v>3920</v>
      </c>
      <c r="B747" s="7">
        <f t="shared" si="34"/>
        <v>46114</v>
      </c>
      <c r="C747" s="7">
        <f t="shared" si="35"/>
        <v>46120</v>
      </c>
      <c r="D747" s="6">
        <v>3280</v>
      </c>
      <c r="E747" s="6">
        <v>337</v>
      </c>
      <c r="F747" s="6">
        <v>4</v>
      </c>
      <c r="G747" s="15">
        <v>1</v>
      </c>
      <c r="H747" s="15"/>
      <c r="I747" s="15" t="s">
        <v>1505</v>
      </c>
      <c r="J747" s="15">
        <v>23845832</v>
      </c>
      <c r="K747" s="15" t="s">
        <v>637</v>
      </c>
      <c r="L747" s="15" t="s">
        <v>905</v>
      </c>
      <c r="M747" s="16">
        <v>209900</v>
      </c>
      <c r="N747" s="9">
        <v>0.95</v>
      </c>
      <c r="O747" s="8">
        <f t="shared" si="33"/>
        <v>10495</v>
      </c>
      <c r="P747" s="6" t="s">
        <v>15</v>
      </c>
    </row>
    <row r="748" spans="1:16" x14ac:dyDescent="0.25">
      <c r="A748" s="6" t="s">
        <v>3920</v>
      </c>
      <c r="B748" s="7">
        <f t="shared" si="34"/>
        <v>46114</v>
      </c>
      <c r="C748" s="7">
        <f t="shared" si="35"/>
        <v>46120</v>
      </c>
      <c r="D748" s="6">
        <v>3280</v>
      </c>
      <c r="E748" s="6">
        <v>337</v>
      </c>
      <c r="F748" s="6">
        <v>4</v>
      </c>
      <c r="G748" s="15">
        <v>1</v>
      </c>
      <c r="H748" s="15"/>
      <c r="I748" s="15" t="s">
        <v>1505</v>
      </c>
      <c r="J748" s="15">
        <v>23969084</v>
      </c>
      <c r="K748" s="15" t="s">
        <v>896</v>
      </c>
      <c r="L748" s="15" t="s">
        <v>906</v>
      </c>
      <c r="M748" s="16">
        <v>199900</v>
      </c>
      <c r="N748" s="9">
        <v>0.95</v>
      </c>
      <c r="O748" s="8">
        <f t="shared" si="33"/>
        <v>9995</v>
      </c>
      <c r="P748" s="6" t="s">
        <v>15</v>
      </c>
    </row>
    <row r="749" spans="1:16" x14ac:dyDescent="0.25">
      <c r="A749" s="6" t="s">
        <v>3920</v>
      </c>
      <c r="B749" s="7">
        <f t="shared" si="34"/>
        <v>46114</v>
      </c>
      <c r="C749" s="7">
        <f t="shared" si="35"/>
        <v>46120</v>
      </c>
      <c r="D749" s="6">
        <v>3280</v>
      </c>
      <c r="E749" s="6">
        <v>337</v>
      </c>
      <c r="F749" s="6">
        <v>4</v>
      </c>
      <c r="G749" s="15">
        <v>1</v>
      </c>
      <c r="H749" s="15"/>
      <c r="I749" s="15" t="s">
        <v>1505</v>
      </c>
      <c r="J749" s="15">
        <v>23926914</v>
      </c>
      <c r="K749" s="15" t="s">
        <v>907</v>
      </c>
      <c r="L749" s="15" t="s">
        <v>908</v>
      </c>
      <c r="M749" s="16">
        <v>189900</v>
      </c>
      <c r="N749" s="9">
        <v>0.95</v>
      </c>
      <c r="O749" s="8">
        <f t="shared" si="33"/>
        <v>9495</v>
      </c>
      <c r="P749" s="6" t="s">
        <v>15</v>
      </c>
    </row>
    <row r="750" spans="1:16" x14ac:dyDescent="0.25">
      <c r="A750" s="6" t="s">
        <v>3920</v>
      </c>
      <c r="B750" s="7">
        <f t="shared" si="34"/>
        <v>46114</v>
      </c>
      <c r="C750" s="7">
        <f t="shared" si="35"/>
        <v>46120</v>
      </c>
      <c r="D750" s="6">
        <v>3280</v>
      </c>
      <c r="E750" s="6">
        <v>337</v>
      </c>
      <c r="F750" s="6">
        <v>4</v>
      </c>
      <c r="G750" s="15">
        <v>1</v>
      </c>
      <c r="H750" s="15"/>
      <c r="I750" s="15" t="s">
        <v>1505</v>
      </c>
      <c r="J750" s="15">
        <v>23996956</v>
      </c>
      <c r="K750" s="15" t="s">
        <v>791</v>
      </c>
      <c r="L750" s="15" t="s">
        <v>909</v>
      </c>
      <c r="M750" s="16">
        <v>199900</v>
      </c>
      <c r="N750" s="9">
        <v>0.95</v>
      </c>
      <c r="O750" s="8">
        <f t="shared" si="33"/>
        <v>9995</v>
      </c>
      <c r="P750" s="6" t="s">
        <v>15</v>
      </c>
    </row>
    <row r="751" spans="1:16" x14ac:dyDescent="0.25">
      <c r="A751" s="6" t="s">
        <v>3920</v>
      </c>
      <c r="B751" s="7">
        <f t="shared" si="34"/>
        <v>46114</v>
      </c>
      <c r="C751" s="7">
        <f t="shared" si="35"/>
        <v>46120</v>
      </c>
      <c r="D751" s="6">
        <v>3280</v>
      </c>
      <c r="E751" s="6">
        <v>337</v>
      </c>
      <c r="F751" s="6">
        <v>4</v>
      </c>
      <c r="G751" s="15">
        <v>1</v>
      </c>
      <c r="H751" s="15"/>
      <c r="I751" s="15" t="s">
        <v>1505</v>
      </c>
      <c r="J751" s="15">
        <v>23926889</v>
      </c>
      <c r="K751" s="15" t="s">
        <v>907</v>
      </c>
      <c r="L751" s="15" t="s">
        <v>910</v>
      </c>
      <c r="M751" s="16">
        <v>189900</v>
      </c>
      <c r="N751" s="9">
        <v>0.95</v>
      </c>
      <c r="O751" s="8">
        <f t="shared" si="33"/>
        <v>9495</v>
      </c>
      <c r="P751" s="6" t="s">
        <v>15</v>
      </c>
    </row>
    <row r="752" spans="1:16" x14ac:dyDescent="0.25">
      <c r="A752" s="6" t="s">
        <v>3920</v>
      </c>
      <c r="B752" s="7">
        <f t="shared" si="34"/>
        <v>46114</v>
      </c>
      <c r="C752" s="7">
        <f t="shared" si="35"/>
        <v>46120</v>
      </c>
      <c r="D752" s="6">
        <v>3280</v>
      </c>
      <c r="E752" s="6">
        <v>337</v>
      </c>
      <c r="F752" s="6">
        <v>4</v>
      </c>
      <c r="G752" s="15">
        <v>1</v>
      </c>
      <c r="H752" s="15"/>
      <c r="I752" s="15" t="s">
        <v>1505</v>
      </c>
      <c r="J752" s="15">
        <v>23990881</v>
      </c>
      <c r="K752" s="15" t="s">
        <v>782</v>
      </c>
      <c r="L752" s="15" t="s">
        <v>911</v>
      </c>
      <c r="M752" s="16">
        <v>199900</v>
      </c>
      <c r="N752" s="9">
        <v>0.95</v>
      </c>
      <c r="O752" s="8">
        <f t="shared" si="33"/>
        <v>9995</v>
      </c>
      <c r="P752" s="6" t="s">
        <v>15</v>
      </c>
    </row>
    <row r="753" spans="1:16" x14ac:dyDescent="0.25">
      <c r="A753" s="6" t="s">
        <v>3920</v>
      </c>
      <c r="B753" s="7">
        <f t="shared" si="34"/>
        <v>46114</v>
      </c>
      <c r="C753" s="7">
        <f t="shared" si="35"/>
        <v>46120</v>
      </c>
      <c r="D753" s="6">
        <v>3280</v>
      </c>
      <c r="E753" s="6">
        <v>337</v>
      </c>
      <c r="F753" s="6">
        <v>4</v>
      </c>
      <c r="G753" s="15">
        <v>1</v>
      </c>
      <c r="H753" s="15"/>
      <c r="I753" s="15" t="s">
        <v>1505</v>
      </c>
      <c r="J753" s="15">
        <v>23968469</v>
      </c>
      <c r="K753" s="15" t="s">
        <v>616</v>
      </c>
      <c r="L753" s="15" t="s">
        <v>912</v>
      </c>
      <c r="M753" s="16">
        <v>199900</v>
      </c>
      <c r="N753" s="9">
        <v>0.95</v>
      </c>
      <c r="O753" s="8">
        <f t="shared" si="33"/>
        <v>9995</v>
      </c>
      <c r="P753" s="6" t="s">
        <v>15</v>
      </c>
    </row>
    <row r="754" spans="1:16" x14ac:dyDescent="0.25">
      <c r="A754" s="6" t="s">
        <v>3920</v>
      </c>
      <c r="B754" s="7">
        <f t="shared" si="34"/>
        <v>46114</v>
      </c>
      <c r="C754" s="7">
        <f t="shared" si="35"/>
        <v>46120</v>
      </c>
      <c r="D754" s="6">
        <v>3280</v>
      </c>
      <c r="E754" s="6">
        <v>337</v>
      </c>
      <c r="F754" s="6">
        <v>4</v>
      </c>
      <c r="G754" s="15">
        <v>1</v>
      </c>
      <c r="H754" s="15"/>
      <c r="I754" s="15" t="s">
        <v>1505</v>
      </c>
      <c r="J754" s="15">
        <v>23846966</v>
      </c>
      <c r="K754" s="15" t="s">
        <v>639</v>
      </c>
      <c r="L754" s="15" t="s">
        <v>913</v>
      </c>
      <c r="M754" s="16">
        <v>209900</v>
      </c>
      <c r="N754" s="9">
        <v>0.95</v>
      </c>
      <c r="O754" s="8">
        <f t="shared" si="33"/>
        <v>10495</v>
      </c>
      <c r="P754" s="6" t="s">
        <v>15</v>
      </c>
    </row>
    <row r="755" spans="1:16" x14ac:dyDescent="0.25">
      <c r="A755" s="6" t="s">
        <v>3920</v>
      </c>
      <c r="B755" s="7">
        <f t="shared" si="34"/>
        <v>46114</v>
      </c>
      <c r="C755" s="7">
        <f t="shared" si="35"/>
        <v>46120</v>
      </c>
      <c r="D755" s="6">
        <v>3280</v>
      </c>
      <c r="E755" s="6">
        <v>337</v>
      </c>
      <c r="F755" s="6">
        <v>4</v>
      </c>
      <c r="G755" s="15">
        <v>1</v>
      </c>
      <c r="H755" s="15"/>
      <c r="I755" s="15" t="s">
        <v>1505</v>
      </c>
      <c r="J755" s="15">
        <v>24031745</v>
      </c>
      <c r="K755" s="15" t="s">
        <v>848</v>
      </c>
      <c r="L755" s="15" t="s">
        <v>914</v>
      </c>
      <c r="M755" s="16">
        <v>199900</v>
      </c>
      <c r="N755" s="9">
        <v>0.95</v>
      </c>
      <c r="O755" s="8">
        <f t="shared" si="33"/>
        <v>9995</v>
      </c>
      <c r="P755" s="6" t="s">
        <v>15</v>
      </c>
    </row>
    <row r="756" spans="1:16" x14ac:dyDescent="0.25">
      <c r="A756" s="6" t="s">
        <v>3920</v>
      </c>
      <c r="B756" s="7">
        <f t="shared" si="34"/>
        <v>46114</v>
      </c>
      <c r="C756" s="7">
        <f t="shared" si="35"/>
        <v>46120</v>
      </c>
      <c r="D756" s="6">
        <v>3280</v>
      </c>
      <c r="E756" s="6">
        <v>337</v>
      </c>
      <c r="F756" s="6">
        <v>4</v>
      </c>
      <c r="G756" s="15">
        <v>1</v>
      </c>
      <c r="H756" s="15"/>
      <c r="I756" s="15" t="s">
        <v>1505</v>
      </c>
      <c r="J756" s="15">
        <v>23990318</v>
      </c>
      <c r="K756" s="15" t="s">
        <v>762</v>
      </c>
      <c r="L756" s="15" t="s">
        <v>915</v>
      </c>
      <c r="M756" s="16">
        <v>199900</v>
      </c>
      <c r="N756" s="9">
        <v>0.95</v>
      </c>
      <c r="O756" s="8">
        <f t="shared" si="33"/>
        <v>9995</v>
      </c>
      <c r="P756" s="6" t="s">
        <v>15</v>
      </c>
    </row>
    <row r="757" spans="1:16" x14ac:dyDescent="0.25">
      <c r="A757" s="6" t="s">
        <v>3920</v>
      </c>
      <c r="B757" s="7">
        <f t="shared" si="34"/>
        <v>46114</v>
      </c>
      <c r="C757" s="7">
        <f t="shared" si="35"/>
        <v>46120</v>
      </c>
      <c r="D757" s="6">
        <v>3280</v>
      </c>
      <c r="E757" s="6">
        <v>337</v>
      </c>
      <c r="F757" s="6">
        <v>4</v>
      </c>
      <c r="G757" s="15">
        <v>1</v>
      </c>
      <c r="H757" s="15"/>
      <c r="I757" s="15" t="s">
        <v>1505</v>
      </c>
      <c r="J757" s="15">
        <v>24002268</v>
      </c>
      <c r="K757" s="15" t="s">
        <v>827</v>
      </c>
      <c r="L757" s="15" t="s">
        <v>916</v>
      </c>
      <c r="M757" s="16">
        <v>209900</v>
      </c>
      <c r="N757" s="9">
        <v>0.95</v>
      </c>
      <c r="O757" s="8">
        <f t="shared" si="33"/>
        <v>10495</v>
      </c>
      <c r="P757" s="6" t="s">
        <v>15</v>
      </c>
    </row>
    <row r="758" spans="1:16" x14ac:dyDescent="0.25">
      <c r="A758" s="6" t="s">
        <v>3920</v>
      </c>
      <c r="B758" s="7">
        <f t="shared" si="34"/>
        <v>46114</v>
      </c>
      <c r="C758" s="7">
        <f t="shared" si="35"/>
        <v>46120</v>
      </c>
      <c r="D758" s="6">
        <v>3280</v>
      </c>
      <c r="E758" s="6">
        <v>337</v>
      </c>
      <c r="F758" s="6">
        <v>4</v>
      </c>
      <c r="G758" s="15">
        <v>1</v>
      </c>
      <c r="H758" s="15"/>
      <c r="I758" s="15" t="s">
        <v>1505</v>
      </c>
      <c r="J758" s="15">
        <v>23872884</v>
      </c>
      <c r="K758" s="15" t="s">
        <v>703</v>
      </c>
      <c r="L758" s="15" t="s">
        <v>917</v>
      </c>
      <c r="M758" s="16">
        <v>219900</v>
      </c>
      <c r="N758" s="9">
        <v>0.95</v>
      </c>
      <c r="O758" s="8">
        <f t="shared" si="33"/>
        <v>10995</v>
      </c>
      <c r="P758" s="6" t="s">
        <v>15</v>
      </c>
    </row>
    <row r="759" spans="1:16" x14ac:dyDescent="0.25">
      <c r="A759" s="6" t="s">
        <v>3920</v>
      </c>
      <c r="B759" s="7">
        <f t="shared" si="34"/>
        <v>46114</v>
      </c>
      <c r="C759" s="7">
        <f t="shared" si="35"/>
        <v>46120</v>
      </c>
      <c r="D759" s="6">
        <v>3280</v>
      </c>
      <c r="E759" s="6">
        <v>337</v>
      </c>
      <c r="F759" s="6">
        <v>4</v>
      </c>
      <c r="G759" s="15">
        <v>1</v>
      </c>
      <c r="H759" s="15"/>
      <c r="I759" s="15" t="s">
        <v>1505</v>
      </c>
      <c r="J759" s="15">
        <v>23974005</v>
      </c>
      <c r="K759" s="15" t="s">
        <v>746</v>
      </c>
      <c r="L759" s="15" t="s">
        <v>918</v>
      </c>
      <c r="M759" s="16">
        <v>199900</v>
      </c>
      <c r="N759" s="9">
        <v>0.95</v>
      </c>
      <c r="O759" s="8">
        <f t="shared" si="33"/>
        <v>9995</v>
      </c>
      <c r="P759" s="6" t="s">
        <v>15</v>
      </c>
    </row>
    <row r="760" spans="1:16" x14ac:dyDescent="0.25">
      <c r="A760" s="6" t="s">
        <v>3920</v>
      </c>
      <c r="B760" s="7">
        <f t="shared" si="34"/>
        <v>46114</v>
      </c>
      <c r="C760" s="7">
        <f t="shared" si="35"/>
        <v>46120</v>
      </c>
      <c r="D760" s="6">
        <v>3280</v>
      </c>
      <c r="E760" s="6">
        <v>337</v>
      </c>
      <c r="F760" s="6">
        <v>4</v>
      </c>
      <c r="G760" s="15">
        <v>1</v>
      </c>
      <c r="H760" s="15"/>
      <c r="I760" s="15" t="s">
        <v>1505</v>
      </c>
      <c r="J760" s="15">
        <v>23858417</v>
      </c>
      <c r="K760" s="15" t="s">
        <v>658</v>
      </c>
      <c r="L760" s="15" t="s">
        <v>919</v>
      </c>
      <c r="M760" s="16">
        <v>209900</v>
      </c>
      <c r="N760" s="9">
        <v>0.95</v>
      </c>
      <c r="O760" s="8">
        <f t="shared" si="33"/>
        <v>10495</v>
      </c>
      <c r="P760" s="6" t="s">
        <v>15</v>
      </c>
    </row>
    <row r="761" spans="1:16" x14ac:dyDescent="0.25">
      <c r="A761" s="6" t="s">
        <v>3920</v>
      </c>
      <c r="B761" s="7">
        <f t="shared" si="34"/>
        <v>46114</v>
      </c>
      <c r="C761" s="7">
        <f t="shared" si="35"/>
        <v>46120</v>
      </c>
      <c r="D761" s="6">
        <v>3280</v>
      </c>
      <c r="E761" s="6">
        <v>337</v>
      </c>
      <c r="F761" s="6">
        <v>4</v>
      </c>
      <c r="G761" s="15">
        <v>1</v>
      </c>
      <c r="H761" s="15"/>
      <c r="I761" s="15" t="s">
        <v>1505</v>
      </c>
      <c r="J761" s="15">
        <v>24133984</v>
      </c>
      <c r="K761" s="15" t="s">
        <v>870</v>
      </c>
      <c r="L761" s="15" t="s">
        <v>920</v>
      </c>
      <c r="M761" s="16">
        <v>219900</v>
      </c>
      <c r="N761" s="9">
        <v>0.95</v>
      </c>
      <c r="O761" s="8">
        <f t="shared" si="33"/>
        <v>10995</v>
      </c>
      <c r="P761" s="6" t="s">
        <v>15</v>
      </c>
    </row>
    <row r="762" spans="1:16" x14ac:dyDescent="0.25">
      <c r="A762" s="6" t="s">
        <v>3920</v>
      </c>
      <c r="B762" s="7">
        <f t="shared" si="34"/>
        <v>46114</v>
      </c>
      <c r="C762" s="7">
        <f t="shared" si="35"/>
        <v>46120</v>
      </c>
      <c r="D762" s="6">
        <v>3280</v>
      </c>
      <c r="E762" s="6">
        <v>337</v>
      </c>
      <c r="F762" s="6">
        <v>4</v>
      </c>
      <c r="G762" s="15">
        <v>1</v>
      </c>
      <c r="H762" s="15"/>
      <c r="I762" s="15" t="s">
        <v>1505</v>
      </c>
      <c r="J762" s="15">
        <v>24103042</v>
      </c>
      <c r="K762" s="15" t="s">
        <v>857</v>
      </c>
      <c r="L762" s="15" t="s">
        <v>921</v>
      </c>
      <c r="M762" s="16">
        <v>209900</v>
      </c>
      <c r="N762" s="9">
        <v>0.95</v>
      </c>
      <c r="O762" s="8">
        <f t="shared" si="33"/>
        <v>10495</v>
      </c>
      <c r="P762" s="6" t="s">
        <v>15</v>
      </c>
    </row>
    <row r="763" spans="1:16" x14ac:dyDescent="0.25">
      <c r="A763" s="6" t="s">
        <v>3920</v>
      </c>
      <c r="B763" s="7">
        <f t="shared" si="34"/>
        <v>46114</v>
      </c>
      <c r="C763" s="7">
        <f t="shared" si="35"/>
        <v>46120</v>
      </c>
      <c r="D763" s="6">
        <v>3280</v>
      </c>
      <c r="E763" s="6">
        <v>337</v>
      </c>
      <c r="F763" s="6">
        <v>4</v>
      </c>
      <c r="G763" s="15">
        <v>1</v>
      </c>
      <c r="H763" s="15"/>
      <c r="I763" s="15" t="s">
        <v>1505</v>
      </c>
      <c r="J763" s="15">
        <v>24031281</v>
      </c>
      <c r="K763" s="15" t="s">
        <v>845</v>
      </c>
      <c r="L763" s="15" t="s">
        <v>922</v>
      </c>
      <c r="M763" s="16">
        <v>239900</v>
      </c>
      <c r="N763" s="9">
        <v>0.95</v>
      </c>
      <c r="O763" s="8">
        <f t="shared" si="33"/>
        <v>11995</v>
      </c>
      <c r="P763" s="6" t="s">
        <v>15</v>
      </c>
    </row>
    <row r="764" spans="1:16" x14ac:dyDescent="0.25">
      <c r="A764" s="6" t="s">
        <v>3920</v>
      </c>
      <c r="B764" s="7">
        <f t="shared" si="34"/>
        <v>46114</v>
      </c>
      <c r="C764" s="7">
        <f t="shared" si="35"/>
        <v>46120</v>
      </c>
      <c r="D764" s="6">
        <v>3280</v>
      </c>
      <c r="E764" s="6">
        <v>337</v>
      </c>
      <c r="F764" s="6">
        <v>4</v>
      </c>
      <c r="G764" s="15">
        <v>1</v>
      </c>
      <c r="H764" s="15"/>
      <c r="I764" s="15" t="s">
        <v>1505</v>
      </c>
      <c r="J764" s="15">
        <v>23969100</v>
      </c>
      <c r="K764" s="15" t="s">
        <v>896</v>
      </c>
      <c r="L764" s="15" t="s">
        <v>923</v>
      </c>
      <c r="M764" s="16">
        <v>209900</v>
      </c>
      <c r="N764" s="9">
        <v>0.95</v>
      </c>
      <c r="O764" s="8">
        <f t="shared" si="33"/>
        <v>10495</v>
      </c>
      <c r="P764" s="6" t="s">
        <v>15</v>
      </c>
    </row>
    <row r="765" spans="1:16" x14ac:dyDescent="0.25">
      <c r="A765" s="6" t="s">
        <v>3920</v>
      </c>
      <c r="B765" s="7">
        <f t="shared" si="34"/>
        <v>46114</v>
      </c>
      <c r="C765" s="7">
        <f t="shared" si="35"/>
        <v>46120</v>
      </c>
      <c r="D765" s="6">
        <v>3280</v>
      </c>
      <c r="E765" s="6">
        <v>337</v>
      </c>
      <c r="F765" s="6">
        <v>4</v>
      </c>
      <c r="G765" s="15">
        <v>1</v>
      </c>
      <c r="H765" s="15"/>
      <c r="I765" s="15" t="s">
        <v>1505</v>
      </c>
      <c r="J765" s="15">
        <v>23844600</v>
      </c>
      <c r="K765" s="15" t="s">
        <v>629</v>
      </c>
      <c r="L765" s="15" t="s">
        <v>924</v>
      </c>
      <c r="M765" s="16">
        <v>209900</v>
      </c>
      <c r="N765" s="9">
        <v>0.95</v>
      </c>
      <c r="O765" s="8">
        <f t="shared" si="33"/>
        <v>10495</v>
      </c>
      <c r="P765" s="6" t="s">
        <v>15</v>
      </c>
    </row>
    <row r="766" spans="1:16" x14ac:dyDescent="0.25">
      <c r="A766" s="6" t="s">
        <v>3920</v>
      </c>
      <c r="B766" s="7">
        <f t="shared" si="34"/>
        <v>46114</v>
      </c>
      <c r="C766" s="7">
        <f t="shared" si="35"/>
        <v>46120</v>
      </c>
      <c r="D766" s="6">
        <v>3280</v>
      </c>
      <c r="E766" s="6">
        <v>337</v>
      </c>
      <c r="F766" s="6">
        <v>4</v>
      </c>
      <c r="G766" s="15">
        <v>1</v>
      </c>
      <c r="H766" s="15"/>
      <c r="I766" s="15" t="s">
        <v>1505</v>
      </c>
      <c r="J766" s="15">
        <v>24032744</v>
      </c>
      <c r="K766" s="15" t="s">
        <v>925</v>
      </c>
      <c r="L766" s="15" t="s">
        <v>926</v>
      </c>
      <c r="M766" s="16">
        <v>249900</v>
      </c>
      <c r="N766" s="9">
        <v>0.95</v>
      </c>
      <c r="O766" s="8">
        <f t="shared" si="33"/>
        <v>12495</v>
      </c>
      <c r="P766" s="6" t="s">
        <v>15</v>
      </c>
    </row>
    <row r="767" spans="1:16" x14ac:dyDescent="0.25">
      <c r="A767" s="6" t="s">
        <v>3920</v>
      </c>
      <c r="B767" s="7">
        <f t="shared" si="34"/>
        <v>46114</v>
      </c>
      <c r="C767" s="7">
        <f t="shared" si="35"/>
        <v>46120</v>
      </c>
      <c r="D767" s="6">
        <v>3280</v>
      </c>
      <c r="E767" s="6">
        <v>337</v>
      </c>
      <c r="F767" s="6">
        <v>4</v>
      </c>
      <c r="G767" s="15">
        <v>1</v>
      </c>
      <c r="H767" s="15"/>
      <c r="I767" s="15" t="s">
        <v>1505</v>
      </c>
      <c r="J767" s="15">
        <v>23858248</v>
      </c>
      <c r="K767" s="15" t="s">
        <v>654</v>
      </c>
      <c r="L767" s="15" t="s">
        <v>927</v>
      </c>
      <c r="M767" s="16">
        <v>219900</v>
      </c>
      <c r="N767" s="9">
        <v>0.95</v>
      </c>
      <c r="O767" s="8">
        <f t="shared" si="33"/>
        <v>10995</v>
      </c>
      <c r="P767" s="6" t="s">
        <v>15</v>
      </c>
    </row>
    <row r="768" spans="1:16" x14ac:dyDescent="0.25">
      <c r="A768" s="6" t="s">
        <v>3920</v>
      </c>
      <c r="B768" s="7">
        <f t="shared" si="34"/>
        <v>46114</v>
      </c>
      <c r="C768" s="7">
        <f t="shared" si="35"/>
        <v>46120</v>
      </c>
      <c r="D768" s="6">
        <v>3280</v>
      </c>
      <c r="E768" s="6">
        <v>337</v>
      </c>
      <c r="F768" s="6">
        <v>4</v>
      </c>
      <c r="G768" s="15">
        <v>1</v>
      </c>
      <c r="H768" s="15"/>
      <c r="I768" s="15" t="s">
        <v>1505</v>
      </c>
      <c r="J768" s="15">
        <v>23968558</v>
      </c>
      <c r="K768" s="15" t="s">
        <v>622</v>
      </c>
      <c r="L768" s="15" t="s">
        <v>928</v>
      </c>
      <c r="M768" s="16">
        <v>209900</v>
      </c>
      <c r="N768" s="9">
        <v>0.95</v>
      </c>
      <c r="O768" s="8">
        <f t="shared" si="33"/>
        <v>10495</v>
      </c>
      <c r="P768" s="6" t="s">
        <v>15</v>
      </c>
    </row>
    <row r="769" spans="1:16" x14ac:dyDescent="0.25">
      <c r="A769" s="6" t="s">
        <v>3920</v>
      </c>
      <c r="B769" s="7">
        <f t="shared" si="34"/>
        <v>46114</v>
      </c>
      <c r="C769" s="7">
        <f t="shared" si="35"/>
        <v>46120</v>
      </c>
      <c r="D769" s="6">
        <v>3280</v>
      </c>
      <c r="E769" s="6">
        <v>337</v>
      </c>
      <c r="F769" s="6">
        <v>4</v>
      </c>
      <c r="G769" s="15">
        <v>1</v>
      </c>
      <c r="H769" s="15"/>
      <c r="I769" s="15" t="s">
        <v>1505</v>
      </c>
      <c r="J769" s="15">
        <v>23969093</v>
      </c>
      <c r="K769" s="15" t="s">
        <v>896</v>
      </c>
      <c r="L769" s="15" t="s">
        <v>929</v>
      </c>
      <c r="M769" s="16">
        <v>199900</v>
      </c>
      <c r="N769" s="9">
        <v>0.95</v>
      </c>
      <c r="O769" s="8">
        <f t="shared" si="33"/>
        <v>9995</v>
      </c>
      <c r="P769" s="6" t="s">
        <v>15</v>
      </c>
    </row>
    <row r="770" spans="1:16" x14ac:dyDescent="0.25">
      <c r="A770" s="6" t="s">
        <v>3920</v>
      </c>
      <c r="B770" s="7">
        <f t="shared" si="34"/>
        <v>46114</v>
      </c>
      <c r="C770" s="7">
        <f t="shared" si="35"/>
        <v>46120</v>
      </c>
      <c r="D770" s="6">
        <v>3280</v>
      </c>
      <c r="E770" s="6">
        <v>337</v>
      </c>
      <c r="F770" s="6">
        <v>4</v>
      </c>
      <c r="G770" s="15">
        <v>1</v>
      </c>
      <c r="H770" s="15"/>
      <c r="I770" s="15" t="s">
        <v>1505</v>
      </c>
      <c r="J770" s="15">
        <v>23934281</v>
      </c>
      <c r="K770" s="15" t="s">
        <v>728</v>
      </c>
      <c r="L770" s="15" t="s">
        <v>930</v>
      </c>
      <c r="M770" s="16">
        <v>199900</v>
      </c>
      <c r="N770" s="9">
        <v>0.95</v>
      </c>
      <c r="O770" s="8">
        <f t="shared" ref="O770:O833" si="36">M770-((95*M770)/100)</f>
        <v>9995</v>
      </c>
      <c r="P770" s="6" t="s">
        <v>15</v>
      </c>
    </row>
    <row r="771" spans="1:16" x14ac:dyDescent="0.25">
      <c r="A771" s="6" t="s">
        <v>3920</v>
      </c>
      <c r="B771" s="7">
        <f t="shared" si="34"/>
        <v>46114</v>
      </c>
      <c r="C771" s="7">
        <f t="shared" si="35"/>
        <v>46120</v>
      </c>
      <c r="D771" s="6">
        <v>3280</v>
      </c>
      <c r="E771" s="6">
        <v>337</v>
      </c>
      <c r="F771" s="6">
        <v>4</v>
      </c>
      <c r="G771" s="15">
        <v>1</v>
      </c>
      <c r="H771" s="15"/>
      <c r="I771" s="15" t="s">
        <v>1505</v>
      </c>
      <c r="J771" s="15">
        <v>23934647</v>
      </c>
      <c r="K771" s="15" t="s">
        <v>931</v>
      </c>
      <c r="L771" s="15" t="s">
        <v>932</v>
      </c>
      <c r="M771" s="16">
        <v>199900</v>
      </c>
      <c r="N771" s="9">
        <v>0.95</v>
      </c>
      <c r="O771" s="8">
        <f t="shared" si="36"/>
        <v>9995</v>
      </c>
      <c r="P771" s="6" t="s">
        <v>15</v>
      </c>
    </row>
    <row r="772" spans="1:16" x14ac:dyDescent="0.25">
      <c r="A772" s="6" t="s">
        <v>3920</v>
      </c>
      <c r="B772" s="7">
        <f t="shared" ref="B772:B835" si="37">B771</f>
        <v>46114</v>
      </c>
      <c r="C772" s="7">
        <f t="shared" ref="C772:C835" si="38">C771</f>
        <v>46120</v>
      </c>
      <c r="D772" s="6">
        <v>3280</v>
      </c>
      <c r="E772" s="6">
        <v>337</v>
      </c>
      <c r="F772" s="6">
        <v>4</v>
      </c>
      <c r="G772" s="15">
        <v>1</v>
      </c>
      <c r="H772" s="15"/>
      <c r="I772" s="15" t="s">
        <v>1505</v>
      </c>
      <c r="J772" s="15">
        <v>23968807</v>
      </c>
      <c r="K772" s="15" t="s">
        <v>614</v>
      </c>
      <c r="L772" s="15" t="s">
        <v>933</v>
      </c>
      <c r="M772" s="16">
        <v>199900</v>
      </c>
      <c r="N772" s="9">
        <v>0.95</v>
      </c>
      <c r="O772" s="8">
        <f t="shared" si="36"/>
        <v>9995</v>
      </c>
      <c r="P772" s="6" t="s">
        <v>15</v>
      </c>
    </row>
    <row r="773" spans="1:16" x14ac:dyDescent="0.25">
      <c r="A773" s="6" t="s">
        <v>3920</v>
      </c>
      <c r="B773" s="7">
        <f t="shared" si="37"/>
        <v>46114</v>
      </c>
      <c r="C773" s="7">
        <f t="shared" si="38"/>
        <v>46120</v>
      </c>
      <c r="D773" s="6">
        <v>3280</v>
      </c>
      <c r="E773" s="6">
        <v>337</v>
      </c>
      <c r="F773" s="6">
        <v>4</v>
      </c>
      <c r="G773" s="15">
        <v>1</v>
      </c>
      <c r="H773" s="15"/>
      <c r="I773" s="15" t="s">
        <v>1505</v>
      </c>
      <c r="J773" s="15">
        <v>23932318</v>
      </c>
      <c r="K773" s="15" t="s">
        <v>726</v>
      </c>
      <c r="L773" s="15" t="s">
        <v>934</v>
      </c>
      <c r="M773" s="16">
        <v>209900</v>
      </c>
      <c r="N773" s="9">
        <v>0.95</v>
      </c>
      <c r="O773" s="8">
        <f t="shared" si="36"/>
        <v>10495</v>
      </c>
      <c r="P773" s="6" t="s">
        <v>15</v>
      </c>
    </row>
    <row r="774" spans="1:16" x14ac:dyDescent="0.25">
      <c r="A774" s="6" t="s">
        <v>3920</v>
      </c>
      <c r="B774" s="7">
        <f t="shared" si="37"/>
        <v>46114</v>
      </c>
      <c r="C774" s="7">
        <f t="shared" si="38"/>
        <v>46120</v>
      </c>
      <c r="D774" s="6">
        <v>3280</v>
      </c>
      <c r="E774" s="6">
        <v>337</v>
      </c>
      <c r="F774" s="6">
        <v>4</v>
      </c>
      <c r="G774" s="15">
        <v>1</v>
      </c>
      <c r="H774" s="15"/>
      <c r="I774" s="15" t="s">
        <v>1505</v>
      </c>
      <c r="J774" s="15">
        <v>23934272</v>
      </c>
      <c r="K774" s="15" t="s">
        <v>728</v>
      </c>
      <c r="L774" s="15" t="s">
        <v>935</v>
      </c>
      <c r="M774" s="16">
        <v>199900</v>
      </c>
      <c r="N774" s="9">
        <v>0.95</v>
      </c>
      <c r="O774" s="8">
        <f t="shared" si="36"/>
        <v>9995</v>
      </c>
      <c r="P774" s="6" t="s">
        <v>15</v>
      </c>
    </row>
    <row r="775" spans="1:16" x14ac:dyDescent="0.25">
      <c r="A775" s="6" t="s">
        <v>3920</v>
      </c>
      <c r="B775" s="7">
        <f t="shared" si="37"/>
        <v>46114</v>
      </c>
      <c r="C775" s="7">
        <f t="shared" si="38"/>
        <v>46120</v>
      </c>
      <c r="D775" s="6">
        <v>3280</v>
      </c>
      <c r="E775" s="6">
        <v>337</v>
      </c>
      <c r="F775" s="6">
        <v>4</v>
      </c>
      <c r="G775" s="15">
        <v>1</v>
      </c>
      <c r="H775" s="15"/>
      <c r="I775" s="15" t="s">
        <v>1505</v>
      </c>
      <c r="J775" s="15">
        <v>23858408</v>
      </c>
      <c r="K775" s="15" t="s">
        <v>658</v>
      </c>
      <c r="L775" s="15" t="s">
        <v>936</v>
      </c>
      <c r="M775" s="16">
        <v>209900</v>
      </c>
      <c r="N775" s="9">
        <v>0.95</v>
      </c>
      <c r="O775" s="8">
        <f t="shared" si="36"/>
        <v>10495</v>
      </c>
      <c r="P775" s="6" t="s">
        <v>15</v>
      </c>
    </row>
    <row r="776" spans="1:16" x14ac:dyDescent="0.25">
      <c r="A776" s="6" t="s">
        <v>3920</v>
      </c>
      <c r="B776" s="7">
        <f t="shared" si="37"/>
        <v>46114</v>
      </c>
      <c r="C776" s="7">
        <f t="shared" si="38"/>
        <v>46120</v>
      </c>
      <c r="D776" s="6">
        <v>3280</v>
      </c>
      <c r="E776" s="6">
        <v>337</v>
      </c>
      <c r="F776" s="6">
        <v>4</v>
      </c>
      <c r="G776" s="15">
        <v>1</v>
      </c>
      <c r="H776" s="15"/>
      <c r="I776" s="15" t="s">
        <v>1505</v>
      </c>
      <c r="J776" s="15">
        <v>23996072</v>
      </c>
      <c r="K776" s="15" t="s">
        <v>787</v>
      </c>
      <c r="L776" s="15" t="s">
        <v>937</v>
      </c>
      <c r="M776" s="16">
        <v>199900</v>
      </c>
      <c r="N776" s="9">
        <v>0.95</v>
      </c>
      <c r="O776" s="8">
        <f t="shared" si="36"/>
        <v>9995</v>
      </c>
      <c r="P776" s="6" t="s">
        <v>15</v>
      </c>
    </row>
    <row r="777" spans="1:16" x14ac:dyDescent="0.25">
      <c r="A777" s="6" t="s">
        <v>3920</v>
      </c>
      <c r="B777" s="7">
        <f t="shared" si="37"/>
        <v>46114</v>
      </c>
      <c r="C777" s="7">
        <f t="shared" si="38"/>
        <v>46120</v>
      </c>
      <c r="D777" s="6">
        <v>3280</v>
      </c>
      <c r="E777" s="6">
        <v>337</v>
      </c>
      <c r="F777" s="6">
        <v>4</v>
      </c>
      <c r="G777" s="15">
        <v>1</v>
      </c>
      <c r="H777" s="15"/>
      <c r="I777" s="15" t="s">
        <v>1505</v>
      </c>
      <c r="J777" s="15">
        <v>24030415</v>
      </c>
      <c r="K777" s="15" t="s">
        <v>839</v>
      </c>
      <c r="L777" s="15" t="s">
        <v>938</v>
      </c>
      <c r="M777" s="16">
        <v>299900</v>
      </c>
      <c r="N777" s="9">
        <v>0.95</v>
      </c>
      <c r="O777" s="8">
        <f t="shared" si="36"/>
        <v>14995</v>
      </c>
      <c r="P777" s="6" t="s">
        <v>15</v>
      </c>
    </row>
    <row r="778" spans="1:16" x14ac:dyDescent="0.25">
      <c r="A778" s="6" t="s">
        <v>3920</v>
      </c>
      <c r="B778" s="7">
        <f t="shared" si="37"/>
        <v>46114</v>
      </c>
      <c r="C778" s="7">
        <f t="shared" si="38"/>
        <v>46120</v>
      </c>
      <c r="D778" s="6">
        <v>3280</v>
      </c>
      <c r="E778" s="6">
        <v>337</v>
      </c>
      <c r="F778" s="6">
        <v>4</v>
      </c>
      <c r="G778" s="15">
        <v>1</v>
      </c>
      <c r="H778" s="15"/>
      <c r="I778" s="15" t="s">
        <v>1505</v>
      </c>
      <c r="J778" s="15">
        <v>23831356</v>
      </c>
      <c r="K778" s="15" t="s">
        <v>625</v>
      </c>
      <c r="L778" s="15" t="s">
        <v>939</v>
      </c>
      <c r="M778" s="16">
        <v>189900</v>
      </c>
      <c r="N778" s="9">
        <v>0.95</v>
      </c>
      <c r="O778" s="8">
        <f t="shared" si="36"/>
        <v>9495</v>
      </c>
      <c r="P778" s="6" t="s">
        <v>15</v>
      </c>
    </row>
    <row r="779" spans="1:16" x14ac:dyDescent="0.25">
      <c r="A779" s="6" t="s">
        <v>3920</v>
      </c>
      <c r="B779" s="7">
        <f t="shared" si="37"/>
        <v>46114</v>
      </c>
      <c r="C779" s="7">
        <f t="shared" si="38"/>
        <v>46120</v>
      </c>
      <c r="D779" s="6">
        <v>3280</v>
      </c>
      <c r="E779" s="6">
        <v>337</v>
      </c>
      <c r="F779" s="6">
        <v>4</v>
      </c>
      <c r="G779" s="15">
        <v>1</v>
      </c>
      <c r="H779" s="15"/>
      <c r="I779" s="15" t="s">
        <v>1505</v>
      </c>
      <c r="J779" s="15">
        <v>23926736</v>
      </c>
      <c r="K779" s="15" t="s">
        <v>714</v>
      </c>
      <c r="L779" s="15" t="s">
        <v>940</v>
      </c>
      <c r="M779" s="16">
        <v>199900</v>
      </c>
      <c r="N779" s="9">
        <v>0.95</v>
      </c>
      <c r="O779" s="8">
        <f t="shared" si="36"/>
        <v>9995</v>
      </c>
      <c r="P779" s="6" t="s">
        <v>15</v>
      </c>
    </row>
    <row r="780" spans="1:16" x14ac:dyDescent="0.25">
      <c r="A780" s="6" t="s">
        <v>3920</v>
      </c>
      <c r="B780" s="7">
        <f t="shared" si="37"/>
        <v>46114</v>
      </c>
      <c r="C780" s="7">
        <f t="shared" si="38"/>
        <v>46120</v>
      </c>
      <c r="D780" s="6">
        <v>3280</v>
      </c>
      <c r="E780" s="6">
        <v>337</v>
      </c>
      <c r="F780" s="6">
        <v>4</v>
      </c>
      <c r="G780" s="15">
        <v>1</v>
      </c>
      <c r="H780" s="15"/>
      <c r="I780" s="15" t="s">
        <v>1505</v>
      </c>
      <c r="J780" s="15">
        <v>23926905</v>
      </c>
      <c r="K780" s="15" t="s">
        <v>907</v>
      </c>
      <c r="L780" s="15" t="s">
        <v>941</v>
      </c>
      <c r="M780" s="16">
        <v>189900</v>
      </c>
      <c r="N780" s="9">
        <v>0.95</v>
      </c>
      <c r="O780" s="8">
        <f t="shared" si="36"/>
        <v>9495</v>
      </c>
      <c r="P780" s="6" t="s">
        <v>15</v>
      </c>
    </row>
    <row r="781" spans="1:16" x14ac:dyDescent="0.25">
      <c r="A781" s="6" t="s">
        <v>3920</v>
      </c>
      <c r="B781" s="7">
        <f t="shared" si="37"/>
        <v>46114</v>
      </c>
      <c r="C781" s="7">
        <f t="shared" si="38"/>
        <v>46120</v>
      </c>
      <c r="D781" s="6">
        <v>3280</v>
      </c>
      <c r="E781" s="6">
        <v>337</v>
      </c>
      <c r="F781" s="6">
        <v>4</v>
      </c>
      <c r="G781" s="15">
        <v>1</v>
      </c>
      <c r="H781" s="15"/>
      <c r="I781" s="15" t="s">
        <v>1505</v>
      </c>
      <c r="J781" s="15">
        <v>23872491</v>
      </c>
      <c r="K781" s="15" t="s">
        <v>697</v>
      </c>
      <c r="L781" s="15" t="s">
        <v>942</v>
      </c>
      <c r="M781" s="16">
        <v>199900</v>
      </c>
      <c r="N781" s="9">
        <v>0.95</v>
      </c>
      <c r="O781" s="8">
        <f t="shared" si="36"/>
        <v>9995</v>
      </c>
      <c r="P781" s="6" t="s">
        <v>15</v>
      </c>
    </row>
    <row r="782" spans="1:16" x14ac:dyDescent="0.25">
      <c r="A782" s="6" t="s">
        <v>3920</v>
      </c>
      <c r="B782" s="7">
        <f t="shared" si="37"/>
        <v>46114</v>
      </c>
      <c r="C782" s="7">
        <f t="shared" si="38"/>
        <v>46120</v>
      </c>
      <c r="D782" s="6">
        <v>3280</v>
      </c>
      <c r="E782" s="6">
        <v>337</v>
      </c>
      <c r="F782" s="6">
        <v>4</v>
      </c>
      <c r="G782" s="15">
        <v>1</v>
      </c>
      <c r="H782" s="15"/>
      <c r="I782" s="15" t="s">
        <v>1505</v>
      </c>
      <c r="J782" s="15">
        <v>24117733</v>
      </c>
      <c r="K782" s="15" t="s">
        <v>865</v>
      </c>
      <c r="L782" s="15" t="s">
        <v>943</v>
      </c>
      <c r="M782" s="16">
        <v>209900</v>
      </c>
      <c r="N782" s="9">
        <v>0.95</v>
      </c>
      <c r="O782" s="8">
        <f t="shared" si="36"/>
        <v>10495</v>
      </c>
      <c r="P782" s="6" t="s">
        <v>15</v>
      </c>
    </row>
    <row r="783" spans="1:16" x14ac:dyDescent="0.25">
      <c r="A783" s="6" t="s">
        <v>3920</v>
      </c>
      <c r="B783" s="7">
        <f t="shared" si="37"/>
        <v>46114</v>
      </c>
      <c r="C783" s="7">
        <f t="shared" si="38"/>
        <v>46120</v>
      </c>
      <c r="D783" s="6">
        <v>3280</v>
      </c>
      <c r="E783" s="6">
        <v>337</v>
      </c>
      <c r="F783" s="6">
        <v>4</v>
      </c>
      <c r="G783" s="15">
        <v>1</v>
      </c>
      <c r="H783" s="15"/>
      <c r="I783" s="15" t="s">
        <v>1505</v>
      </c>
      <c r="J783" s="15">
        <v>23974158</v>
      </c>
      <c r="K783" s="15" t="s">
        <v>750</v>
      </c>
      <c r="L783" s="15" t="s">
        <v>944</v>
      </c>
      <c r="M783" s="16">
        <v>199900</v>
      </c>
      <c r="N783" s="9">
        <v>0.95</v>
      </c>
      <c r="O783" s="8">
        <f t="shared" si="36"/>
        <v>9995</v>
      </c>
      <c r="P783" s="6" t="s">
        <v>15</v>
      </c>
    </row>
    <row r="784" spans="1:16" x14ac:dyDescent="0.25">
      <c r="A784" s="6" t="s">
        <v>3920</v>
      </c>
      <c r="B784" s="7">
        <f t="shared" si="37"/>
        <v>46114</v>
      </c>
      <c r="C784" s="7">
        <f t="shared" si="38"/>
        <v>46120</v>
      </c>
      <c r="D784" s="6">
        <v>3280</v>
      </c>
      <c r="E784" s="6">
        <v>337</v>
      </c>
      <c r="F784" s="6">
        <v>4</v>
      </c>
      <c r="G784" s="15">
        <v>1</v>
      </c>
      <c r="H784" s="15"/>
      <c r="I784" s="15" t="s">
        <v>1505</v>
      </c>
      <c r="J784" s="15">
        <v>23861832</v>
      </c>
      <c r="K784" s="15" t="s">
        <v>884</v>
      </c>
      <c r="L784" s="15" t="s">
        <v>945</v>
      </c>
      <c r="M784" s="16">
        <v>239900</v>
      </c>
      <c r="N784" s="9">
        <v>0.95</v>
      </c>
      <c r="O784" s="8">
        <f t="shared" si="36"/>
        <v>11995</v>
      </c>
      <c r="P784" s="6" t="s">
        <v>15</v>
      </c>
    </row>
    <row r="785" spans="1:16" x14ac:dyDescent="0.25">
      <c r="A785" s="6" t="s">
        <v>3920</v>
      </c>
      <c r="B785" s="7">
        <f t="shared" si="37"/>
        <v>46114</v>
      </c>
      <c r="C785" s="7">
        <f t="shared" si="38"/>
        <v>46120</v>
      </c>
      <c r="D785" s="6">
        <v>3280</v>
      </c>
      <c r="E785" s="6">
        <v>337</v>
      </c>
      <c r="F785" s="6">
        <v>4</v>
      </c>
      <c r="G785" s="15">
        <v>1</v>
      </c>
      <c r="H785" s="15"/>
      <c r="I785" s="15" t="s">
        <v>1505</v>
      </c>
      <c r="J785" s="15">
        <v>24031316</v>
      </c>
      <c r="K785" s="15" t="s">
        <v>845</v>
      </c>
      <c r="L785" s="15" t="s">
        <v>946</v>
      </c>
      <c r="M785" s="16">
        <v>249900</v>
      </c>
      <c r="N785" s="9">
        <v>0.95</v>
      </c>
      <c r="O785" s="8">
        <f t="shared" si="36"/>
        <v>12495</v>
      </c>
      <c r="P785" s="6" t="s">
        <v>15</v>
      </c>
    </row>
    <row r="786" spans="1:16" x14ac:dyDescent="0.25">
      <c r="A786" s="6" t="s">
        <v>3920</v>
      </c>
      <c r="B786" s="7">
        <f t="shared" si="37"/>
        <v>46114</v>
      </c>
      <c r="C786" s="7">
        <f t="shared" si="38"/>
        <v>46120</v>
      </c>
      <c r="D786" s="6">
        <v>3280</v>
      </c>
      <c r="E786" s="6">
        <v>337</v>
      </c>
      <c r="F786" s="6">
        <v>4</v>
      </c>
      <c r="G786" s="15">
        <v>1</v>
      </c>
      <c r="H786" s="15"/>
      <c r="I786" s="15" t="s">
        <v>1505</v>
      </c>
      <c r="J786" s="15">
        <v>24031263</v>
      </c>
      <c r="K786" s="15" t="s">
        <v>845</v>
      </c>
      <c r="L786" s="15" t="s">
        <v>947</v>
      </c>
      <c r="M786" s="16">
        <v>239900</v>
      </c>
      <c r="N786" s="9">
        <v>0.95</v>
      </c>
      <c r="O786" s="8">
        <f t="shared" si="36"/>
        <v>11995</v>
      </c>
      <c r="P786" s="6" t="s">
        <v>15</v>
      </c>
    </row>
    <row r="787" spans="1:16" x14ac:dyDescent="0.25">
      <c r="A787" s="6" t="s">
        <v>3920</v>
      </c>
      <c r="B787" s="7">
        <f t="shared" si="37"/>
        <v>46114</v>
      </c>
      <c r="C787" s="7">
        <f t="shared" si="38"/>
        <v>46120</v>
      </c>
      <c r="D787" s="6">
        <v>3280</v>
      </c>
      <c r="E787" s="6">
        <v>337</v>
      </c>
      <c r="F787" s="6">
        <v>4</v>
      </c>
      <c r="G787" s="15">
        <v>1</v>
      </c>
      <c r="H787" s="15"/>
      <c r="I787" s="15" t="s">
        <v>1505</v>
      </c>
      <c r="J787" s="15">
        <v>23990872</v>
      </c>
      <c r="K787" s="15" t="s">
        <v>782</v>
      </c>
      <c r="L787" s="15" t="s">
        <v>948</v>
      </c>
      <c r="M787" s="16">
        <v>199900</v>
      </c>
      <c r="N787" s="9">
        <v>0.95</v>
      </c>
      <c r="O787" s="8">
        <f t="shared" si="36"/>
        <v>9995</v>
      </c>
      <c r="P787" s="6" t="s">
        <v>15</v>
      </c>
    </row>
    <row r="788" spans="1:16" x14ac:dyDescent="0.25">
      <c r="A788" s="6" t="s">
        <v>3920</v>
      </c>
      <c r="B788" s="7">
        <f t="shared" si="37"/>
        <v>46114</v>
      </c>
      <c r="C788" s="7">
        <f t="shared" si="38"/>
        <v>46120</v>
      </c>
      <c r="D788" s="6">
        <v>3280</v>
      </c>
      <c r="E788" s="6">
        <v>337</v>
      </c>
      <c r="F788" s="6">
        <v>4</v>
      </c>
      <c r="G788" s="15">
        <v>1</v>
      </c>
      <c r="H788" s="15"/>
      <c r="I788" s="15" t="s">
        <v>1505</v>
      </c>
      <c r="J788" s="15">
        <v>23861814</v>
      </c>
      <c r="K788" s="15" t="s">
        <v>884</v>
      </c>
      <c r="L788" s="15" t="s">
        <v>949</v>
      </c>
      <c r="M788" s="16">
        <v>239900</v>
      </c>
      <c r="N788" s="9">
        <v>0.95</v>
      </c>
      <c r="O788" s="8">
        <f t="shared" si="36"/>
        <v>11995</v>
      </c>
      <c r="P788" s="6" t="s">
        <v>15</v>
      </c>
    </row>
    <row r="789" spans="1:16" x14ac:dyDescent="0.25">
      <c r="A789" s="6" t="s">
        <v>3920</v>
      </c>
      <c r="B789" s="7">
        <f t="shared" si="37"/>
        <v>46114</v>
      </c>
      <c r="C789" s="7">
        <f t="shared" si="38"/>
        <v>46120</v>
      </c>
      <c r="D789" s="6">
        <v>3280</v>
      </c>
      <c r="E789" s="6">
        <v>337</v>
      </c>
      <c r="F789" s="6">
        <v>4</v>
      </c>
      <c r="G789" s="15">
        <v>1</v>
      </c>
      <c r="H789" s="15"/>
      <c r="I789" s="15" t="s">
        <v>1505</v>
      </c>
      <c r="J789" s="15">
        <v>23858088</v>
      </c>
      <c r="K789" s="15" t="s">
        <v>650</v>
      </c>
      <c r="L789" s="15" t="s">
        <v>950</v>
      </c>
      <c r="M789" s="16">
        <v>209900</v>
      </c>
      <c r="N789" s="9">
        <v>0.95</v>
      </c>
      <c r="O789" s="8">
        <f t="shared" si="36"/>
        <v>10495</v>
      </c>
      <c r="P789" s="6" t="s">
        <v>15</v>
      </c>
    </row>
    <row r="790" spans="1:16" x14ac:dyDescent="0.25">
      <c r="A790" s="6" t="s">
        <v>3920</v>
      </c>
      <c r="B790" s="7">
        <f t="shared" si="37"/>
        <v>46114</v>
      </c>
      <c r="C790" s="7">
        <f t="shared" si="38"/>
        <v>46120</v>
      </c>
      <c r="D790" s="6">
        <v>3280</v>
      </c>
      <c r="E790" s="6">
        <v>337</v>
      </c>
      <c r="F790" s="6">
        <v>4</v>
      </c>
      <c r="G790" s="15">
        <v>1</v>
      </c>
      <c r="H790" s="15"/>
      <c r="I790" s="15" t="s">
        <v>1505</v>
      </c>
      <c r="J790" s="15">
        <v>24103024</v>
      </c>
      <c r="K790" s="15" t="s">
        <v>853</v>
      </c>
      <c r="L790" s="15" t="s">
        <v>951</v>
      </c>
      <c r="M790" s="16">
        <v>249900</v>
      </c>
      <c r="N790" s="9">
        <v>0.95</v>
      </c>
      <c r="O790" s="8">
        <f t="shared" si="36"/>
        <v>12495</v>
      </c>
      <c r="P790" s="6" t="s">
        <v>15</v>
      </c>
    </row>
    <row r="791" spans="1:16" x14ac:dyDescent="0.25">
      <c r="A791" s="6" t="s">
        <v>3920</v>
      </c>
      <c r="B791" s="7">
        <f t="shared" si="37"/>
        <v>46114</v>
      </c>
      <c r="C791" s="7">
        <f t="shared" si="38"/>
        <v>46120</v>
      </c>
      <c r="D791" s="6">
        <v>3280</v>
      </c>
      <c r="E791" s="6">
        <v>337</v>
      </c>
      <c r="F791" s="6">
        <v>4</v>
      </c>
      <c r="G791" s="15">
        <v>1</v>
      </c>
      <c r="H791" s="15"/>
      <c r="I791" s="15" t="s">
        <v>1505</v>
      </c>
      <c r="J791" s="15">
        <v>23926969</v>
      </c>
      <c r="K791" s="15" t="s">
        <v>716</v>
      </c>
      <c r="L791" s="15" t="s">
        <v>952</v>
      </c>
      <c r="M791" s="16">
        <v>189900</v>
      </c>
      <c r="N791" s="9">
        <v>0.95</v>
      </c>
      <c r="O791" s="8">
        <f t="shared" si="36"/>
        <v>9495</v>
      </c>
      <c r="P791" s="6" t="s">
        <v>15</v>
      </c>
    </row>
    <row r="792" spans="1:16" x14ac:dyDescent="0.25">
      <c r="A792" s="6" t="s">
        <v>3920</v>
      </c>
      <c r="B792" s="7">
        <f t="shared" si="37"/>
        <v>46114</v>
      </c>
      <c r="C792" s="7">
        <f t="shared" si="38"/>
        <v>46120</v>
      </c>
      <c r="D792" s="6">
        <v>3280</v>
      </c>
      <c r="E792" s="6">
        <v>337</v>
      </c>
      <c r="F792" s="6">
        <v>4</v>
      </c>
      <c r="G792" s="15">
        <v>1</v>
      </c>
      <c r="H792" s="15"/>
      <c r="I792" s="15" t="s">
        <v>1505</v>
      </c>
      <c r="J792" s="15">
        <v>23986065</v>
      </c>
      <c r="K792" s="15" t="s">
        <v>760</v>
      </c>
      <c r="L792" s="15" t="s">
        <v>953</v>
      </c>
      <c r="M792" s="16">
        <v>209900</v>
      </c>
      <c r="N792" s="9">
        <v>0.95</v>
      </c>
      <c r="O792" s="8">
        <f t="shared" si="36"/>
        <v>10495</v>
      </c>
      <c r="P792" s="6" t="s">
        <v>15</v>
      </c>
    </row>
    <row r="793" spans="1:16" x14ac:dyDescent="0.25">
      <c r="A793" s="6" t="s">
        <v>3920</v>
      </c>
      <c r="B793" s="7">
        <f t="shared" si="37"/>
        <v>46114</v>
      </c>
      <c r="C793" s="7">
        <f t="shared" si="38"/>
        <v>46120</v>
      </c>
      <c r="D793" s="6">
        <v>3280</v>
      </c>
      <c r="E793" s="6">
        <v>337</v>
      </c>
      <c r="F793" s="6">
        <v>4</v>
      </c>
      <c r="G793" s="15">
        <v>1</v>
      </c>
      <c r="H793" s="15"/>
      <c r="I793" s="15" t="s">
        <v>1505</v>
      </c>
      <c r="J793" s="15">
        <v>24002259</v>
      </c>
      <c r="K793" s="15" t="s">
        <v>827</v>
      </c>
      <c r="L793" s="15" t="s">
        <v>954</v>
      </c>
      <c r="M793" s="16">
        <v>209900</v>
      </c>
      <c r="N793" s="9">
        <v>0.95</v>
      </c>
      <c r="O793" s="8">
        <f t="shared" si="36"/>
        <v>10495</v>
      </c>
      <c r="P793" s="6" t="s">
        <v>15</v>
      </c>
    </row>
    <row r="794" spans="1:16" x14ac:dyDescent="0.25">
      <c r="A794" s="6" t="s">
        <v>3920</v>
      </c>
      <c r="B794" s="7">
        <f t="shared" si="37"/>
        <v>46114</v>
      </c>
      <c r="C794" s="7">
        <f t="shared" si="38"/>
        <v>46120</v>
      </c>
      <c r="D794" s="6">
        <v>3280</v>
      </c>
      <c r="E794" s="6">
        <v>337</v>
      </c>
      <c r="F794" s="6">
        <v>4</v>
      </c>
      <c r="G794" s="15">
        <v>1</v>
      </c>
      <c r="H794" s="15"/>
      <c r="I794" s="15" t="s">
        <v>1505</v>
      </c>
      <c r="J794" s="15">
        <v>23996081</v>
      </c>
      <c r="K794" s="15" t="s">
        <v>787</v>
      </c>
      <c r="L794" s="15" t="s">
        <v>955</v>
      </c>
      <c r="M794" s="16">
        <v>209900</v>
      </c>
      <c r="N794" s="9">
        <v>0.95</v>
      </c>
      <c r="O794" s="8">
        <f t="shared" si="36"/>
        <v>10495</v>
      </c>
      <c r="P794" s="6" t="s">
        <v>15</v>
      </c>
    </row>
    <row r="795" spans="1:16" x14ac:dyDescent="0.25">
      <c r="A795" s="6" t="s">
        <v>3920</v>
      </c>
      <c r="B795" s="7">
        <f t="shared" si="37"/>
        <v>46114</v>
      </c>
      <c r="C795" s="7">
        <f t="shared" si="38"/>
        <v>46120</v>
      </c>
      <c r="D795" s="6">
        <v>3280</v>
      </c>
      <c r="E795" s="6">
        <v>337</v>
      </c>
      <c r="F795" s="6">
        <v>4</v>
      </c>
      <c r="G795" s="15">
        <v>1</v>
      </c>
      <c r="H795" s="15"/>
      <c r="I795" s="15" t="s">
        <v>1505</v>
      </c>
      <c r="J795" s="15">
        <v>23986083</v>
      </c>
      <c r="K795" s="15" t="s">
        <v>760</v>
      </c>
      <c r="L795" s="15" t="s">
        <v>956</v>
      </c>
      <c r="M795" s="16">
        <v>219900</v>
      </c>
      <c r="N795" s="9">
        <v>0.95</v>
      </c>
      <c r="O795" s="8">
        <f t="shared" si="36"/>
        <v>10995</v>
      </c>
      <c r="P795" s="6" t="s">
        <v>15</v>
      </c>
    </row>
    <row r="796" spans="1:16" x14ac:dyDescent="0.25">
      <c r="A796" s="6" t="s">
        <v>3920</v>
      </c>
      <c r="B796" s="7">
        <f t="shared" si="37"/>
        <v>46114</v>
      </c>
      <c r="C796" s="7">
        <f t="shared" si="38"/>
        <v>46120</v>
      </c>
      <c r="D796" s="6">
        <v>3280</v>
      </c>
      <c r="E796" s="6">
        <v>337</v>
      </c>
      <c r="F796" s="6">
        <v>4</v>
      </c>
      <c r="G796" s="15">
        <v>1</v>
      </c>
      <c r="H796" s="15"/>
      <c r="I796" s="15" t="s">
        <v>1505</v>
      </c>
      <c r="J796" s="15">
        <v>23934656</v>
      </c>
      <c r="K796" s="15" t="s">
        <v>931</v>
      </c>
      <c r="L796" s="15" t="s">
        <v>957</v>
      </c>
      <c r="M796" s="16">
        <v>199900</v>
      </c>
      <c r="N796" s="9">
        <v>0.95</v>
      </c>
      <c r="O796" s="8">
        <f t="shared" si="36"/>
        <v>9995</v>
      </c>
      <c r="P796" s="6" t="s">
        <v>15</v>
      </c>
    </row>
    <row r="797" spans="1:16" x14ac:dyDescent="0.25">
      <c r="A797" s="6" t="s">
        <v>3920</v>
      </c>
      <c r="B797" s="7">
        <f t="shared" si="37"/>
        <v>46114</v>
      </c>
      <c r="C797" s="7">
        <f t="shared" si="38"/>
        <v>46120</v>
      </c>
      <c r="D797" s="6">
        <v>3280</v>
      </c>
      <c r="E797" s="6">
        <v>337</v>
      </c>
      <c r="F797" s="6">
        <v>4</v>
      </c>
      <c r="G797" s="15">
        <v>1</v>
      </c>
      <c r="H797" s="15"/>
      <c r="I797" s="15" t="s">
        <v>1505</v>
      </c>
      <c r="J797" s="15">
        <v>23969146</v>
      </c>
      <c r="K797" s="15" t="s">
        <v>742</v>
      </c>
      <c r="L797" s="15" t="s">
        <v>958</v>
      </c>
      <c r="M797" s="16">
        <v>209900</v>
      </c>
      <c r="N797" s="9">
        <v>0.95</v>
      </c>
      <c r="O797" s="8">
        <f t="shared" si="36"/>
        <v>10495</v>
      </c>
      <c r="P797" s="6" t="s">
        <v>15</v>
      </c>
    </row>
    <row r="798" spans="1:16" x14ac:dyDescent="0.25">
      <c r="A798" s="6" t="s">
        <v>3920</v>
      </c>
      <c r="B798" s="7">
        <f t="shared" si="37"/>
        <v>46114</v>
      </c>
      <c r="C798" s="7">
        <f t="shared" si="38"/>
        <v>46120</v>
      </c>
      <c r="D798" s="6">
        <v>3280</v>
      </c>
      <c r="E798" s="6">
        <v>337</v>
      </c>
      <c r="F798" s="6">
        <v>4</v>
      </c>
      <c r="G798" s="15">
        <v>1</v>
      </c>
      <c r="H798" s="15"/>
      <c r="I798" s="15" t="s">
        <v>1505</v>
      </c>
      <c r="J798" s="15">
        <v>23974149</v>
      </c>
      <c r="K798" s="15" t="s">
        <v>750</v>
      </c>
      <c r="L798" s="15" t="s">
        <v>959</v>
      </c>
      <c r="M798" s="16">
        <v>199900</v>
      </c>
      <c r="N798" s="9">
        <v>0.95</v>
      </c>
      <c r="O798" s="8">
        <f t="shared" si="36"/>
        <v>9995</v>
      </c>
      <c r="P798" s="6" t="s">
        <v>15</v>
      </c>
    </row>
    <row r="799" spans="1:16" x14ac:dyDescent="0.25">
      <c r="A799" s="6" t="s">
        <v>3920</v>
      </c>
      <c r="B799" s="7">
        <f t="shared" si="37"/>
        <v>46114</v>
      </c>
      <c r="C799" s="7">
        <f t="shared" si="38"/>
        <v>46120</v>
      </c>
      <c r="D799" s="6">
        <v>3280</v>
      </c>
      <c r="E799" s="6">
        <v>337</v>
      </c>
      <c r="F799" s="6">
        <v>4</v>
      </c>
      <c r="G799" s="15">
        <v>1</v>
      </c>
      <c r="H799" s="15"/>
      <c r="I799" s="15" t="s">
        <v>1505</v>
      </c>
      <c r="J799" s="15">
        <v>23968487</v>
      </c>
      <c r="K799" s="15" t="s">
        <v>616</v>
      </c>
      <c r="L799" s="15" t="s">
        <v>960</v>
      </c>
      <c r="M799" s="16">
        <v>209900</v>
      </c>
      <c r="N799" s="9">
        <v>0.95</v>
      </c>
      <c r="O799" s="8">
        <f t="shared" si="36"/>
        <v>10495</v>
      </c>
      <c r="P799" s="6" t="s">
        <v>15</v>
      </c>
    </row>
    <row r="800" spans="1:16" x14ac:dyDescent="0.25">
      <c r="A800" s="6" t="s">
        <v>3920</v>
      </c>
      <c r="B800" s="7">
        <f t="shared" si="37"/>
        <v>46114</v>
      </c>
      <c r="C800" s="7">
        <f t="shared" si="38"/>
        <v>46120</v>
      </c>
      <c r="D800" s="6">
        <v>3280</v>
      </c>
      <c r="E800" s="6">
        <v>337</v>
      </c>
      <c r="F800" s="6">
        <v>4</v>
      </c>
      <c r="G800" s="15">
        <v>1</v>
      </c>
      <c r="H800" s="15"/>
      <c r="I800" s="15" t="s">
        <v>1505</v>
      </c>
      <c r="J800" s="15">
        <v>23986092</v>
      </c>
      <c r="K800" s="15" t="s">
        <v>760</v>
      </c>
      <c r="L800" s="15" t="s">
        <v>961</v>
      </c>
      <c r="M800" s="16">
        <v>219900</v>
      </c>
      <c r="N800" s="9">
        <v>0.95</v>
      </c>
      <c r="O800" s="8">
        <f t="shared" si="36"/>
        <v>10995</v>
      </c>
      <c r="P800" s="6" t="s">
        <v>15</v>
      </c>
    </row>
    <row r="801" spans="1:16" x14ac:dyDescent="0.25">
      <c r="A801" s="6" t="s">
        <v>3920</v>
      </c>
      <c r="B801" s="7">
        <f t="shared" si="37"/>
        <v>46114</v>
      </c>
      <c r="C801" s="7">
        <f t="shared" si="38"/>
        <v>46120</v>
      </c>
      <c r="D801" s="6">
        <v>3280</v>
      </c>
      <c r="E801" s="6">
        <v>337</v>
      </c>
      <c r="F801" s="6">
        <v>4</v>
      </c>
      <c r="G801" s="15">
        <v>1</v>
      </c>
      <c r="H801" s="15"/>
      <c r="I801" s="15" t="s">
        <v>1505</v>
      </c>
      <c r="J801" s="15">
        <v>23858079</v>
      </c>
      <c r="K801" s="15" t="s">
        <v>650</v>
      </c>
      <c r="L801" s="15" t="s">
        <v>962</v>
      </c>
      <c r="M801" s="16">
        <v>209900</v>
      </c>
      <c r="N801" s="9">
        <v>0.95</v>
      </c>
      <c r="O801" s="8">
        <f t="shared" si="36"/>
        <v>10495</v>
      </c>
      <c r="P801" s="6" t="s">
        <v>15</v>
      </c>
    </row>
    <row r="802" spans="1:16" x14ac:dyDescent="0.25">
      <c r="A802" s="6" t="s">
        <v>3920</v>
      </c>
      <c r="B802" s="7">
        <f t="shared" si="37"/>
        <v>46114</v>
      </c>
      <c r="C802" s="7">
        <f t="shared" si="38"/>
        <v>46120</v>
      </c>
      <c r="D802" s="6">
        <v>3280</v>
      </c>
      <c r="E802" s="6">
        <v>337</v>
      </c>
      <c r="F802" s="6">
        <v>4</v>
      </c>
      <c r="G802" s="15">
        <v>1</v>
      </c>
      <c r="H802" s="15"/>
      <c r="I802" s="15" t="s">
        <v>1505</v>
      </c>
      <c r="J802" s="15">
        <v>23844584</v>
      </c>
      <c r="K802" s="15" t="s">
        <v>629</v>
      </c>
      <c r="L802" s="15" t="s">
        <v>963</v>
      </c>
      <c r="M802" s="16">
        <v>209900</v>
      </c>
      <c r="N802" s="9">
        <v>0.95</v>
      </c>
      <c r="O802" s="8">
        <f t="shared" si="36"/>
        <v>10495</v>
      </c>
      <c r="P802" s="6" t="s">
        <v>15</v>
      </c>
    </row>
    <row r="803" spans="1:16" x14ac:dyDescent="0.25">
      <c r="A803" s="6" t="s">
        <v>3920</v>
      </c>
      <c r="B803" s="7">
        <f t="shared" si="37"/>
        <v>46114</v>
      </c>
      <c r="C803" s="7">
        <f t="shared" si="38"/>
        <v>46120</v>
      </c>
      <c r="D803" s="6">
        <v>3280</v>
      </c>
      <c r="E803" s="6">
        <v>337</v>
      </c>
      <c r="F803" s="6">
        <v>4</v>
      </c>
      <c r="G803" s="15">
        <v>1</v>
      </c>
      <c r="H803" s="15"/>
      <c r="I803" s="15" t="s">
        <v>1505</v>
      </c>
      <c r="J803" s="15">
        <v>23831347</v>
      </c>
      <c r="K803" s="15" t="s">
        <v>625</v>
      </c>
      <c r="L803" s="15" t="s">
        <v>964</v>
      </c>
      <c r="M803" s="16">
        <v>189900</v>
      </c>
      <c r="N803" s="9">
        <v>0.95</v>
      </c>
      <c r="O803" s="8">
        <f t="shared" si="36"/>
        <v>9495</v>
      </c>
      <c r="P803" s="6" t="s">
        <v>15</v>
      </c>
    </row>
    <row r="804" spans="1:16" x14ac:dyDescent="0.25">
      <c r="A804" s="6" t="s">
        <v>3920</v>
      </c>
      <c r="B804" s="7">
        <f t="shared" si="37"/>
        <v>46114</v>
      </c>
      <c r="C804" s="7">
        <f t="shared" si="38"/>
        <v>46120</v>
      </c>
      <c r="D804" s="6">
        <v>3280</v>
      </c>
      <c r="E804" s="6">
        <v>337</v>
      </c>
      <c r="F804" s="6">
        <v>4</v>
      </c>
      <c r="G804" s="15">
        <v>1</v>
      </c>
      <c r="H804" s="15"/>
      <c r="I804" s="15" t="s">
        <v>1505</v>
      </c>
      <c r="J804" s="15">
        <v>23974014</v>
      </c>
      <c r="K804" s="15" t="s">
        <v>746</v>
      </c>
      <c r="L804" s="15" t="s">
        <v>965</v>
      </c>
      <c r="M804" s="16">
        <v>209900</v>
      </c>
      <c r="N804" s="9">
        <v>0.95</v>
      </c>
      <c r="O804" s="8">
        <f t="shared" si="36"/>
        <v>10495</v>
      </c>
      <c r="P804" s="6" t="s">
        <v>15</v>
      </c>
    </row>
    <row r="805" spans="1:16" x14ac:dyDescent="0.25">
      <c r="A805" s="6" t="s">
        <v>3920</v>
      </c>
      <c r="B805" s="7">
        <f t="shared" si="37"/>
        <v>46114</v>
      </c>
      <c r="C805" s="7">
        <f t="shared" si="38"/>
        <v>46120</v>
      </c>
      <c r="D805" s="6">
        <v>3280</v>
      </c>
      <c r="E805" s="6">
        <v>337</v>
      </c>
      <c r="F805" s="6">
        <v>4</v>
      </c>
      <c r="G805" s="15">
        <v>1</v>
      </c>
      <c r="H805" s="15"/>
      <c r="I805" s="15" t="s">
        <v>1505</v>
      </c>
      <c r="J805" s="15">
        <v>23932336</v>
      </c>
      <c r="K805" s="15" t="s">
        <v>726</v>
      </c>
      <c r="L805" s="15" t="s">
        <v>966</v>
      </c>
      <c r="M805" s="16">
        <v>219900</v>
      </c>
      <c r="N805" s="9">
        <v>0.95</v>
      </c>
      <c r="O805" s="8">
        <f t="shared" si="36"/>
        <v>10995</v>
      </c>
      <c r="P805" s="6" t="s">
        <v>15</v>
      </c>
    </row>
    <row r="806" spans="1:16" x14ac:dyDescent="0.25">
      <c r="A806" s="6" t="s">
        <v>3920</v>
      </c>
      <c r="B806" s="7">
        <f t="shared" si="37"/>
        <v>46114</v>
      </c>
      <c r="C806" s="7">
        <f t="shared" si="38"/>
        <v>46120</v>
      </c>
      <c r="D806" s="6">
        <v>3280</v>
      </c>
      <c r="E806" s="6">
        <v>337</v>
      </c>
      <c r="F806" s="6">
        <v>4</v>
      </c>
      <c r="G806" s="15">
        <v>1</v>
      </c>
      <c r="H806" s="15"/>
      <c r="I806" s="15" t="s">
        <v>1505</v>
      </c>
      <c r="J806" s="15">
        <v>24031736</v>
      </c>
      <c r="K806" s="15" t="s">
        <v>848</v>
      </c>
      <c r="L806" s="15" t="s">
        <v>967</v>
      </c>
      <c r="M806" s="16">
        <v>199900</v>
      </c>
      <c r="N806" s="9">
        <v>0.95</v>
      </c>
      <c r="O806" s="8">
        <f t="shared" si="36"/>
        <v>9995</v>
      </c>
      <c r="P806" s="6" t="s">
        <v>15</v>
      </c>
    </row>
    <row r="807" spans="1:16" x14ac:dyDescent="0.25">
      <c r="A807" s="6" t="s">
        <v>3920</v>
      </c>
      <c r="B807" s="7">
        <f t="shared" si="37"/>
        <v>46114</v>
      </c>
      <c r="C807" s="7">
        <f t="shared" si="38"/>
        <v>46120</v>
      </c>
      <c r="D807" s="6">
        <v>3280</v>
      </c>
      <c r="E807" s="6">
        <v>337</v>
      </c>
      <c r="F807" s="6">
        <v>4</v>
      </c>
      <c r="G807" s="15">
        <v>1</v>
      </c>
      <c r="H807" s="15"/>
      <c r="I807" s="15" t="s">
        <v>1505</v>
      </c>
      <c r="J807" s="15">
        <v>23926656</v>
      </c>
      <c r="K807" s="15" t="s">
        <v>712</v>
      </c>
      <c r="L807" s="15" t="s">
        <v>968</v>
      </c>
      <c r="M807" s="16">
        <v>199900</v>
      </c>
      <c r="N807" s="9">
        <v>0.95</v>
      </c>
      <c r="O807" s="8">
        <f t="shared" si="36"/>
        <v>9995</v>
      </c>
      <c r="P807" s="6" t="s">
        <v>15</v>
      </c>
    </row>
    <row r="808" spans="1:16" x14ac:dyDescent="0.25">
      <c r="A808" s="6" t="s">
        <v>3920</v>
      </c>
      <c r="B808" s="7">
        <f t="shared" si="37"/>
        <v>46114</v>
      </c>
      <c r="C808" s="7">
        <f t="shared" si="38"/>
        <v>46120</v>
      </c>
      <c r="D808" s="6">
        <v>3280</v>
      </c>
      <c r="E808" s="6">
        <v>337</v>
      </c>
      <c r="F808" s="6">
        <v>4</v>
      </c>
      <c r="G808" s="15">
        <v>1</v>
      </c>
      <c r="H808" s="15"/>
      <c r="I808" s="15" t="s">
        <v>1505</v>
      </c>
      <c r="J808" s="15">
        <v>24117582</v>
      </c>
      <c r="K808" s="15" t="s">
        <v>860</v>
      </c>
      <c r="L808" s="15" t="s">
        <v>969</v>
      </c>
      <c r="M808" s="16">
        <v>209900</v>
      </c>
      <c r="N808" s="9">
        <v>0.95</v>
      </c>
      <c r="O808" s="8">
        <f t="shared" si="36"/>
        <v>10495</v>
      </c>
      <c r="P808" s="6" t="s">
        <v>15</v>
      </c>
    </row>
    <row r="809" spans="1:16" x14ac:dyDescent="0.25">
      <c r="A809" s="6" t="s">
        <v>3920</v>
      </c>
      <c r="B809" s="7">
        <f t="shared" si="37"/>
        <v>46114</v>
      </c>
      <c r="C809" s="7">
        <f t="shared" si="38"/>
        <v>46120</v>
      </c>
      <c r="D809" s="6">
        <v>3280</v>
      </c>
      <c r="E809" s="6">
        <v>337</v>
      </c>
      <c r="F809" s="6">
        <v>4</v>
      </c>
      <c r="G809" s="15">
        <v>1</v>
      </c>
      <c r="H809" s="15"/>
      <c r="I809" s="15" t="s">
        <v>1505</v>
      </c>
      <c r="J809" s="15">
        <v>23844575</v>
      </c>
      <c r="K809" s="15" t="s">
        <v>629</v>
      </c>
      <c r="L809" s="15" t="s">
        <v>970</v>
      </c>
      <c r="M809" s="16">
        <v>199900</v>
      </c>
      <c r="N809" s="9">
        <v>0.95</v>
      </c>
      <c r="O809" s="8">
        <f t="shared" si="36"/>
        <v>9995</v>
      </c>
      <c r="P809" s="6" t="s">
        <v>15</v>
      </c>
    </row>
    <row r="810" spans="1:16" x14ac:dyDescent="0.25">
      <c r="A810" s="6" t="s">
        <v>3920</v>
      </c>
      <c r="B810" s="7">
        <f t="shared" si="37"/>
        <v>46114</v>
      </c>
      <c r="C810" s="7">
        <f t="shared" si="38"/>
        <v>46120</v>
      </c>
      <c r="D810" s="6">
        <v>3280</v>
      </c>
      <c r="E810" s="6">
        <v>337</v>
      </c>
      <c r="F810" s="6">
        <v>4</v>
      </c>
      <c r="G810" s="15">
        <v>1</v>
      </c>
      <c r="H810" s="15"/>
      <c r="I810" s="15" t="s">
        <v>1505</v>
      </c>
      <c r="J810" s="15">
        <v>23844593</v>
      </c>
      <c r="K810" s="15" t="s">
        <v>629</v>
      </c>
      <c r="L810" s="15" t="s">
        <v>971</v>
      </c>
      <c r="M810" s="16">
        <v>209900</v>
      </c>
      <c r="N810" s="9">
        <v>0.95</v>
      </c>
      <c r="O810" s="8">
        <f t="shared" si="36"/>
        <v>10495</v>
      </c>
      <c r="P810" s="6" t="s">
        <v>15</v>
      </c>
    </row>
    <row r="811" spans="1:16" x14ac:dyDescent="0.25">
      <c r="A811" s="6" t="s">
        <v>3920</v>
      </c>
      <c r="B811" s="7">
        <f t="shared" si="37"/>
        <v>46114</v>
      </c>
      <c r="C811" s="7">
        <f t="shared" si="38"/>
        <v>46120</v>
      </c>
      <c r="D811" s="6">
        <v>3280</v>
      </c>
      <c r="E811" s="6">
        <v>337</v>
      </c>
      <c r="F811" s="6">
        <v>4</v>
      </c>
      <c r="G811" s="15">
        <v>1</v>
      </c>
      <c r="H811" s="15"/>
      <c r="I811" s="15" t="s">
        <v>1505</v>
      </c>
      <c r="J811" s="15">
        <v>23934674</v>
      </c>
      <c r="K811" s="15" t="s">
        <v>931</v>
      </c>
      <c r="L811" s="15" t="s">
        <v>972</v>
      </c>
      <c r="M811" s="16">
        <v>199900</v>
      </c>
      <c r="N811" s="9">
        <v>0.95</v>
      </c>
      <c r="O811" s="8">
        <f t="shared" si="36"/>
        <v>9995</v>
      </c>
      <c r="P811" s="6" t="s">
        <v>15</v>
      </c>
    </row>
    <row r="812" spans="1:16" x14ac:dyDescent="0.25">
      <c r="A812" s="6" t="s">
        <v>3920</v>
      </c>
      <c r="B812" s="7">
        <f t="shared" si="37"/>
        <v>46114</v>
      </c>
      <c r="C812" s="7">
        <f t="shared" si="38"/>
        <v>46120</v>
      </c>
      <c r="D812" s="6">
        <v>3280</v>
      </c>
      <c r="E812" s="6">
        <v>337</v>
      </c>
      <c r="F812" s="6">
        <v>4</v>
      </c>
      <c r="G812" s="15">
        <v>1</v>
      </c>
      <c r="H812" s="15"/>
      <c r="I812" s="15" t="s">
        <v>1505</v>
      </c>
      <c r="J812" s="15">
        <v>23873007</v>
      </c>
      <c r="K812" s="15" t="s">
        <v>707</v>
      </c>
      <c r="L812" s="15" t="s">
        <v>973</v>
      </c>
      <c r="M812" s="16">
        <v>209900</v>
      </c>
      <c r="N812" s="9">
        <v>0.95</v>
      </c>
      <c r="O812" s="8">
        <f t="shared" si="36"/>
        <v>10495</v>
      </c>
      <c r="P812" s="6" t="s">
        <v>15</v>
      </c>
    </row>
    <row r="813" spans="1:16" x14ac:dyDescent="0.25">
      <c r="A813" s="6" t="s">
        <v>3920</v>
      </c>
      <c r="B813" s="7">
        <f t="shared" si="37"/>
        <v>46114</v>
      </c>
      <c r="C813" s="7">
        <f t="shared" si="38"/>
        <v>46120</v>
      </c>
      <c r="D813" s="6">
        <v>3280</v>
      </c>
      <c r="E813" s="6">
        <v>337</v>
      </c>
      <c r="F813" s="6">
        <v>4</v>
      </c>
      <c r="G813" s="15">
        <v>1</v>
      </c>
      <c r="H813" s="15"/>
      <c r="I813" s="15" t="s">
        <v>1505</v>
      </c>
      <c r="J813" s="15">
        <v>23872893</v>
      </c>
      <c r="K813" s="15" t="s">
        <v>703</v>
      </c>
      <c r="L813" s="15" t="s">
        <v>974</v>
      </c>
      <c r="M813" s="16">
        <v>219900</v>
      </c>
      <c r="N813" s="9">
        <v>0.95</v>
      </c>
      <c r="O813" s="8">
        <f t="shared" si="36"/>
        <v>10995</v>
      </c>
      <c r="P813" s="6" t="s">
        <v>15</v>
      </c>
    </row>
    <row r="814" spans="1:16" x14ac:dyDescent="0.25">
      <c r="A814" s="6" t="s">
        <v>3920</v>
      </c>
      <c r="B814" s="7">
        <f t="shared" si="37"/>
        <v>46114</v>
      </c>
      <c r="C814" s="7">
        <f t="shared" si="38"/>
        <v>46120</v>
      </c>
      <c r="D814" s="6">
        <v>3280</v>
      </c>
      <c r="E814" s="6">
        <v>337</v>
      </c>
      <c r="F814" s="6">
        <v>4</v>
      </c>
      <c r="G814" s="15">
        <v>1</v>
      </c>
      <c r="H814" s="15"/>
      <c r="I814" s="15" t="s">
        <v>1505</v>
      </c>
      <c r="J814" s="15">
        <v>23934290</v>
      </c>
      <c r="K814" s="15" t="s">
        <v>728</v>
      </c>
      <c r="L814" s="15" t="s">
        <v>975</v>
      </c>
      <c r="M814" s="16">
        <v>209900</v>
      </c>
      <c r="N814" s="9">
        <v>0.95</v>
      </c>
      <c r="O814" s="8">
        <f t="shared" si="36"/>
        <v>10495</v>
      </c>
      <c r="P814" s="6" t="s">
        <v>15</v>
      </c>
    </row>
    <row r="815" spans="1:16" x14ac:dyDescent="0.25">
      <c r="A815" s="6" t="s">
        <v>3920</v>
      </c>
      <c r="B815" s="7">
        <f t="shared" si="37"/>
        <v>46114</v>
      </c>
      <c r="C815" s="7">
        <f t="shared" si="38"/>
        <v>46120</v>
      </c>
      <c r="D815" s="6">
        <v>3280</v>
      </c>
      <c r="E815" s="6">
        <v>337</v>
      </c>
      <c r="F815" s="6">
        <v>4</v>
      </c>
      <c r="G815" s="15">
        <v>1</v>
      </c>
      <c r="H815" s="15"/>
      <c r="I815" s="15" t="s">
        <v>1505</v>
      </c>
      <c r="J815" s="15">
        <v>23986056</v>
      </c>
      <c r="K815" s="15" t="s">
        <v>760</v>
      </c>
      <c r="L815" s="15" t="s">
        <v>976</v>
      </c>
      <c r="M815" s="16">
        <v>209900</v>
      </c>
      <c r="N815" s="9">
        <v>0.95</v>
      </c>
      <c r="O815" s="8">
        <f t="shared" si="36"/>
        <v>10495</v>
      </c>
      <c r="P815" s="6" t="s">
        <v>15</v>
      </c>
    </row>
    <row r="816" spans="1:16" x14ac:dyDescent="0.25">
      <c r="A816" s="6" t="s">
        <v>3920</v>
      </c>
      <c r="B816" s="7">
        <f t="shared" si="37"/>
        <v>46114</v>
      </c>
      <c r="C816" s="7">
        <f t="shared" si="38"/>
        <v>46120</v>
      </c>
      <c r="D816" s="6">
        <v>3280</v>
      </c>
      <c r="E816" s="6">
        <v>337</v>
      </c>
      <c r="F816" s="6">
        <v>4</v>
      </c>
      <c r="G816" s="15">
        <v>1</v>
      </c>
      <c r="H816" s="15"/>
      <c r="I816" s="15" t="s">
        <v>1505</v>
      </c>
      <c r="J816" s="15">
        <v>23997240</v>
      </c>
      <c r="K816" s="15" t="s">
        <v>796</v>
      </c>
      <c r="L816" s="15" t="s">
        <v>977</v>
      </c>
      <c r="M816" s="16">
        <v>229900</v>
      </c>
      <c r="N816" s="9">
        <v>0.95</v>
      </c>
      <c r="O816" s="8">
        <f t="shared" si="36"/>
        <v>11495</v>
      </c>
      <c r="P816" s="6" t="s">
        <v>15</v>
      </c>
    </row>
    <row r="817" spans="1:16" x14ac:dyDescent="0.25">
      <c r="A817" s="6" t="s">
        <v>3920</v>
      </c>
      <c r="B817" s="7">
        <f t="shared" si="37"/>
        <v>46114</v>
      </c>
      <c r="C817" s="7">
        <f t="shared" si="38"/>
        <v>46120</v>
      </c>
      <c r="D817" s="6">
        <v>3280</v>
      </c>
      <c r="E817" s="6">
        <v>337</v>
      </c>
      <c r="F817" s="6">
        <v>4</v>
      </c>
      <c r="G817" s="15">
        <v>1</v>
      </c>
      <c r="H817" s="15"/>
      <c r="I817" s="15" t="s">
        <v>1505</v>
      </c>
      <c r="J817" s="15">
        <v>23934665</v>
      </c>
      <c r="K817" s="15" t="s">
        <v>931</v>
      </c>
      <c r="L817" s="15" t="s">
        <v>978</v>
      </c>
      <c r="M817" s="16">
        <v>199900</v>
      </c>
      <c r="N817" s="9">
        <v>0.95</v>
      </c>
      <c r="O817" s="8">
        <f t="shared" si="36"/>
        <v>9995</v>
      </c>
      <c r="P817" s="6" t="s">
        <v>15</v>
      </c>
    </row>
    <row r="818" spans="1:16" x14ac:dyDescent="0.25">
      <c r="A818" s="6" t="s">
        <v>3920</v>
      </c>
      <c r="B818" s="7">
        <f t="shared" si="37"/>
        <v>46114</v>
      </c>
      <c r="C818" s="7">
        <f t="shared" si="38"/>
        <v>46120</v>
      </c>
      <c r="D818" s="6">
        <v>3280</v>
      </c>
      <c r="E818" s="6">
        <v>337</v>
      </c>
      <c r="F818" s="6">
        <v>4</v>
      </c>
      <c r="G818" s="15">
        <v>1</v>
      </c>
      <c r="H818" s="15"/>
      <c r="I818" s="15" t="s">
        <v>1505</v>
      </c>
      <c r="J818" s="15">
        <v>24117573</v>
      </c>
      <c r="K818" s="15" t="s">
        <v>860</v>
      </c>
      <c r="L818" s="15" t="s">
        <v>979</v>
      </c>
      <c r="M818" s="16">
        <v>209900</v>
      </c>
      <c r="N818" s="9">
        <v>0.95</v>
      </c>
      <c r="O818" s="8">
        <f t="shared" si="36"/>
        <v>10495</v>
      </c>
      <c r="P818" s="6" t="s">
        <v>15</v>
      </c>
    </row>
    <row r="819" spans="1:16" x14ac:dyDescent="0.25">
      <c r="A819" s="6" t="s">
        <v>3920</v>
      </c>
      <c r="B819" s="7">
        <f t="shared" si="37"/>
        <v>46114</v>
      </c>
      <c r="C819" s="7">
        <f t="shared" si="38"/>
        <v>46120</v>
      </c>
      <c r="D819" s="6">
        <v>3280</v>
      </c>
      <c r="E819" s="6">
        <v>337</v>
      </c>
      <c r="F819" s="6">
        <v>4</v>
      </c>
      <c r="G819" s="15">
        <v>1</v>
      </c>
      <c r="H819" s="15"/>
      <c r="I819" s="15" t="s">
        <v>1505</v>
      </c>
      <c r="J819" s="15">
        <v>23868335</v>
      </c>
      <c r="K819" s="15" t="s">
        <v>687</v>
      </c>
      <c r="L819" s="15" t="s">
        <v>980</v>
      </c>
      <c r="M819" s="16">
        <v>209900</v>
      </c>
      <c r="N819" s="9">
        <v>0.95</v>
      </c>
      <c r="O819" s="8">
        <f t="shared" si="36"/>
        <v>10495</v>
      </c>
      <c r="P819" s="6" t="s">
        <v>15</v>
      </c>
    </row>
    <row r="820" spans="1:16" x14ac:dyDescent="0.25">
      <c r="A820" s="6" t="s">
        <v>3920</v>
      </c>
      <c r="B820" s="7">
        <f t="shared" si="37"/>
        <v>46114</v>
      </c>
      <c r="C820" s="7">
        <f t="shared" si="38"/>
        <v>46120</v>
      </c>
      <c r="D820" s="6">
        <v>3280</v>
      </c>
      <c r="E820" s="6">
        <v>337</v>
      </c>
      <c r="F820" s="6">
        <v>4</v>
      </c>
      <c r="G820" s="15">
        <v>1</v>
      </c>
      <c r="H820" s="15"/>
      <c r="I820" s="15" t="s">
        <v>1505</v>
      </c>
      <c r="J820" s="15">
        <v>23969155</v>
      </c>
      <c r="K820" s="15" t="s">
        <v>742</v>
      </c>
      <c r="L820" s="15" t="s">
        <v>981</v>
      </c>
      <c r="M820" s="16">
        <v>209900</v>
      </c>
      <c r="N820" s="9">
        <v>0.95</v>
      </c>
      <c r="O820" s="8">
        <f t="shared" si="36"/>
        <v>10495</v>
      </c>
      <c r="P820" s="6" t="s">
        <v>15</v>
      </c>
    </row>
    <row r="821" spans="1:16" x14ac:dyDescent="0.25">
      <c r="A821" s="6" t="s">
        <v>3920</v>
      </c>
      <c r="B821" s="7">
        <f t="shared" si="37"/>
        <v>46114</v>
      </c>
      <c r="C821" s="7">
        <f t="shared" si="38"/>
        <v>46120</v>
      </c>
      <c r="D821" s="6">
        <v>3280</v>
      </c>
      <c r="E821" s="6">
        <v>337</v>
      </c>
      <c r="F821" s="6">
        <v>4</v>
      </c>
      <c r="G821" s="15">
        <v>1</v>
      </c>
      <c r="H821" s="15"/>
      <c r="I821" s="15" t="s">
        <v>1505</v>
      </c>
      <c r="J821" s="15">
        <v>23932345</v>
      </c>
      <c r="K821" s="15" t="s">
        <v>726</v>
      </c>
      <c r="L821" s="15" t="s">
        <v>982</v>
      </c>
      <c r="M821" s="16">
        <v>219900</v>
      </c>
      <c r="N821" s="9">
        <v>0.95</v>
      </c>
      <c r="O821" s="8">
        <f t="shared" si="36"/>
        <v>10995</v>
      </c>
      <c r="P821" s="6" t="s">
        <v>15</v>
      </c>
    </row>
    <row r="822" spans="1:16" x14ac:dyDescent="0.25">
      <c r="A822" s="6" t="s">
        <v>3920</v>
      </c>
      <c r="B822" s="7">
        <f t="shared" si="37"/>
        <v>46114</v>
      </c>
      <c r="C822" s="7">
        <f t="shared" si="38"/>
        <v>46120</v>
      </c>
      <c r="D822" s="6">
        <v>3280</v>
      </c>
      <c r="E822" s="6">
        <v>337</v>
      </c>
      <c r="F822" s="6">
        <v>4</v>
      </c>
      <c r="G822" s="15">
        <v>1</v>
      </c>
      <c r="H822" s="15"/>
      <c r="I822" s="15" t="s">
        <v>1505</v>
      </c>
      <c r="J822" s="15">
        <v>23973980</v>
      </c>
      <c r="K822" s="15" t="s">
        <v>746</v>
      </c>
      <c r="L822" s="15" t="s">
        <v>983</v>
      </c>
      <c r="M822" s="16">
        <v>199900</v>
      </c>
      <c r="N822" s="9">
        <v>0.95</v>
      </c>
      <c r="O822" s="8">
        <f t="shared" si="36"/>
        <v>9995</v>
      </c>
      <c r="P822" s="6" t="s">
        <v>15</v>
      </c>
    </row>
    <row r="823" spans="1:16" x14ac:dyDescent="0.25">
      <c r="A823" s="6" t="s">
        <v>3920</v>
      </c>
      <c r="B823" s="7">
        <f t="shared" si="37"/>
        <v>46114</v>
      </c>
      <c r="C823" s="7">
        <f t="shared" si="38"/>
        <v>46120</v>
      </c>
      <c r="D823" s="6">
        <v>3280</v>
      </c>
      <c r="E823" s="6">
        <v>337</v>
      </c>
      <c r="F823" s="6">
        <v>4</v>
      </c>
      <c r="G823" s="15">
        <v>1</v>
      </c>
      <c r="H823" s="15"/>
      <c r="I823" s="15" t="s">
        <v>1505</v>
      </c>
      <c r="J823" s="15">
        <v>24032717</v>
      </c>
      <c r="K823" s="15" t="s">
        <v>925</v>
      </c>
      <c r="L823" s="15" t="s">
        <v>984</v>
      </c>
      <c r="M823" s="16">
        <v>239900</v>
      </c>
      <c r="N823" s="9">
        <v>0.95</v>
      </c>
      <c r="O823" s="8">
        <f t="shared" si="36"/>
        <v>11995</v>
      </c>
      <c r="P823" s="6" t="s">
        <v>15</v>
      </c>
    </row>
    <row r="824" spans="1:16" x14ac:dyDescent="0.25">
      <c r="A824" s="6" t="s">
        <v>3920</v>
      </c>
      <c r="B824" s="7">
        <f t="shared" si="37"/>
        <v>46114</v>
      </c>
      <c r="C824" s="7">
        <f t="shared" si="38"/>
        <v>46120</v>
      </c>
      <c r="D824" s="6">
        <v>3280</v>
      </c>
      <c r="E824" s="6">
        <v>337</v>
      </c>
      <c r="F824" s="6">
        <v>4</v>
      </c>
      <c r="G824" s="15">
        <v>1</v>
      </c>
      <c r="H824" s="15"/>
      <c r="I824" s="15" t="s">
        <v>1505</v>
      </c>
      <c r="J824" s="15">
        <v>23845814</v>
      </c>
      <c r="K824" s="15" t="s">
        <v>637</v>
      </c>
      <c r="L824" s="15" t="s">
        <v>985</v>
      </c>
      <c r="M824" s="16">
        <v>199900</v>
      </c>
      <c r="N824" s="9">
        <v>0.95</v>
      </c>
      <c r="O824" s="8">
        <f t="shared" si="36"/>
        <v>9995</v>
      </c>
      <c r="P824" s="6" t="s">
        <v>15</v>
      </c>
    </row>
    <row r="825" spans="1:16" x14ac:dyDescent="0.25">
      <c r="A825" s="6" t="s">
        <v>3920</v>
      </c>
      <c r="B825" s="7">
        <f t="shared" si="37"/>
        <v>46114</v>
      </c>
      <c r="C825" s="7">
        <f t="shared" si="38"/>
        <v>46120</v>
      </c>
      <c r="D825" s="6">
        <v>3280</v>
      </c>
      <c r="E825" s="6">
        <v>337</v>
      </c>
      <c r="F825" s="6">
        <v>4</v>
      </c>
      <c r="G825" s="15">
        <v>1</v>
      </c>
      <c r="H825" s="15"/>
      <c r="I825" s="15" t="s">
        <v>1505</v>
      </c>
      <c r="J825" s="15">
        <v>24103088</v>
      </c>
      <c r="K825" s="15" t="s">
        <v>857</v>
      </c>
      <c r="L825" s="15" t="s">
        <v>986</v>
      </c>
      <c r="M825" s="16">
        <v>219900</v>
      </c>
      <c r="N825" s="9">
        <v>0.95</v>
      </c>
      <c r="O825" s="8">
        <f t="shared" si="36"/>
        <v>10995</v>
      </c>
      <c r="P825" s="6" t="s">
        <v>15</v>
      </c>
    </row>
    <row r="826" spans="1:16" x14ac:dyDescent="0.25">
      <c r="A826" s="6" t="s">
        <v>3920</v>
      </c>
      <c r="B826" s="7">
        <f t="shared" si="37"/>
        <v>46114</v>
      </c>
      <c r="C826" s="7">
        <f t="shared" si="38"/>
        <v>46120</v>
      </c>
      <c r="D826" s="6">
        <v>3280</v>
      </c>
      <c r="E826" s="6">
        <v>337</v>
      </c>
      <c r="F826" s="6">
        <v>4</v>
      </c>
      <c r="G826" s="15">
        <v>1</v>
      </c>
      <c r="H826" s="15"/>
      <c r="I826" s="15" t="s">
        <v>1505</v>
      </c>
      <c r="J826" s="15">
        <v>23861798</v>
      </c>
      <c r="K826" s="15" t="s">
        <v>884</v>
      </c>
      <c r="L826" s="15" t="s">
        <v>987</v>
      </c>
      <c r="M826" s="16">
        <v>229900</v>
      </c>
      <c r="N826" s="9">
        <v>0.95</v>
      </c>
      <c r="O826" s="8">
        <f t="shared" si="36"/>
        <v>11495</v>
      </c>
      <c r="P826" s="6" t="s">
        <v>15</v>
      </c>
    </row>
    <row r="827" spans="1:16" x14ac:dyDescent="0.25">
      <c r="A827" s="6" t="s">
        <v>3920</v>
      </c>
      <c r="B827" s="7">
        <f t="shared" si="37"/>
        <v>46114</v>
      </c>
      <c r="C827" s="7">
        <f t="shared" si="38"/>
        <v>46120</v>
      </c>
      <c r="D827" s="6">
        <v>3280</v>
      </c>
      <c r="E827" s="6">
        <v>337</v>
      </c>
      <c r="F827" s="6">
        <v>4</v>
      </c>
      <c r="G827" s="15">
        <v>1</v>
      </c>
      <c r="H827" s="15"/>
      <c r="I827" s="15" t="s">
        <v>1505</v>
      </c>
      <c r="J827" s="15">
        <v>23986074</v>
      </c>
      <c r="K827" s="15" t="s">
        <v>760</v>
      </c>
      <c r="L827" s="15" t="s">
        <v>988</v>
      </c>
      <c r="M827" s="16">
        <v>209900</v>
      </c>
      <c r="N827" s="9">
        <v>0.95</v>
      </c>
      <c r="O827" s="8">
        <f t="shared" si="36"/>
        <v>10495</v>
      </c>
      <c r="P827" s="6" t="s">
        <v>15</v>
      </c>
    </row>
    <row r="828" spans="1:16" x14ac:dyDescent="0.25">
      <c r="A828" s="6" t="s">
        <v>3920</v>
      </c>
      <c r="B828" s="7">
        <f t="shared" si="37"/>
        <v>46114</v>
      </c>
      <c r="C828" s="7">
        <f t="shared" si="38"/>
        <v>46120</v>
      </c>
      <c r="D828" s="6">
        <v>3280</v>
      </c>
      <c r="E828" s="6">
        <v>337</v>
      </c>
      <c r="F828" s="6">
        <v>4</v>
      </c>
      <c r="G828" s="15">
        <v>1</v>
      </c>
      <c r="H828" s="15"/>
      <c r="I828" s="15" t="s">
        <v>1505</v>
      </c>
      <c r="J828" s="15">
        <v>23868326</v>
      </c>
      <c r="K828" s="15" t="s">
        <v>687</v>
      </c>
      <c r="L828" s="15" t="s">
        <v>989</v>
      </c>
      <c r="M828" s="16">
        <v>209900</v>
      </c>
      <c r="N828" s="9">
        <v>0.95</v>
      </c>
      <c r="O828" s="8">
        <f t="shared" si="36"/>
        <v>10495</v>
      </c>
      <c r="P828" s="6" t="s">
        <v>15</v>
      </c>
    </row>
    <row r="829" spans="1:16" x14ac:dyDescent="0.25">
      <c r="A829" s="6" t="s">
        <v>3920</v>
      </c>
      <c r="B829" s="7">
        <f t="shared" si="37"/>
        <v>46114</v>
      </c>
      <c r="C829" s="7">
        <f t="shared" si="38"/>
        <v>46120</v>
      </c>
      <c r="D829" s="6">
        <v>3280</v>
      </c>
      <c r="E829" s="6">
        <v>337</v>
      </c>
      <c r="F829" s="6">
        <v>4</v>
      </c>
      <c r="G829" s="15">
        <v>1</v>
      </c>
      <c r="H829" s="15"/>
      <c r="I829" s="15" t="s">
        <v>1505</v>
      </c>
      <c r="J829" s="15">
        <v>23868317</v>
      </c>
      <c r="K829" s="15" t="s">
        <v>687</v>
      </c>
      <c r="L829" s="15" t="s">
        <v>990</v>
      </c>
      <c r="M829" s="16">
        <v>209900</v>
      </c>
      <c r="N829" s="9">
        <v>0.95</v>
      </c>
      <c r="O829" s="8">
        <f t="shared" si="36"/>
        <v>10495</v>
      </c>
      <c r="P829" s="6" t="s">
        <v>15</v>
      </c>
    </row>
    <row r="830" spans="1:16" x14ac:dyDescent="0.25">
      <c r="A830" s="6" t="s">
        <v>3920</v>
      </c>
      <c r="B830" s="7">
        <f t="shared" si="37"/>
        <v>46114</v>
      </c>
      <c r="C830" s="7">
        <f t="shared" si="38"/>
        <v>46120</v>
      </c>
      <c r="D830" s="6">
        <v>3280</v>
      </c>
      <c r="E830" s="6">
        <v>337</v>
      </c>
      <c r="F830" s="6">
        <v>4</v>
      </c>
      <c r="G830" s="15">
        <v>1</v>
      </c>
      <c r="H830" s="15"/>
      <c r="I830" s="15" t="s">
        <v>1505</v>
      </c>
      <c r="J830" s="15">
        <v>23872991</v>
      </c>
      <c r="K830" s="15" t="s">
        <v>707</v>
      </c>
      <c r="L830" s="15" t="s">
        <v>991</v>
      </c>
      <c r="M830" s="16">
        <v>209900</v>
      </c>
      <c r="N830" s="9">
        <v>0.95</v>
      </c>
      <c r="O830" s="8">
        <f t="shared" si="36"/>
        <v>10495</v>
      </c>
      <c r="P830" s="6" t="s">
        <v>15</v>
      </c>
    </row>
    <row r="831" spans="1:16" x14ac:dyDescent="0.25">
      <c r="A831" s="6" t="s">
        <v>3920</v>
      </c>
      <c r="B831" s="7">
        <f t="shared" si="37"/>
        <v>46114</v>
      </c>
      <c r="C831" s="7">
        <f t="shared" si="38"/>
        <v>46120</v>
      </c>
      <c r="D831" s="6">
        <v>3280</v>
      </c>
      <c r="E831" s="6">
        <v>337</v>
      </c>
      <c r="F831" s="6">
        <v>4</v>
      </c>
      <c r="G831" s="15">
        <v>1</v>
      </c>
      <c r="H831" s="15"/>
      <c r="I831" s="15" t="s">
        <v>1505</v>
      </c>
      <c r="J831" s="15">
        <v>23932309</v>
      </c>
      <c r="K831" s="15" t="s">
        <v>726</v>
      </c>
      <c r="L831" s="15" t="s">
        <v>992</v>
      </c>
      <c r="M831" s="16">
        <v>209900</v>
      </c>
      <c r="N831" s="9">
        <v>0.95</v>
      </c>
      <c r="O831" s="8">
        <f t="shared" si="36"/>
        <v>10495</v>
      </c>
      <c r="P831" s="6" t="s">
        <v>15</v>
      </c>
    </row>
    <row r="832" spans="1:16" x14ac:dyDescent="0.25">
      <c r="A832" s="6" t="s">
        <v>3920</v>
      </c>
      <c r="B832" s="7">
        <f t="shared" si="37"/>
        <v>46114</v>
      </c>
      <c r="C832" s="7">
        <f t="shared" si="38"/>
        <v>46120</v>
      </c>
      <c r="D832" s="6">
        <v>3280</v>
      </c>
      <c r="E832" s="6">
        <v>337</v>
      </c>
      <c r="F832" s="6">
        <v>4</v>
      </c>
      <c r="G832" s="15">
        <v>1</v>
      </c>
      <c r="H832" s="15"/>
      <c r="I832" s="15" t="s">
        <v>1505</v>
      </c>
      <c r="J832" s="15">
        <v>24032708</v>
      </c>
      <c r="K832" s="15" t="s">
        <v>925</v>
      </c>
      <c r="L832" s="15" t="s">
        <v>993</v>
      </c>
      <c r="M832" s="16">
        <v>239900</v>
      </c>
      <c r="N832" s="9">
        <v>0.95</v>
      </c>
      <c r="O832" s="8">
        <f t="shared" si="36"/>
        <v>11995</v>
      </c>
      <c r="P832" s="6" t="s">
        <v>15</v>
      </c>
    </row>
    <row r="833" spans="1:16" x14ac:dyDescent="0.25">
      <c r="A833" s="6" t="s">
        <v>3920</v>
      </c>
      <c r="B833" s="7">
        <f t="shared" si="37"/>
        <v>46114</v>
      </c>
      <c r="C833" s="7">
        <f t="shared" si="38"/>
        <v>46120</v>
      </c>
      <c r="D833" s="6">
        <v>3280</v>
      </c>
      <c r="E833" s="6">
        <v>337</v>
      </c>
      <c r="F833" s="6">
        <v>4</v>
      </c>
      <c r="G833" s="15">
        <v>1</v>
      </c>
      <c r="H833" s="15"/>
      <c r="I833" s="15" t="s">
        <v>1505</v>
      </c>
      <c r="J833" s="15">
        <v>23926745</v>
      </c>
      <c r="K833" s="15" t="s">
        <v>714</v>
      </c>
      <c r="L833" s="15" t="s">
        <v>994</v>
      </c>
      <c r="M833" s="16">
        <v>199900</v>
      </c>
      <c r="N833" s="9">
        <v>0.95</v>
      </c>
      <c r="O833" s="8">
        <f t="shared" si="36"/>
        <v>9995</v>
      </c>
      <c r="P833" s="6" t="s">
        <v>15</v>
      </c>
    </row>
    <row r="834" spans="1:16" x14ac:dyDescent="0.25">
      <c r="A834" s="6" t="s">
        <v>3920</v>
      </c>
      <c r="B834" s="7">
        <f t="shared" si="37"/>
        <v>46114</v>
      </c>
      <c r="C834" s="7">
        <f t="shared" si="38"/>
        <v>46120</v>
      </c>
      <c r="D834" s="6">
        <v>3280</v>
      </c>
      <c r="E834" s="6">
        <v>337</v>
      </c>
      <c r="F834" s="6">
        <v>4</v>
      </c>
      <c r="G834" s="15">
        <v>1</v>
      </c>
      <c r="H834" s="15"/>
      <c r="I834" s="15" t="s">
        <v>1505</v>
      </c>
      <c r="J834" s="15">
        <v>23926647</v>
      </c>
      <c r="K834" s="15" t="s">
        <v>712</v>
      </c>
      <c r="L834" s="15" t="s">
        <v>995</v>
      </c>
      <c r="M834" s="16">
        <v>199900</v>
      </c>
      <c r="N834" s="9">
        <v>0.95</v>
      </c>
      <c r="O834" s="8">
        <f t="shared" ref="O834:O897" si="39">M834-((95*M834)/100)</f>
        <v>9995</v>
      </c>
      <c r="P834" s="6" t="s">
        <v>15</v>
      </c>
    </row>
    <row r="835" spans="1:16" x14ac:dyDescent="0.25">
      <c r="A835" s="6" t="s">
        <v>3920</v>
      </c>
      <c r="B835" s="7">
        <f t="shared" si="37"/>
        <v>46114</v>
      </c>
      <c r="C835" s="7">
        <f t="shared" si="38"/>
        <v>46120</v>
      </c>
      <c r="D835" s="6">
        <v>3280</v>
      </c>
      <c r="E835" s="6">
        <v>337</v>
      </c>
      <c r="F835" s="6">
        <v>4</v>
      </c>
      <c r="G835" s="15">
        <v>1</v>
      </c>
      <c r="H835" s="15"/>
      <c r="I835" s="15" t="s">
        <v>1505</v>
      </c>
      <c r="J835" s="15">
        <v>24133975</v>
      </c>
      <c r="K835" s="15" t="s">
        <v>870</v>
      </c>
      <c r="L835" s="15" t="s">
        <v>996</v>
      </c>
      <c r="M835" s="16">
        <v>209900</v>
      </c>
      <c r="N835" s="9">
        <v>0.95</v>
      </c>
      <c r="O835" s="8">
        <f t="shared" si="39"/>
        <v>10495</v>
      </c>
      <c r="P835" s="6" t="s">
        <v>15</v>
      </c>
    </row>
    <row r="836" spans="1:16" x14ac:dyDescent="0.25">
      <c r="A836" s="6" t="s">
        <v>3920</v>
      </c>
      <c r="B836" s="7">
        <f t="shared" ref="B836:B899" si="40">B835</f>
        <v>46114</v>
      </c>
      <c r="C836" s="7">
        <f t="shared" ref="C836:C899" si="41">C835</f>
        <v>46120</v>
      </c>
      <c r="D836" s="6">
        <v>3280</v>
      </c>
      <c r="E836" s="6">
        <v>337</v>
      </c>
      <c r="F836" s="6">
        <v>4</v>
      </c>
      <c r="G836" s="15">
        <v>1</v>
      </c>
      <c r="H836" s="15"/>
      <c r="I836" s="15" t="s">
        <v>1505</v>
      </c>
      <c r="J836" s="15">
        <v>24103033</v>
      </c>
      <c r="K836" s="15" t="s">
        <v>853</v>
      </c>
      <c r="L836" s="15" t="s">
        <v>997</v>
      </c>
      <c r="M836" s="16">
        <v>249900</v>
      </c>
      <c r="N836" s="9">
        <v>0.95</v>
      </c>
      <c r="O836" s="8">
        <f t="shared" si="39"/>
        <v>12495</v>
      </c>
      <c r="P836" s="6" t="s">
        <v>15</v>
      </c>
    </row>
    <row r="837" spans="1:16" x14ac:dyDescent="0.25">
      <c r="A837" s="6" t="s">
        <v>3920</v>
      </c>
      <c r="B837" s="7">
        <f t="shared" si="40"/>
        <v>46114</v>
      </c>
      <c r="C837" s="7">
        <f t="shared" si="41"/>
        <v>46120</v>
      </c>
      <c r="D837" s="6">
        <v>3280</v>
      </c>
      <c r="E837" s="6">
        <v>337</v>
      </c>
      <c r="F837" s="6">
        <v>4</v>
      </c>
      <c r="G837" s="15">
        <v>1</v>
      </c>
      <c r="H837" s="15"/>
      <c r="I837" s="15" t="s">
        <v>1505</v>
      </c>
      <c r="J837" s="15">
        <v>23934263</v>
      </c>
      <c r="K837" s="15" t="s">
        <v>728</v>
      </c>
      <c r="L837" s="15" t="s">
        <v>998</v>
      </c>
      <c r="M837" s="16">
        <v>199900</v>
      </c>
      <c r="N837" s="9">
        <v>0.95</v>
      </c>
      <c r="O837" s="8">
        <f t="shared" si="39"/>
        <v>9995</v>
      </c>
      <c r="P837" s="6" t="s">
        <v>15</v>
      </c>
    </row>
    <row r="838" spans="1:16" x14ac:dyDescent="0.25">
      <c r="A838" s="6" t="s">
        <v>3920</v>
      </c>
      <c r="B838" s="7">
        <f t="shared" si="40"/>
        <v>46114</v>
      </c>
      <c r="C838" s="7">
        <f t="shared" si="41"/>
        <v>46120</v>
      </c>
      <c r="D838" s="6">
        <v>3280</v>
      </c>
      <c r="E838" s="6">
        <v>337</v>
      </c>
      <c r="F838" s="6">
        <v>4</v>
      </c>
      <c r="G838" s="15">
        <v>1</v>
      </c>
      <c r="H838" s="15"/>
      <c r="I838" s="15" t="s">
        <v>1505</v>
      </c>
      <c r="J838" s="15">
        <v>24133957</v>
      </c>
      <c r="K838" s="15" t="s">
        <v>870</v>
      </c>
      <c r="L838" s="15" t="s">
        <v>999</v>
      </c>
      <c r="M838" s="16">
        <v>209900</v>
      </c>
      <c r="N838" s="9">
        <v>0.95</v>
      </c>
      <c r="O838" s="8">
        <f t="shared" si="39"/>
        <v>10495</v>
      </c>
      <c r="P838" s="6" t="s">
        <v>15</v>
      </c>
    </row>
    <row r="839" spans="1:16" x14ac:dyDescent="0.25">
      <c r="A839" s="6" t="s">
        <v>3920</v>
      </c>
      <c r="B839" s="7">
        <f t="shared" si="40"/>
        <v>46114</v>
      </c>
      <c r="C839" s="7">
        <f t="shared" si="41"/>
        <v>46120</v>
      </c>
      <c r="D839" s="6">
        <v>3280</v>
      </c>
      <c r="E839" s="6">
        <v>337</v>
      </c>
      <c r="F839" s="6">
        <v>4</v>
      </c>
      <c r="G839" s="15">
        <v>1</v>
      </c>
      <c r="H839" s="15"/>
      <c r="I839" s="15" t="s">
        <v>1505</v>
      </c>
      <c r="J839" s="15">
        <v>24031272</v>
      </c>
      <c r="K839" s="15" t="s">
        <v>845</v>
      </c>
      <c r="L839" s="15" t="s">
        <v>1000</v>
      </c>
      <c r="M839" s="16">
        <v>239900</v>
      </c>
      <c r="N839" s="9">
        <v>0.95</v>
      </c>
      <c r="O839" s="8">
        <f t="shared" si="39"/>
        <v>11995</v>
      </c>
      <c r="P839" s="6" t="s">
        <v>15</v>
      </c>
    </row>
    <row r="840" spans="1:16" x14ac:dyDescent="0.25">
      <c r="A840" s="6" t="s">
        <v>3920</v>
      </c>
      <c r="B840" s="7">
        <f t="shared" si="40"/>
        <v>46114</v>
      </c>
      <c r="C840" s="7">
        <f t="shared" si="41"/>
        <v>46120</v>
      </c>
      <c r="D840" s="6">
        <v>3280</v>
      </c>
      <c r="E840" s="6">
        <v>337</v>
      </c>
      <c r="F840" s="6">
        <v>4</v>
      </c>
      <c r="G840" s="15">
        <v>1</v>
      </c>
      <c r="H840" s="15"/>
      <c r="I840" s="15" t="s">
        <v>1505</v>
      </c>
      <c r="J840" s="15">
        <v>23926898</v>
      </c>
      <c r="K840" s="15" t="s">
        <v>907</v>
      </c>
      <c r="L840" s="15" t="s">
        <v>1001</v>
      </c>
      <c r="M840" s="16">
        <v>189900</v>
      </c>
      <c r="N840" s="9">
        <v>0.95</v>
      </c>
      <c r="O840" s="8">
        <f t="shared" si="39"/>
        <v>9495</v>
      </c>
      <c r="P840" s="6" t="s">
        <v>15</v>
      </c>
    </row>
    <row r="841" spans="1:16" x14ac:dyDescent="0.25">
      <c r="A841" s="6" t="s">
        <v>3920</v>
      </c>
      <c r="B841" s="7">
        <f t="shared" si="40"/>
        <v>46114</v>
      </c>
      <c r="C841" s="7">
        <f t="shared" si="41"/>
        <v>46120</v>
      </c>
      <c r="D841" s="6">
        <v>3280</v>
      </c>
      <c r="E841" s="6">
        <v>337</v>
      </c>
      <c r="F841" s="6">
        <v>4</v>
      </c>
      <c r="G841" s="15">
        <v>1</v>
      </c>
      <c r="H841" s="15"/>
      <c r="I841" s="15" t="s">
        <v>1505</v>
      </c>
      <c r="J841" s="15">
        <v>23858033</v>
      </c>
      <c r="K841" s="15" t="s">
        <v>650</v>
      </c>
      <c r="L841" s="15" t="s">
        <v>1002</v>
      </c>
      <c r="M841" s="16">
        <v>199900</v>
      </c>
      <c r="N841" s="9">
        <v>0.95</v>
      </c>
      <c r="O841" s="8">
        <f t="shared" si="39"/>
        <v>9995</v>
      </c>
      <c r="P841" s="6" t="s">
        <v>15</v>
      </c>
    </row>
    <row r="842" spans="1:16" x14ac:dyDescent="0.25">
      <c r="A842" s="6" t="s">
        <v>3920</v>
      </c>
      <c r="B842" s="7">
        <f t="shared" si="40"/>
        <v>46114</v>
      </c>
      <c r="C842" s="7">
        <f t="shared" si="41"/>
        <v>46120</v>
      </c>
      <c r="D842" s="6">
        <v>3280</v>
      </c>
      <c r="E842" s="6">
        <v>337</v>
      </c>
      <c r="F842" s="6">
        <v>4</v>
      </c>
      <c r="G842" s="15">
        <v>1</v>
      </c>
      <c r="H842" s="15"/>
      <c r="I842" s="15" t="s">
        <v>1505</v>
      </c>
      <c r="J842" s="15">
        <v>24031021</v>
      </c>
      <c r="K842" s="15" t="s">
        <v>842</v>
      </c>
      <c r="L842" s="15" t="s">
        <v>1003</v>
      </c>
      <c r="M842" s="16">
        <v>199900</v>
      </c>
      <c r="N842" s="9">
        <v>0.95</v>
      </c>
      <c r="O842" s="8">
        <f t="shared" si="39"/>
        <v>9995</v>
      </c>
      <c r="P842" s="6" t="s">
        <v>15</v>
      </c>
    </row>
    <row r="843" spans="1:16" x14ac:dyDescent="0.25">
      <c r="A843" s="6" t="s">
        <v>3920</v>
      </c>
      <c r="B843" s="7">
        <f t="shared" si="40"/>
        <v>46114</v>
      </c>
      <c r="C843" s="7">
        <f t="shared" si="41"/>
        <v>46120</v>
      </c>
      <c r="D843" s="6">
        <v>3280</v>
      </c>
      <c r="E843" s="6">
        <v>337</v>
      </c>
      <c r="F843" s="6">
        <v>4</v>
      </c>
      <c r="G843" s="15">
        <v>1</v>
      </c>
      <c r="H843" s="15"/>
      <c r="I843" s="15" t="s">
        <v>1505</v>
      </c>
      <c r="J843" s="15">
        <v>23968503</v>
      </c>
      <c r="K843" s="15" t="s">
        <v>616</v>
      </c>
      <c r="L843" s="15" t="s">
        <v>1004</v>
      </c>
      <c r="M843" s="16">
        <v>209900</v>
      </c>
      <c r="N843" s="9">
        <v>0.95</v>
      </c>
      <c r="O843" s="8">
        <f t="shared" si="39"/>
        <v>10495</v>
      </c>
      <c r="P843" s="6" t="s">
        <v>15</v>
      </c>
    </row>
    <row r="844" spans="1:16" x14ac:dyDescent="0.25">
      <c r="A844" s="6" t="s">
        <v>3920</v>
      </c>
      <c r="B844" s="7">
        <f t="shared" si="40"/>
        <v>46114</v>
      </c>
      <c r="C844" s="7">
        <f t="shared" si="41"/>
        <v>46120</v>
      </c>
      <c r="D844" s="6">
        <v>3280</v>
      </c>
      <c r="E844" s="6">
        <v>337</v>
      </c>
      <c r="F844" s="6">
        <v>4</v>
      </c>
      <c r="G844" s="15">
        <v>1</v>
      </c>
      <c r="H844" s="15"/>
      <c r="I844" s="15" t="s">
        <v>1505</v>
      </c>
      <c r="J844" s="15">
        <v>23968549</v>
      </c>
      <c r="K844" s="15" t="s">
        <v>622</v>
      </c>
      <c r="L844" s="15" t="s">
        <v>1005</v>
      </c>
      <c r="M844" s="16">
        <v>209900</v>
      </c>
      <c r="N844" s="9">
        <v>0.95</v>
      </c>
      <c r="O844" s="8">
        <f t="shared" si="39"/>
        <v>10495</v>
      </c>
      <c r="P844" s="6" t="s">
        <v>15</v>
      </c>
    </row>
    <row r="845" spans="1:16" x14ac:dyDescent="0.25">
      <c r="A845" s="6" t="s">
        <v>3920</v>
      </c>
      <c r="B845" s="7">
        <f t="shared" si="40"/>
        <v>46114</v>
      </c>
      <c r="C845" s="7">
        <f t="shared" si="41"/>
        <v>46120</v>
      </c>
      <c r="D845" s="6">
        <v>3280</v>
      </c>
      <c r="E845" s="6">
        <v>337</v>
      </c>
      <c r="F845" s="6">
        <v>4</v>
      </c>
      <c r="G845" s="15">
        <v>1</v>
      </c>
      <c r="H845" s="15"/>
      <c r="I845" s="15" t="s">
        <v>1505</v>
      </c>
      <c r="J845" s="15">
        <v>24030399</v>
      </c>
      <c r="K845" s="15" t="s">
        <v>839</v>
      </c>
      <c r="L845" s="15" t="s">
        <v>1006</v>
      </c>
      <c r="M845" s="16">
        <v>279900</v>
      </c>
      <c r="N845" s="9">
        <v>0.95</v>
      </c>
      <c r="O845" s="8">
        <f t="shared" si="39"/>
        <v>13995</v>
      </c>
      <c r="P845" s="6" t="s">
        <v>15</v>
      </c>
    </row>
    <row r="846" spans="1:16" x14ac:dyDescent="0.25">
      <c r="A846" s="6" t="s">
        <v>3920</v>
      </c>
      <c r="B846" s="7">
        <f t="shared" si="40"/>
        <v>46114</v>
      </c>
      <c r="C846" s="7">
        <f t="shared" si="41"/>
        <v>46120</v>
      </c>
      <c r="D846" s="6">
        <v>3280</v>
      </c>
      <c r="E846" s="6">
        <v>337</v>
      </c>
      <c r="F846" s="6">
        <v>4</v>
      </c>
      <c r="G846" s="15">
        <v>1</v>
      </c>
      <c r="H846" s="15"/>
      <c r="I846" s="15" t="s">
        <v>1505</v>
      </c>
      <c r="J846" s="15">
        <v>23845841</v>
      </c>
      <c r="K846" s="15" t="s">
        <v>637</v>
      </c>
      <c r="L846" s="15" t="s">
        <v>1007</v>
      </c>
      <c r="M846" s="16">
        <v>209900</v>
      </c>
      <c r="N846" s="9">
        <v>0.95</v>
      </c>
      <c r="O846" s="8">
        <f t="shared" si="39"/>
        <v>10495</v>
      </c>
      <c r="P846" s="6" t="s">
        <v>15</v>
      </c>
    </row>
    <row r="847" spans="1:16" x14ac:dyDescent="0.25">
      <c r="A847" s="6" t="s">
        <v>3920</v>
      </c>
      <c r="B847" s="7">
        <f t="shared" si="40"/>
        <v>46114</v>
      </c>
      <c r="C847" s="7">
        <f t="shared" si="41"/>
        <v>46120</v>
      </c>
      <c r="D847" s="6">
        <v>3280</v>
      </c>
      <c r="E847" s="6">
        <v>337</v>
      </c>
      <c r="F847" s="6">
        <v>4</v>
      </c>
      <c r="G847" s="15">
        <v>1</v>
      </c>
      <c r="H847" s="15"/>
      <c r="I847" s="15" t="s">
        <v>1505</v>
      </c>
      <c r="J847" s="15">
        <v>23926727</v>
      </c>
      <c r="K847" s="15" t="s">
        <v>714</v>
      </c>
      <c r="L847" s="15" t="s">
        <v>1008</v>
      </c>
      <c r="M847" s="16">
        <v>199900</v>
      </c>
      <c r="N847" s="9">
        <v>0.95</v>
      </c>
      <c r="O847" s="8">
        <f t="shared" si="39"/>
        <v>9995</v>
      </c>
      <c r="P847" s="6" t="s">
        <v>15</v>
      </c>
    </row>
    <row r="848" spans="1:16" x14ac:dyDescent="0.25">
      <c r="A848" s="6" t="s">
        <v>3920</v>
      </c>
      <c r="B848" s="7">
        <f t="shared" si="40"/>
        <v>46114</v>
      </c>
      <c r="C848" s="7">
        <f t="shared" si="41"/>
        <v>46120</v>
      </c>
      <c r="D848" s="6">
        <v>3280</v>
      </c>
      <c r="E848" s="6">
        <v>337</v>
      </c>
      <c r="F848" s="6">
        <v>4</v>
      </c>
      <c r="G848" s="15">
        <v>1</v>
      </c>
      <c r="H848" s="15"/>
      <c r="I848" s="15" t="s">
        <v>1505</v>
      </c>
      <c r="J848" s="15">
        <v>23926978</v>
      </c>
      <c r="K848" s="15" t="s">
        <v>716</v>
      </c>
      <c r="L848" s="15" t="s">
        <v>1009</v>
      </c>
      <c r="M848" s="16">
        <v>189900</v>
      </c>
      <c r="N848" s="9">
        <v>0.95</v>
      </c>
      <c r="O848" s="8">
        <f t="shared" si="39"/>
        <v>9495</v>
      </c>
      <c r="P848" s="6" t="s">
        <v>15</v>
      </c>
    </row>
    <row r="849" spans="1:16" x14ac:dyDescent="0.25">
      <c r="A849" s="6" t="s">
        <v>3920</v>
      </c>
      <c r="B849" s="7">
        <f t="shared" si="40"/>
        <v>46114</v>
      </c>
      <c r="C849" s="7">
        <f t="shared" si="41"/>
        <v>46120</v>
      </c>
      <c r="D849" s="6">
        <v>3280</v>
      </c>
      <c r="E849" s="6">
        <v>337</v>
      </c>
      <c r="F849" s="6">
        <v>4</v>
      </c>
      <c r="G849" s="15">
        <v>1</v>
      </c>
      <c r="H849" s="15"/>
      <c r="I849" s="15" t="s">
        <v>1505</v>
      </c>
      <c r="J849" s="15">
        <v>24030406</v>
      </c>
      <c r="K849" s="15" t="s">
        <v>839</v>
      </c>
      <c r="L849" s="15" t="s">
        <v>1010</v>
      </c>
      <c r="M849" s="16">
        <v>299900</v>
      </c>
      <c r="N849" s="9">
        <v>0.95</v>
      </c>
      <c r="O849" s="8">
        <f t="shared" si="39"/>
        <v>14995</v>
      </c>
      <c r="P849" s="6" t="s">
        <v>15</v>
      </c>
    </row>
    <row r="850" spans="1:16" x14ac:dyDescent="0.25">
      <c r="A850" s="6" t="s">
        <v>3920</v>
      </c>
      <c r="B850" s="7">
        <f t="shared" si="40"/>
        <v>46114</v>
      </c>
      <c r="C850" s="7">
        <f t="shared" si="41"/>
        <v>46120</v>
      </c>
      <c r="D850" s="6">
        <v>3280</v>
      </c>
      <c r="E850" s="6">
        <v>337</v>
      </c>
      <c r="F850" s="6">
        <v>4</v>
      </c>
      <c r="G850" s="15">
        <v>1</v>
      </c>
      <c r="H850" s="15"/>
      <c r="I850" s="15" t="s">
        <v>1505</v>
      </c>
      <c r="J850" s="15">
        <v>23996947</v>
      </c>
      <c r="K850" s="15" t="s">
        <v>791</v>
      </c>
      <c r="L850" s="15" t="s">
        <v>1011</v>
      </c>
      <c r="M850" s="16">
        <v>199900</v>
      </c>
      <c r="N850" s="9">
        <v>0.95</v>
      </c>
      <c r="O850" s="8">
        <f t="shared" si="39"/>
        <v>9995</v>
      </c>
      <c r="P850" s="6" t="s">
        <v>15</v>
      </c>
    </row>
    <row r="851" spans="1:16" x14ac:dyDescent="0.25">
      <c r="A851" s="6" t="s">
        <v>3920</v>
      </c>
      <c r="B851" s="7">
        <f t="shared" si="40"/>
        <v>46114</v>
      </c>
      <c r="C851" s="7">
        <f t="shared" si="41"/>
        <v>46120</v>
      </c>
      <c r="D851" s="6">
        <v>3280</v>
      </c>
      <c r="E851" s="6">
        <v>337</v>
      </c>
      <c r="F851" s="6">
        <v>4</v>
      </c>
      <c r="G851" s="15">
        <v>1</v>
      </c>
      <c r="H851" s="15"/>
      <c r="I851" s="15" t="s">
        <v>1505</v>
      </c>
      <c r="J851" s="15">
        <v>23845350</v>
      </c>
      <c r="K851" s="15" t="s">
        <v>631</v>
      </c>
      <c r="L851" s="15" t="s">
        <v>1012</v>
      </c>
      <c r="M851" s="16">
        <v>209900</v>
      </c>
      <c r="N851" s="9">
        <v>0.95</v>
      </c>
      <c r="O851" s="8">
        <f t="shared" si="39"/>
        <v>10495</v>
      </c>
      <c r="P851" s="6" t="s">
        <v>15</v>
      </c>
    </row>
    <row r="852" spans="1:16" x14ac:dyDescent="0.25">
      <c r="A852" s="6" t="s">
        <v>3920</v>
      </c>
      <c r="B852" s="7">
        <f t="shared" si="40"/>
        <v>46114</v>
      </c>
      <c r="C852" s="7">
        <f t="shared" si="41"/>
        <v>46120</v>
      </c>
      <c r="D852" s="6">
        <v>3280</v>
      </c>
      <c r="E852" s="6">
        <v>337</v>
      </c>
      <c r="F852" s="6">
        <v>4</v>
      </c>
      <c r="G852" s="15">
        <v>1</v>
      </c>
      <c r="H852" s="15"/>
      <c r="I852" s="15" t="s">
        <v>1505</v>
      </c>
      <c r="J852" s="15">
        <v>24103079</v>
      </c>
      <c r="K852" s="15" t="s">
        <v>857</v>
      </c>
      <c r="L852" s="15" t="s">
        <v>1013</v>
      </c>
      <c r="M852" s="16">
        <v>219900</v>
      </c>
      <c r="N852" s="9">
        <v>0.95</v>
      </c>
      <c r="O852" s="8">
        <f t="shared" si="39"/>
        <v>10995</v>
      </c>
      <c r="P852" s="6" t="s">
        <v>15</v>
      </c>
    </row>
    <row r="853" spans="1:16" x14ac:dyDescent="0.25">
      <c r="A853" s="6" t="s">
        <v>3920</v>
      </c>
      <c r="B853" s="7">
        <f t="shared" si="40"/>
        <v>46114</v>
      </c>
      <c r="C853" s="7">
        <f t="shared" si="41"/>
        <v>46120</v>
      </c>
      <c r="D853" s="6">
        <v>3280</v>
      </c>
      <c r="E853" s="6">
        <v>337</v>
      </c>
      <c r="F853" s="6">
        <v>4</v>
      </c>
      <c r="G853" s="15">
        <v>1</v>
      </c>
      <c r="H853" s="15"/>
      <c r="I853" s="15" t="s">
        <v>1505</v>
      </c>
      <c r="J853" s="15">
        <v>23968478</v>
      </c>
      <c r="K853" s="15" t="s">
        <v>616</v>
      </c>
      <c r="L853" s="15" t="s">
        <v>1014</v>
      </c>
      <c r="M853" s="16">
        <v>199900</v>
      </c>
      <c r="N853" s="9">
        <v>0.95</v>
      </c>
      <c r="O853" s="8">
        <f t="shared" si="39"/>
        <v>9995</v>
      </c>
      <c r="P853" s="6" t="s">
        <v>15</v>
      </c>
    </row>
    <row r="854" spans="1:16" x14ac:dyDescent="0.25">
      <c r="A854" s="6" t="s">
        <v>3920</v>
      </c>
      <c r="B854" s="7">
        <f t="shared" si="40"/>
        <v>46114</v>
      </c>
      <c r="C854" s="7">
        <f t="shared" si="41"/>
        <v>46120</v>
      </c>
      <c r="D854" s="6">
        <v>3280</v>
      </c>
      <c r="E854" s="6">
        <v>337</v>
      </c>
      <c r="F854" s="6">
        <v>4</v>
      </c>
      <c r="G854" s="15">
        <v>1</v>
      </c>
      <c r="H854" s="15"/>
      <c r="I854" s="15" t="s">
        <v>1505</v>
      </c>
      <c r="J854" s="15">
        <v>24031030</v>
      </c>
      <c r="K854" s="15" t="s">
        <v>842</v>
      </c>
      <c r="L854" s="15" t="s">
        <v>1015</v>
      </c>
      <c r="M854" s="16">
        <v>199900</v>
      </c>
      <c r="N854" s="9">
        <v>0.95</v>
      </c>
      <c r="O854" s="8">
        <f t="shared" si="39"/>
        <v>9995</v>
      </c>
      <c r="P854" s="6" t="s">
        <v>15</v>
      </c>
    </row>
    <row r="855" spans="1:16" x14ac:dyDescent="0.25">
      <c r="A855" s="6" t="s">
        <v>3920</v>
      </c>
      <c r="B855" s="7">
        <f t="shared" si="40"/>
        <v>46114</v>
      </c>
      <c r="C855" s="7">
        <f t="shared" si="41"/>
        <v>46120</v>
      </c>
      <c r="D855" s="6">
        <v>3280</v>
      </c>
      <c r="E855" s="6">
        <v>337</v>
      </c>
      <c r="F855" s="6">
        <v>4</v>
      </c>
      <c r="G855" s="15">
        <v>1</v>
      </c>
      <c r="H855" s="15"/>
      <c r="I855" s="15" t="s">
        <v>1505</v>
      </c>
      <c r="J855" s="15">
        <v>23926665</v>
      </c>
      <c r="K855" s="15" t="s">
        <v>712</v>
      </c>
      <c r="L855" s="15" t="s">
        <v>1016</v>
      </c>
      <c r="M855" s="16">
        <v>199900</v>
      </c>
      <c r="N855" s="9">
        <v>0.95</v>
      </c>
      <c r="O855" s="8">
        <f t="shared" si="39"/>
        <v>9995</v>
      </c>
      <c r="P855" s="6" t="s">
        <v>15</v>
      </c>
    </row>
    <row r="856" spans="1:16" x14ac:dyDescent="0.25">
      <c r="A856" s="6" t="s">
        <v>3920</v>
      </c>
      <c r="B856" s="7">
        <f t="shared" si="40"/>
        <v>46114</v>
      </c>
      <c r="C856" s="7">
        <f t="shared" si="41"/>
        <v>46120</v>
      </c>
      <c r="D856" s="6">
        <v>3280</v>
      </c>
      <c r="E856" s="6">
        <v>337</v>
      </c>
      <c r="F856" s="6">
        <v>4</v>
      </c>
      <c r="G856" s="15">
        <v>1</v>
      </c>
      <c r="H856" s="15"/>
      <c r="I856" s="15" t="s">
        <v>1505</v>
      </c>
      <c r="J856" s="15">
        <v>24032735</v>
      </c>
      <c r="K856" s="15" t="s">
        <v>925</v>
      </c>
      <c r="L856" s="15" t="s">
        <v>1017</v>
      </c>
      <c r="M856" s="16">
        <v>249900</v>
      </c>
      <c r="N856" s="9">
        <v>0.95</v>
      </c>
      <c r="O856" s="8">
        <f t="shared" si="39"/>
        <v>12495</v>
      </c>
      <c r="P856" s="6" t="s">
        <v>15</v>
      </c>
    </row>
    <row r="857" spans="1:16" x14ac:dyDescent="0.25">
      <c r="A857" s="6" t="s">
        <v>3920</v>
      </c>
      <c r="B857" s="7">
        <f t="shared" si="40"/>
        <v>46114</v>
      </c>
      <c r="C857" s="7">
        <f t="shared" si="41"/>
        <v>46120</v>
      </c>
      <c r="D857" s="6">
        <v>3280</v>
      </c>
      <c r="E857" s="6">
        <v>337</v>
      </c>
      <c r="F857" s="6">
        <v>4</v>
      </c>
      <c r="G857" s="15">
        <v>1</v>
      </c>
      <c r="H857" s="15"/>
      <c r="I857" s="15" t="s">
        <v>1505</v>
      </c>
      <c r="J857" s="15">
        <v>24117680</v>
      </c>
      <c r="K857" s="15" t="s">
        <v>865</v>
      </c>
      <c r="L857" s="15" t="s">
        <v>1018</v>
      </c>
      <c r="M857" s="16">
        <v>199900</v>
      </c>
      <c r="N857" s="9">
        <v>0.95</v>
      </c>
      <c r="O857" s="8">
        <f t="shared" si="39"/>
        <v>9995</v>
      </c>
      <c r="P857" s="6" t="s">
        <v>15</v>
      </c>
    </row>
    <row r="858" spans="1:16" x14ac:dyDescent="0.25">
      <c r="A858" s="6" t="s">
        <v>3920</v>
      </c>
      <c r="B858" s="7">
        <f t="shared" si="40"/>
        <v>46114</v>
      </c>
      <c r="C858" s="7">
        <f t="shared" si="41"/>
        <v>46120</v>
      </c>
      <c r="D858" s="6">
        <v>3280</v>
      </c>
      <c r="E858" s="6">
        <v>337</v>
      </c>
      <c r="F858" s="6">
        <v>4</v>
      </c>
      <c r="G858" s="15">
        <v>1</v>
      </c>
      <c r="H858" s="15"/>
      <c r="I858" s="15" t="s">
        <v>1505</v>
      </c>
      <c r="J858" s="15">
        <v>24032753</v>
      </c>
      <c r="K858" s="15" t="s">
        <v>925</v>
      </c>
      <c r="L858" s="15" t="s">
        <v>1019</v>
      </c>
      <c r="M858" s="16">
        <v>249900</v>
      </c>
      <c r="N858" s="9">
        <v>0.95</v>
      </c>
      <c r="O858" s="8">
        <f t="shared" si="39"/>
        <v>12495</v>
      </c>
      <c r="P858" s="6" t="s">
        <v>15</v>
      </c>
    </row>
    <row r="859" spans="1:16" x14ac:dyDescent="0.25">
      <c r="A859" s="6" t="s">
        <v>3920</v>
      </c>
      <c r="B859" s="7">
        <f t="shared" si="40"/>
        <v>46114</v>
      </c>
      <c r="C859" s="7">
        <f t="shared" si="41"/>
        <v>46120</v>
      </c>
      <c r="D859" s="6">
        <v>3280</v>
      </c>
      <c r="E859" s="6">
        <v>337</v>
      </c>
      <c r="F859" s="6">
        <v>4</v>
      </c>
      <c r="G859" s="15">
        <v>1</v>
      </c>
      <c r="H859" s="15"/>
      <c r="I859" s="15" t="s">
        <v>1505</v>
      </c>
      <c r="J859" s="15">
        <v>24032726</v>
      </c>
      <c r="K859" s="15" t="s">
        <v>925</v>
      </c>
      <c r="L859" s="15" t="s">
        <v>1020</v>
      </c>
      <c r="M859" s="16">
        <v>239900</v>
      </c>
      <c r="N859" s="9">
        <v>0.95</v>
      </c>
      <c r="O859" s="8">
        <f t="shared" si="39"/>
        <v>11995</v>
      </c>
      <c r="P859" s="6" t="s">
        <v>15</v>
      </c>
    </row>
    <row r="860" spans="1:16" x14ac:dyDescent="0.25">
      <c r="A860" s="6" t="s">
        <v>3920</v>
      </c>
      <c r="B860" s="7">
        <f t="shared" si="40"/>
        <v>46114</v>
      </c>
      <c r="C860" s="7">
        <f t="shared" si="41"/>
        <v>46120</v>
      </c>
      <c r="D860" s="6">
        <v>3280</v>
      </c>
      <c r="E860" s="6">
        <v>337</v>
      </c>
      <c r="F860" s="6">
        <v>4</v>
      </c>
      <c r="G860" s="15">
        <v>1</v>
      </c>
      <c r="H860" s="15"/>
      <c r="I860" s="15" t="s">
        <v>1505</v>
      </c>
      <c r="J860" s="15">
        <v>24244079</v>
      </c>
      <c r="K860" s="15" t="s">
        <v>1021</v>
      </c>
      <c r="L860" s="15" t="s">
        <v>1022</v>
      </c>
      <c r="M860" s="16">
        <v>219900</v>
      </c>
      <c r="N860" s="9">
        <v>0.95</v>
      </c>
      <c r="O860" s="8">
        <f t="shared" si="39"/>
        <v>10995</v>
      </c>
      <c r="P860" s="6" t="s">
        <v>15</v>
      </c>
    </row>
    <row r="861" spans="1:16" x14ac:dyDescent="0.25">
      <c r="A861" s="6" t="s">
        <v>3920</v>
      </c>
      <c r="B861" s="7">
        <f t="shared" si="40"/>
        <v>46114</v>
      </c>
      <c r="C861" s="7">
        <f t="shared" si="41"/>
        <v>46120</v>
      </c>
      <c r="D861" s="6">
        <v>3280</v>
      </c>
      <c r="E861" s="6">
        <v>337</v>
      </c>
      <c r="F861" s="6">
        <v>4</v>
      </c>
      <c r="G861" s="15">
        <v>1</v>
      </c>
      <c r="H861" s="15"/>
      <c r="I861" s="15" t="s">
        <v>1505</v>
      </c>
      <c r="J861" s="15">
        <v>24036277</v>
      </c>
      <c r="K861" s="15" t="s">
        <v>1023</v>
      </c>
      <c r="L861" s="15" t="s">
        <v>1024</v>
      </c>
      <c r="M861" s="16">
        <v>209900</v>
      </c>
      <c r="N861" s="9">
        <v>0.95</v>
      </c>
      <c r="O861" s="8">
        <f t="shared" si="39"/>
        <v>10495</v>
      </c>
      <c r="P861" s="6" t="s">
        <v>15</v>
      </c>
    </row>
    <row r="862" spans="1:16" x14ac:dyDescent="0.25">
      <c r="A862" s="6" t="s">
        <v>3920</v>
      </c>
      <c r="B862" s="7">
        <f t="shared" si="40"/>
        <v>46114</v>
      </c>
      <c r="C862" s="7">
        <f t="shared" si="41"/>
        <v>46120</v>
      </c>
      <c r="D862" s="6">
        <v>3280</v>
      </c>
      <c r="E862" s="6">
        <v>337</v>
      </c>
      <c r="F862" s="6">
        <v>4</v>
      </c>
      <c r="G862" s="15">
        <v>1</v>
      </c>
      <c r="H862" s="15"/>
      <c r="I862" s="15" t="s">
        <v>1505</v>
      </c>
      <c r="J862" s="15">
        <v>24036286</v>
      </c>
      <c r="K862" s="15" t="s">
        <v>1023</v>
      </c>
      <c r="L862" s="15" t="s">
        <v>1025</v>
      </c>
      <c r="M862" s="16">
        <v>209900</v>
      </c>
      <c r="N862" s="9">
        <v>0.95</v>
      </c>
      <c r="O862" s="8">
        <f t="shared" si="39"/>
        <v>10495</v>
      </c>
      <c r="P862" s="6" t="s">
        <v>15</v>
      </c>
    </row>
    <row r="863" spans="1:16" x14ac:dyDescent="0.25">
      <c r="A863" s="6" t="s">
        <v>3920</v>
      </c>
      <c r="B863" s="7">
        <f t="shared" si="40"/>
        <v>46114</v>
      </c>
      <c r="C863" s="7">
        <f t="shared" si="41"/>
        <v>46120</v>
      </c>
      <c r="D863" s="6">
        <v>3280</v>
      </c>
      <c r="E863" s="6">
        <v>337</v>
      </c>
      <c r="F863" s="6">
        <v>4</v>
      </c>
      <c r="G863" s="15">
        <v>1</v>
      </c>
      <c r="H863" s="15"/>
      <c r="I863" s="15" t="s">
        <v>1505</v>
      </c>
      <c r="J863" s="15">
        <v>24036295</v>
      </c>
      <c r="K863" s="15" t="s">
        <v>1023</v>
      </c>
      <c r="L863" s="15" t="s">
        <v>1026</v>
      </c>
      <c r="M863" s="16">
        <v>209900</v>
      </c>
      <c r="N863" s="9">
        <v>0.95</v>
      </c>
      <c r="O863" s="8">
        <f t="shared" si="39"/>
        <v>10495</v>
      </c>
      <c r="P863" s="6" t="s">
        <v>15</v>
      </c>
    </row>
    <row r="864" spans="1:16" x14ac:dyDescent="0.25">
      <c r="A864" s="6" t="s">
        <v>3920</v>
      </c>
      <c r="B864" s="7">
        <f t="shared" si="40"/>
        <v>46114</v>
      </c>
      <c r="C864" s="7">
        <f t="shared" si="41"/>
        <v>46120</v>
      </c>
      <c r="D864" s="6">
        <v>3280</v>
      </c>
      <c r="E864" s="6">
        <v>337</v>
      </c>
      <c r="F864" s="6">
        <v>4</v>
      </c>
      <c r="G864" s="15">
        <v>1</v>
      </c>
      <c r="H864" s="15"/>
      <c r="I864" s="15" t="s">
        <v>1505</v>
      </c>
      <c r="J864" s="15">
        <v>24036302</v>
      </c>
      <c r="K864" s="15" t="s">
        <v>1023</v>
      </c>
      <c r="L864" s="15" t="s">
        <v>1027</v>
      </c>
      <c r="M864" s="16">
        <v>219900</v>
      </c>
      <c r="N864" s="9">
        <v>0.95</v>
      </c>
      <c r="O864" s="8">
        <f t="shared" si="39"/>
        <v>10995</v>
      </c>
      <c r="P864" s="6" t="s">
        <v>15</v>
      </c>
    </row>
    <row r="865" spans="1:16" x14ac:dyDescent="0.25">
      <c r="A865" s="6" t="s">
        <v>3920</v>
      </c>
      <c r="B865" s="7">
        <f t="shared" si="40"/>
        <v>46114</v>
      </c>
      <c r="C865" s="7">
        <f t="shared" si="41"/>
        <v>46120</v>
      </c>
      <c r="D865" s="6">
        <v>3280</v>
      </c>
      <c r="E865" s="6">
        <v>337</v>
      </c>
      <c r="F865" s="6">
        <v>4</v>
      </c>
      <c r="G865" s="15">
        <v>1</v>
      </c>
      <c r="H865" s="15"/>
      <c r="I865" s="15" t="s">
        <v>1505</v>
      </c>
      <c r="J865" s="15">
        <v>24036311</v>
      </c>
      <c r="K865" s="15" t="s">
        <v>1023</v>
      </c>
      <c r="L865" s="15" t="s">
        <v>1028</v>
      </c>
      <c r="M865" s="16">
        <v>219900</v>
      </c>
      <c r="N865" s="9">
        <v>0.95</v>
      </c>
      <c r="O865" s="8">
        <f t="shared" si="39"/>
        <v>10995</v>
      </c>
      <c r="P865" s="6" t="s">
        <v>15</v>
      </c>
    </row>
    <row r="866" spans="1:16" x14ac:dyDescent="0.25">
      <c r="A866" s="6" t="s">
        <v>3920</v>
      </c>
      <c r="B866" s="7">
        <f t="shared" si="40"/>
        <v>46114</v>
      </c>
      <c r="C866" s="7">
        <f t="shared" si="41"/>
        <v>46120</v>
      </c>
      <c r="D866" s="6">
        <v>3280</v>
      </c>
      <c r="E866" s="6">
        <v>337</v>
      </c>
      <c r="F866" s="6">
        <v>4</v>
      </c>
      <c r="G866" s="15">
        <v>1</v>
      </c>
      <c r="H866" s="15"/>
      <c r="I866" s="15" t="s">
        <v>1505</v>
      </c>
      <c r="J866" s="15">
        <v>24036320</v>
      </c>
      <c r="K866" s="15" t="s">
        <v>1023</v>
      </c>
      <c r="L866" s="15" t="s">
        <v>1029</v>
      </c>
      <c r="M866" s="16">
        <v>219900</v>
      </c>
      <c r="N866" s="9">
        <v>0.95</v>
      </c>
      <c r="O866" s="8">
        <f t="shared" si="39"/>
        <v>10995</v>
      </c>
      <c r="P866" s="6" t="s">
        <v>15</v>
      </c>
    </row>
    <row r="867" spans="1:16" x14ac:dyDescent="0.25">
      <c r="A867" s="6" t="s">
        <v>3920</v>
      </c>
      <c r="B867" s="7">
        <f t="shared" si="40"/>
        <v>46114</v>
      </c>
      <c r="C867" s="7">
        <f t="shared" si="41"/>
        <v>46120</v>
      </c>
      <c r="D867" s="6">
        <v>3280</v>
      </c>
      <c r="E867" s="6">
        <v>337</v>
      </c>
      <c r="F867" s="6">
        <v>4</v>
      </c>
      <c r="G867" s="15">
        <v>1</v>
      </c>
      <c r="H867" s="15"/>
      <c r="I867" s="15" t="s">
        <v>1505</v>
      </c>
      <c r="J867" s="15">
        <v>24074646</v>
      </c>
      <c r="K867" s="15" t="s">
        <v>1030</v>
      </c>
      <c r="L867" s="15" t="s">
        <v>1031</v>
      </c>
      <c r="M867" s="16">
        <v>209900</v>
      </c>
      <c r="N867" s="9">
        <v>0.95</v>
      </c>
      <c r="O867" s="8">
        <f t="shared" si="39"/>
        <v>10495</v>
      </c>
      <c r="P867" s="6" t="s">
        <v>15</v>
      </c>
    </row>
    <row r="868" spans="1:16" x14ac:dyDescent="0.25">
      <c r="A868" s="6" t="s">
        <v>3920</v>
      </c>
      <c r="B868" s="7">
        <f t="shared" si="40"/>
        <v>46114</v>
      </c>
      <c r="C868" s="7">
        <f t="shared" si="41"/>
        <v>46120</v>
      </c>
      <c r="D868" s="6">
        <v>3280</v>
      </c>
      <c r="E868" s="6">
        <v>337</v>
      </c>
      <c r="F868" s="6">
        <v>4</v>
      </c>
      <c r="G868" s="15">
        <v>1</v>
      </c>
      <c r="H868" s="15"/>
      <c r="I868" s="15" t="s">
        <v>1505</v>
      </c>
      <c r="J868" s="15">
        <v>24074655</v>
      </c>
      <c r="K868" s="15" t="s">
        <v>1030</v>
      </c>
      <c r="L868" s="15" t="s">
        <v>1032</v>
      </c>
      <c r="M868" s="16">
        <v>209900</v>
      </c>
      <c r="N868" s="9">
        <v>0.95</v>
      </c>
      <c r="O868" s="8">
        <f t="shared" si="39"/>
        <v>10495</v>
      </c>
      <c r="P868" s="6" t="s">
        <v>15</v>
      </c>
    </row>
    <row r="869" spans="1:16" x14ac:dyDescent="0.25">
      <c r="A869" s="6" t="s">
        <v>3920</v>
      </c>
      <c r="B869" s="7">
        <f t="shared" si="40"/>
        <v>46114</v>
      </c>
      <c r="C869" s="7">
        <f t="shared" si="41"/>
        <v>46120</v>
      </c>
      <c r="D869" s="6">
        <v>3280</v>
      </c>
      <c r="E869" s="6">
        <v>337</v>
      </c>
      <c r="F869" s="6">
        <v>4</v>
      </c>
      <c r="G869" s="15">
        <v>1</v>
      </c>
      <c r="H869" s="15"/>
      <c r="I869" s="15" t="s">
        <v>1505</v>
      </c>
      <c r="J869" s="15">
        <v>24074664</v>
      </c>
      <c r="K869" s="15" t="s">
        <v>1030</v>
      </c>
      <c r="L869" s="15" t="s">
        <v>1033</v>
      </c>
      <c r="M869" s="16">
        <v>219900</v>
      </c>
      <c r="N869" s="9">
        <v>0.95</v>
      </c>
      <c r="O869" s="8">
        <f t="shared" si="39"/>
        <v>10995</v>
      </c>
      <c r="P869" s="6" t="s">
        <v>15</v>
      </c>
    </row>
    <row r="870" spans="1:16" x14ac:dyDescent="0.25">
      <c r="A870" s="6" t="s">
        <v>3920</v>
      </c>
      <c r="B870" s="7">
        <f t="shared" si="40"/>
        <v>46114</v>
      </c>
      <c r="C870" s="7">
        <f t="shared" si="41"/>
        <v>46120</v>
      </c>
      <c r="D870" s="6">
        <v>3280</v>
      </c>
      <c r="E870" s="6">
        <v>337</v>
      </c>
      <c r="F870" s="6">
        <v>4</v>
      </c>
      <c r="G870" s="15">
        <v>1</v>
      </c>
      <c r="H870" s="15"/>
      <c r="I870" s="15" t="s">
        <v>1505</v>
      </c>
      <c r="J870" s="15">
        <v>24074673</v>
      </c>
      <c r="K870" s="15" t="s">
        <v>1030</v>
      </c>
      <c r="L870" s="15" t="s">
        <v>1034</v>
      </c>
      <c r="M870" s="16">
        <v>219900</v>
      </c>
      <c r="N870" s="9">
        <v>0.95</v>
      </c>
      <c r="O870" s="8">
        <f t="shared" si="39"/>
        <v>10995</v>
      </c>
      <c r="P870" s="6" t="s">
        <v>15</v>
      </c>
    </row>
    <row r="871" spans="1:16" x14ac:dyDescent="0.25">
      <c r="A871" s="6" t="s">
        <v>3920</v>
      </c>
      <c r="B871" s="7">
        <f t="shared" si="40"/>
        <v>46114</v>
      </c>
      <c r="C871" s="7">
        <f t="shared" si="41"/>
        <v>46120</v>
      </c>
      <c r="D871" s="6">
        <v>3280</v>
      </c>
      <c r="E871" s="6">
        <v>337</v>
      </c>
      <c r="F871" s="6">
        <v>4</v>
      </c>
      <c r="G871" s="15">
        <v>1</v>
      </c>
      <c r="H871" s="15"/>
      <c r="I871" s="15" t="s">
        <v>1505</v>
      </c>
      <c r="J871" s="15">
        <v>24074682</v>
      </c>
      <c r="K871" s="15" t="s">
        <v>1030</v>
      </c>
      <c r="L871" s="15" t="s">
        <v>1035</v>
      </c>
      <c r="M871" s="16">
        <v>219900</v>
      </c>
      <c r="N871" s="9">
        <v>0.95</v>
      </c>
      <c r="O871" s="8">
        <f t="shared" si="39"/>
        <v>10995</v>
      </c>
      <c r="P871" s="6" t="s">
        <v>15</v>
      </c>
    </row>
    <row r="872" spans="1:16" x14ac:dyDescent="0.25">
      <c r="A872" s="6" t="s">
        <v>3920</v>
      </c>
      <c r="B872" s="7">
        <f t="shared" si="40"/>
        <v>46114</v>
      </c>
      <c r="C872" s="7">
        <f t="shared" si="41"/>
        <v>46120</v>
      </c>
      <c r="D872" s="6">
        <v>3280</v>
      </c>
      <c r="E872" s="6">
        <v>337</v>
      </c>
      <c r="F872" s="6">
        <v>4</v>
      </c>
      <c r="G872" s="15">
        <v>1</v>
      </c>
      <c r="H872" s="15"/>
      <c r="I872" s="15" t="s">
        <v>1505</v>
      </c>
      <c r="J872" s="15">
        <v>24244024</v>
      </c>
      <c r="K872" s="15" t="s">
        <v>1021</v>
      </c>
      <c r="L872" s="15" t="s">
        <v>1036</v>
      </c>
      <c r="M872" s="16">
        <v>209900</v>
      </c>
      <c r="N872" s="9">
        <v>0.95</v>
      </c>
      <c r="O872" s="8">
        <f t="shared" si="39"/>
        <v>10495</v>
      </c>
      <c r="P872" s="6" t="s">
        <v>15</v>
      </c>
    </row>
    <row r="873" spans="1:16" x14ac:dyDescent="0.25">
      <c r="A873" s="6" t="s">
        <v>3920</v>
      </c>
      <c r="B873" s="7">
        <f t="shared" si="40"/>
        <v>46114</v>
      </c>
      <c r="C873" s="7">
        <f t="shared" si="41"/>
        <v>46120</v>
      </c>
      <c r="D873" s="6">
        <v>3280</v>
      </c>
      <c r="E873" s="6">
        <v>337</v>
      </c>
      <c r="F873" s="6">
        <v>4</v>
      </c>
      <c r="G873" s="15">
        <v>1</v>
      </c>
      <c r="H873" s="15"/>
      <c r="I873" s="15" t="s">
        <v>1505</v>
      </c>
      <c r="J873" s="15">
        <v>24244033</v>
      </c>
      <c r="K873" s="15" t="s">
        <v>1021</v>
      </c>
      <c r="L873" s="15" t="s">
        <v>1037</v>
      </c>
      <c r="M873" s="16">
        <v>209900</v>
      </c>
      <c r="N873" s="9">
        <v>0.95</v>
      </c>
      <c r="O873" s="8">
        <f t="shared" si="39"/>
        <v>10495</v>
      </c>
      <c r="P873" s="6" t="s">
        <v>15</v>
      </c>
    </row>
    <row r="874" spans="1:16" x14ac:dyDescent="0.25">
      <c r="A874" s="6" t="s">
        <v>3920</v>
      </c>
      <c r="B874" s="7">
        <f t="shared" si="40"/>
        <v>46114</v>
      </c>
      <c r="C874" s="7">
        <f t="shared" si="41"/>
        <v>46120</v>
      </c>
      <c r="D874" s="6">
        <v>3280</v>
      </c>
      <c r="E874" s="6">
        <v>337</v>
      </c>
      <c r="F874" s="6">
        <v>4</v>
      </c>
      <c r="G874" s="15">
        <v>1</v>
      </c>
      <c r="H874" s="15"/>
      <c r="I874" s="15" t="s">
        <v>1505</v>
      </c>
      <c r="J874" s="15">
        <v>24244042</v>
      </c>
      <c r="K874" s="15" t="s">
        <v>1021</v>
      </c>
      <c r="L874" s="15" t="s">
        <v>1038</v>
      </c>
      <c r="M874" s="16">
        <v>209900</v>
      </c>
      <c r="N874" s="9">
        <v>0.95</v>
      </c>
      <c r="O874" s="8">
        <f t="shared" si="39"/>
        <v>10495</v>
      </c>
      <c r="P874" s="6" t="s">
        <v>15</v>
      </c>
    </row>
    <row r="875" spans="1:16" x14ac:dyDescent="0.25">
      <c r="A875" s="6" t="s">
        <v>3920</v>
      </c>
      <c r="B875" s="7">
        <f t="shared" si="40"/>
        <v>46114</v>
      </c>
      <c r="C875" s="7">
        <f t="shared" si="41"/>
        <v>46120</v>
      </c>
      <c r="D875" s="6">
        <v>3280</v>
      </c>
      <c r="E875" s="6">
        <v>337</v>
      </c>
      <c r="F875" s="6">
        <v>4</v>
      </c>
      <c r="G875" s="15">
        <v>1</v>
      </c>
      <c r="H875" s="15"/>
      <c r="I875" s="15" t="s">
        <v>1505</v>
      </c>
      <c r="J875" s="15">
        <v>24244051</v>
      </c>
      <c r="K875" s="15" t="s">
        <v>1021</v>
      </c>
      <c r="L875" s="15" t="s">
        <v>1039</v>
      </c>
      <c r="M875" s="16">
        <v>219900</v>
      </c>
      <c r="N875" s="9">
        <v>0.95</v>
      </c>
      <c r="O875" s="8">
        <f t="shared" si="39"/>
        <v>10995</v>
      </c>
      <c r="P875" s="6" t="s">
        <v>15</v>
      </c>
    </row>
    <row r="876" spans="1:16" x14ac:dyDescent="0.25">
      <c r="A876" s="6" t="s">
        <v>3920</v>
      </c>
      <c r="B876" s="7">
        <f t="shared" si="40"/>
        <v>46114</v>
      </c>
      <c r="C876" s="7">
        <f t="shared" si="41"/>
        <v>46120</v>
      </c>
      <c r="D876" s="6">
        <v>3280</v>
      </c>
      <c r="E876" s="6">
        <v>337</v>
      </c>
      <c r="F876" s="6">
        <v>4</v>
      </c>
      <c r="G876" s="15">
        <v>1</v>
      </c>
      <c r="H876" s="15"/>
      <c r="I876" s="15" t="s">
        <v>1505</v>
      </c>
      <c r="J876" s="15">
        <v>24244060</v>
      </c>
      <c r="K876" s="15" t="s">
        <v>1021</v>
      </c>
      <c r="L876" s="15" t="s">
        <v>1040</v>
      </c>
      <c r="M876" s="16">
        <v>219900</v>
      </c>
      <c r="N876" s="9">
        <v>0.95</v>
      </c>
      <c r="O876" s="8">
        <f t="shared" si="39"/>
        <v>10995</v>
      </c>
      <c r="P876" s="6" t="s">
        <v>15</v>
      </c>
    </row>
    <row r="877" spans="1:16" x14ac:dyDescent="0.25">
      <c r="A877" s="6" t="s">
        <v>3920</v>
      </c>
      <c r="B877" s="7">
        <f t="shared" si="40"/>
        <v>46114</v>
      </c>
      <c r="C877" s="7">
        <f t="shared" si="41"/>
        <v>46120</v>
      </c>
      <c r="D877" s="6">
        <v>3280</v>
      </c>
      <c r="E877" s="6">
        <v>337</v>
      </c>
      <c r="F877" s="6">
        <v>4</v>
      </c>
      <c r="G877" s="15">
        <v>1</v>
      </c>
      <c r="H877" s="15"/>
      <c r="I877" s="15" t="s">
        <v>1505</v>
      </c>
      <c r="J877" s="15">
        <v>24256655</v>
      </c>
      <c r="K877" s="15" t="s">
        <v>1041</v>
      </c>
      <c r="L877" s="15" t="s">
        <v>1042</v>
      </c>
      <c r="M877" s="16">
        <v>199900</v>
      </c>
      <c r="N877" s="9">
        <v>0.95</v>
      </c>
      <c r="O877" s="8">
        <f t="shared" si="39"/>
        <v>9995</v>
      </c>
      <c r="P877" s="6" t="s">
        <v>15</v>
      </c>
    </row>
    <row r="878" spans="1:16" x14ac:dyDescent="0.25">
      <c r="A878" s="6" t="s">
        <v>3920</v>
      </c>
      <c r="B878" s="7">
        <f t="shared" si="40"/>
        <v>46114</v>
      </c>
      <c r="C878" s="7">
        <f t="shared" si="41"/>
        <v>46120</v>
      </c>
      <c r="D878" s="6">
        <v>3280</v>
      </c>
      <c r="E878" s="6">
        <v>337</v>
      </c>
      <c r="F878" s="6">
        <v>4</v>
      </c>
      <c r="G878" s="15">
        <v>1</v>
      </c>
      <c r="H878" s="15"/>
      <c r="I878" s="15" t="s">
        <v>1505</v>
      </c>
      <c r="J878" s="15">
        <v>24256664</v>
      </c>
      <c r="K878" s="15" t="s">
        <v>1041</v>
      </c>
      <c r="L878" s="15" t="s">
        <v>1043</v>
      </c>
      <c r="M878" s="16">
        <v>199900</v>
      </c>
      <c r="N878" s="9">
        <v>0.95</v>
      </c>
      <c r="O878" s="8">
        <f t="shared" si="39"/>
        <v>9995</v>
      </c>
      <c r="P878" s="6" t="s">
        <v>15</v>
      </c>
    </row>
    <row r="879" spans="1:16" x14ac:dyDescent="0.25">
      <c r="A879" s="6" t="s">
        <v>3920</v>
      </c>
      <c r="B879" s="7">
        <f t="shared" si="40"/>
        <v>46114</v>
      </c>
      <c r="C879" s="7">
        <f t="shared" si="41"/>
        <v>46120</v>
      </c>
      <c r="D879" s="6">
        <v>3280</v>
      </c>
      <c r="E879" s="6">
        <v>337</v>
      </c>
      <c r="F879" s="6">
        <v>4</v>
      </c>
      <c r="G879" s="15">
        <v>1</v>
      </c>
      <c r="H879" s="15"/>
      <c r="I879" s="15" t="s">
        <v>1505</v>
      </c>
      <c r="J879" s="15">
        <v>24256673</v>
      </c>
      <c r="K879" s="15" t="s">
        <v>1041</v>
      </c>
      <c r="L879" s="15" t="s">
        <v>1044</v>
      </c>
      <c r="M879" s="16">
        <v>199900</v>
      </c>
      <c r="N879" s="9">
        <v>0.95</v>
      </c>
      <c r="O879" s="8">
        <f t="shared" si="39"/>
        <v>9995</v>
      </c>
      <c r="P879" s="6" t="s">
        <v>15</v>
      </c>
    </row>
    <row r="880" spans="1:16" x14ac:dyDescent="0.25">
      <c r="A880" s="6" t="s">
        <v>3920</v>
      </c>
      <c r="B880" s="7">
        <f t="shared" si="40"/>
        <v>46114</v>
      </c>
      <c r="C880" s="7">
        <f t="shared" si="41"/>
        <v>46120</v>
      </c>
      <c r="D880" s="6">
        <v>3280</v>
      </c>
      <c r="E880" s="6">
        <v>337</v>
      </c>
      <c r="F880" s="6">
        <v>4</v>
      </c>
      <c r="G880" s="15">
        <v>1</v>
      </c>
      <c r="H880" s="15"/>
      <c r="I880" s="15" t="s">
        <v>1505</v>
      </c>
      <c r="J880" s="15">
        <v>24256682</v>
      </c>
      <c r="K880" s="15" t="s">
        <v>1041</v>
      </c>
      <c r="L880" s="15" t="s">
        <v>1045</v>
      </c>
      <c r="M880" s="16">
        <v>209900</v>
      </c>
      <c r="N880" s="9">
        <v>0.95</v>
      </c>
      <c r="O880" s="8">
        <f t="shared" si="39"/>
        <v>10495</v>
      </c>
      <c r="P880" s="6" t="s">
        <v>15</v>
      </c>
    </row>
    <row r="881" spans="1:16" x14ac:dyDescent="0.25">
      <c r="A881" s="6" t="s">
        <v>3920</v>
      </c>
      <c r="B881" s="7">
        <f t="shared" si="40"/>
        <v>46114</v>
      </c>
      <c r="C881" s="7">
        <f t="shared" si="41"/>
        <v>46120</v>
      </c>
      <c r="D881" s="6">
        <v>3280</v>
      </c>
      <c r="E881" s="6">
        <v>337</v>
      </c>
      <c r="F881" s="6">
        <v>4</v>
      </c>
      <c r="G881" s="15">
        <v>1</v>
      </c>
      <c r="H881" s="15"/>
      <c r="I881" s="15" t="s">
        <v>1505</v>
      </c>
      <c r="J881" s="15">
        <v>24256691</v>
      </c>
      <c r="K881" s="15" t="s">
        <v>1041</v>
      </c>
      <c r="L881" s="15" t="s">
        <v>1046</v>
      </c>
      <c r="M881" s="16">
        <v>209900</v>
      </c>
      <c r="N881" s="9">
        <v>0.95</v>
      </c>
      <c r="O881" s="8">
        <f t="shared" si="39"/>
        <v>10495</v>
      </c>
      <c r="P881" s="6" t="s">
        <v>15</v>
      </c>
    </row>
    <row r="882" spans="1:16" x14ac:dyDescent="0.25">
      <c r="A882" s="6" t="s">
        <v>3920</v>
      </c>
      <c r="B882" s="7">
        <f t="shared" si="40"/>
        <v>46114</v>
      </c>
      <c r="C882" s="7">
        <f t="shared" si="41"/>
        <v>46120</v>
      </c>
      <c r="D882" s="6">
        <v>3280</v>
      </c>
      <c r="E882" s="6">
        <v>337</v>
      </c>
      <c r="F882" s="6">
        <v>4</v>
      </c>
      <c r="G882" s="15">
        <v>1</v>
      </c>
      <c r="H882" s="15"/>
      <c r="I882" s="15" t="s">
        <v>1505</v>
      </c>
      <c r="J882" s="15">
        <v>24074637</v>
      </c>
      <c r="K882" s="15" t="s">
        <v>1030</v>
      </c>
      <c r="L882" s="15" t="s">
        <v>1047</v>
      </c>
      <c r="M882" s="16">
        <v>209900</v>
      </c>
      <c r="N882" s="9">
        <v>0.95</v>
      </c>
      <c r="O882" s="8">
        <f t="shared" si="39"/>
        <v>10495</v>
      </c>
      <c r="P882" s="6" t="s">
        <v>15</v>
      </c>
    </row>
    <row r="883" spans="1:16" x14ac:dyDescent="0.25">
      <c r="A883" s="6" t="s">
        <v>3920</v>
      </c>
      <c r="B883" s="7">
        <f t="shared" si="40"/>
        <v>46114</v>
      </c>
      <c r="C883" s="7">
        <f t="shared" si="41"/>
        <v>46120</v>
      </c>
      <c r="D883" s="6">
        <v>3280</v>
      </c>
      <c r="E883" s="6">
        <v>337</v>
      </c>
      <c r="F883" s="6">
        <v>4</v>
      </c>
      <c r="G883" s="15">
        <v>1</v>
      </c>
      <c r="H883" s="15"/>
      <c r="I883" s="15" t="s">
        <v>1505</v>
      </c>
      <c r="J883" s="15">
        <v>24256708</v>
      </c>
      <c r="K883" s="15" t="s">
        <v>1041</v>
      </c>
      <c r="L883" s="15" t="s">
        <v>1048</v>
      </c>
      <c r="M883" s="16">
        <v>209900</v>
      </c>
      <c r="N883" s="9">
        <v>0.95</v>
      </c>
      <c r="O883" s="8">
        <f t="shared" si="39"/>
        <v>10495</v>
      </c>
      <c r="P883" s="6" t="s">
        <v>15</v>
      </c>
    </row>
    <row r="884" spans="1:16" x14ac:dyDescent="0.25">
      <c r="A884" s="6" t="s">
        <v>3920</v>
      </c>
      <c r="B884" s="7">
        <f t="shared" si="40"/>
        <v>46114</v>
      </c>
      <c r="C884" s="7">
        <f t="shared" si="41"/>
        <v>46120</v>
      </c>
      <c r="D884" s="6">
        <v>3280</v>
      </c>
      <c r="E884" s="6">
        <v>337</v>
      </c>
      <c r="F884" s="6">
        <v>4</v>
      </c>
      <c r="G884" s="15">
        <v>1</v>
      </c>
      <c r="H884" s="15"/>
      <c r="I884" s="15" t="s">
        <v>1505</v>
      </c>
      <c r="J884" s="15">
        <v>24037669</v>
      </c>
      <c r="K884" s="15" t="s">
        <v>1049</v>
      </c>
      <c r="L884" s="15" t="s">
        <v>1050</v>
      </c>
      <c r="M884" s="16">
        <v>199900</v>
      </c>
      <c r="N884" s="9">
        <v>0.95</v>
      </c>
      <c r="O884" s="8">
        <f t="shared" si="39"/>
        <v>9995</v>
      </c>
      <c r="P884" s="6" t="s">
        <v>15</v>
      </c>
    </row>
    <row r="885" spans="1:16" x14ac:dyDescent="0.25">
      <c r="A885" s="6" t="s">
        <v>3920</v>
      </c>
      <c r="B885" s="7">
        <f t="shared" si="40"/>
        <v>46114</v>
      </c>
      <c r="C885" s="7">
        <f t="shared" si="41"/>
        <v>46120</v>
      </c>
      <c r="D885" s="6">
        <v>3280</v>
      </c>
      <c r="E885" s="6">
        <v>337</v>
      </c>
      <c r="F885" s="6">
        <v>4</v>
      </c>
      <c r="G885" s="15">
        <v>1</v>
      </c>
      <c r="H885" s="15"/>
      <c r="I885" s="15" t="s">
        <v>1505</v>
      </c>
      <c r="J885" s="15">
        <v>24037678</v>
      </c>
      <c r="K885" s="15" t="s">
        <v>1049</v>
      </c>
      <c r="L885" s="15" t="s">
        <v>1051</v>
      </c>
      <c r="M885" s="16">
        <v>199900</v>
      </c>
      <c r="N885" s="9">
        <v>0.95</v>
      </c>
      <c r="O885" s="8">
        <f t="shared" si="39"/>
        <v>9995</v>
      </c>
      <c r="P885" s="6" t="s">
        <v>15</v>
      </c>
    </row>
    <row r="886" spans="1:16" x14ac:dyDescent="0.25">
      <c r="A886" s="6" t="s">
        <v>3920</v>
      </c>
      <c r="B886" s="7">
        <f t="shared" si="40"/>
        <v>46114</v>
      </c>
      <c r="C886" s="7">
        <f t="shared" si="41"/>
        <v>46120</v>
      </c>
      <c r="D886" s="6">
        <v>3280</v>
      </c>
      <c r="E886" s="6">
        <v>337</v>
      </c>
      <c r="F886" s="6">
        <v>4</v>
      </c>
      <c r="G886" s="15">
        <v>1</v>
      </c>
      <c r="H886" s="15"/>
      <c r="I886" s="15" t="s">
        <v>1505</v>
      </c>
      <c r="J886" s="15">
        <v>24037687</v>
      </c>
      <c r="K886" s="15" t="s">
        <v>1049</v>
      </c>
      <c r="L886" s="15" t="s">
        <v>1052</v>
      </c>
      <c r="M886" s="16">
        <v>199900</v>
      </c>
      <c r="N886" s="9">
        <v>0.95</v>
      </c>
      <c r="O886" s="8">
        <f t="shared" si="39"/>
        <v>9995</v>
      </c>
      <c r="P886" s="6" t="s">
        <v>15</v>
      </c>
    </row>
    <row r="887" spans="1:16" x14ac:dyDescent="0.25">
      <c r="A887" s="6" t="s">
        <v>3920</v>
      </c>
      <c r="B887" s="7">
        <f t="shared" si="40"/>
        <v>46114</v>
      </c>
      <c r="C887" s="7">
        <f t="shared" si="41"/>
        <v>46120</v>
      </c>
      <c r="D887" s="6">
        <v>3280</v>
      </c>
      <c r="E887" s="6">
        <v>337</v>
      </c>
      <c r="F887" s="6">
        <v>4</v>
      </c>
      <c r="G887" s="15">
        <v>1</v>
      </c>
      <c r="H887" s="15"/>
      <c r="I887" s="15" t="s">
        <v>1505</v>
      </c>
      <c r="J887" s="15">
        <v>24037696</v>
      </c>
      <c r="K887" s="15" t="s">
        <v>1049</v>
      </c>
      <c r="L887" s="15" t="s">
        <v>1053</v>
      </c>
      <c r="M887" s="16">
        <v>209900</v>
      </c>
      <c r="N887" s="9">
        <v>0.95</v>
      </c>
      <c r="O887" s="8">
        <f t="shared" si="39"/>
        <v>10495</v>
      </c>
      <c r="P887" s="6" t="s">
        <v>15</v>
      </c>
    </row>
    <row r="888" spans="1:16" x14ac:dyDescent="0.25">
      <c r="A888" s="6" t="s">
        <v>3920</v>
      </c>
      <c r="B888" s="7">
        <f t="shared" si="40"/>
        <v>46114</v>
      </c>
      <c r="C888" s="7">
        <f t="shared" si="41"/>
        <v>46120</v>
      </c>
      <c r="D888" s="6">
        <v>3280</v>
      </c>
      <c r="E888" s="6">
        <v>337</v>
      </c>
      <c r="F888" s="6">
        <v>4</v>
      </c>
      <c r="G888" s="15">
        <v>1</v>
      </c>
      <c r="H888" s="15"/>
      <c r="I888" s="15" t="s">
        <v>1505</v>
      </c>
      <c r="J888" s="15">
        <v>24037703</v>
      </c>
      <c r="K888" s="15" t="s">
        <v>1049</v>
      </c>
      <c r="L888" s="15" t="s">
        <v>1054</v>
      </c>
      <c r="M888" s="16">
        <v>209900</v>
      </c>
      <c r="N888" s="9">
        <v>0.95</v>
      </c>
      <c r="O888" s="8">
        <f t="shared" si="39"/>
        <v>10495</v>
      </c>
      <c r="P888" s="6" t="s">
        <v>15</v>
      </c>
    </row>
    <row r="889" spans="1:16" x14ac:dyDescent="0.25">
      <c r="A889" s="6" t="s">
        <v>3920</v>
      </c>
      <c r="B889" s="7">
        <f t="shared" si="40"/>
        <v>46114</v>
      </c>
      <c r="C889" s="7">
        <f t="shared" si="41"/>
        <v>46120</v>
      </c>
      <c r="D889" s="6">
        <v>3280</v>
      </c>
      <c r="E889" s="6">
        <v>337</v>
      </c>
      <c r="F889" s="6">
        <v>4</v>
      </c>
      <c r="G889" s="15">
        <v>1</v>
      </c>
      <c r="H889" s="15"/>
      <c r="I889" s="15" t="s">
        <v>1505</v>
      </c>
      <c r="J889" s="15">
        <v>24037712</v>
      </c>
      <c r="K889" s="15" t="s">
        <v>1049</v>
      </c>
      <c r="L889" s="15" t="s">
        <v>1055</v>
      </c>
      <c r="M889" s="16">
        <v>209900</v>
      </c>
      <c r="N889" s="9">
        <v>0.95</v>
      </c>
      <c r="O889" s="8">
        <f t="shared" si="39"/>
        <v>10495</v>
      </c>
      <c r="P889" s="6" t="s">
        <v>15</v>
      </c>
    </row>
    <row r="890" spans="1:16" x14ac:dyDescent="0.25">
      <c r="A890" s="6" t="s">
        <v>3920</v>
      </c>
      <c r="B890" s="7">
        <f t="shared" si="40"/>
        <v>46114</v>
      </c>
      <c r="C890" s="7">
        <f t="shared" si="41"/>
        <v>46120</v>
      </c>
      <c r="D890" s="6">
        <v>3280</v>
      </c>
      <c r="E890" s="6">
        <v>337</v>
      </c>
      <c r="F890" s="6">
        <v>4</v>
      </c>
      <c r="G890" s="15">
        <v>1</v>
      </c>
      <c r="H890" s="15"/>
      <c r="I890" s="15" t="s">
        <v>1505</v>
      </c>
      <c r="J890" s="15">
        <v>24038042</v>
      </c>
      <c r="K890" s="15" t="s">
        <v>1056</v>
      </c>
      <c r="L890" s="15" t="s">
        <v>1057</v>
      </c>
      <c r="M890" s="16">
        <v>209900</v>
      </c>
      <c r="N890" s="9">
        <v>0.95</v>
      </c>
      <c r="O890" s="8">
        <f t="shared" si="39"/>
        <v>10495</v>
      </c>
      <c r="P890" s="6" t="s">
        <v>15</v>
      </c>
    </row>
    <row r="891" spans="1:16" x14ac:dyDescent="0.25">
      <c r="A891" s="6" t="s">
        <v>3920</v>
      </c>
      <c r="B891" s="7">
        <f t="shared" si="40"/>
        <v>46114</v>
      </c>
      <c r="C891" s="7">
        <f t="shared" si="41"/>
        <v>46120</v>
      </c>
      <c r="D891" s="6">
        <v>3280</v>
      </c>
      <c r="E891" s="6">
        <v>337</v>
      </c>
      <c r="F891" s="6">
        <v>4</v>
      </c>
      <c r="G891" s="15">
        <v>1</v>
      </c>
      <c r="H891" s="15"/>
      <c r="I891" s="15" t="s">
        <v>1505</v>
      </c>
      <c r="J891" s="15">
        <v>24038051</v>
      </c>
      <c r="K891" s="15" t="s">
        <v>1056</v>
      </c>
      <c r="L891" s="15" t="s">
        <v>1058</v>
      </c>
      <c r="M891" s="16">
        <v>209900</v>
      </c>
      <c r="N891" s="9">
        <v>0.95</v>
      </c>
      <c r="O891" s="8">
        <f t="shared" si="39"/>
        <v>10495</v>
      </c>
      <c r="P891" s="6" t="s">
        <v>15</v>
      </c>
    </row>
    <row r="892" spans="1:16" x14ac:dyDescent="0.25">
      <c r="A892" s="6" t="s">
        <v>3920</v>
      </c>
      <c r="B892" s="7">
        <f t="shared" si="40"/>
        <v>46114</v>
      </c>
      <c r="C892" s="7">
        <f t="shared" si="41"/>
        <v>46120</v>
      </c>
      <c r="D892" s="6">
        <v>3280</v>
      </c>
      <c r="E892" s="6">
        <v>337</v>
      </c>
      <c r="F892" s="6">
        <v>4</v>
      </c>
      <c r="G892" s="15">
        <v>1</v>
      </c>
      <c r="H892" s="15"/>
      <c r="I892" s="15" t="s">
        <v>1505</v>
      </c>
      <c r="J892" s="15">
        <v>24038060</v>
      </c>
      <c r="K892" s="15" t="s">
        <v>1056</v>
      </c>
      <c r="L892" s="15" t="s">
        <v>1059</v>
      </c>
      <c r="M892" s="16">
        <v>209900</v>
      </c>
      <c r="N892" s="9">
        <v>0.95</v>
      </c>
      <c r="O892" s="8">
        <f t="shared" si="39"/>
        <v>10495</v>
      </c>
      <c r="P892" s="6" t="s">
        <v>15</v>
      </c>
    </row>
    <row r="893" spans="1:16" x14ac:dyDescent="0.25">
      <c r="A893" s="6" t="s">
        <v>3920</v>
      </c>
      <c r="B893" s="7">
        <f t="shared" si="40"/>
        <v>46114</v>
      </c>
      <c r="C893" s="7">
        <f t="shared" si="41"/>
        <v>46120</v>
      </c>
      <c r="D893" s="6">
        <v>3280</v>
      </c>
      <c r="E893" s="6">
        <v>337</v>
      </c>
      <c r="F893" s="6">
        <v>4</v>
      </c>
      <c r="G893" s="15">
        <v>1</v>
      </c>
      <c r="H893" s="15"/>
      <c r="I893" s="15" t="s">
        <v>1505</v>
      </c>
      <c r="J893" s="15">
        <v>24038355</v>
      </c>
      <c r="K893" s="15" t="s">
        <v>1060</v>
      </c>
      <c r="L893" s="15" t="s">
        <v>1061</v>
      </c>
      <c r="M893" s="16">
        <v>199900</v>
      </c>
      <c r="N893" s="9">
        <v>0.95</v>
      </c>
      <c r="O893" s="8">
        <f t="shared" si="39"/>
        <v>9995</v>
      </c>
      <c r="P893" s="6" t="s">
        <v>15</v>
      </c>
    </row>
    <row r="894" spans="1:16" x14ac:dyDescent="0.25">
      <c r="A894" s="6" t="s">
        <v>3920</v>
      </c>
      <c r="B894" s="7">
        <f t="shared" si="40"/>
        <v>46114</v>
      </c>
      <c r="C894" s="7">
        <f t="shared" si="41"/>
        <v>46120</v>
      </c>
      <c r="D894" s="6">
        <v>3280</v>
      </c>
      <c r="E894" s="6">
        <v>337</v>
      </c>
      <c r="F894" s="6">
        <v>4</v>
      </c>
      <c r="G894" s="15">
        <v>1</v>
      </c>
      <c r="H894" s="15"/>
      <c r="I894" s="15" t="s">
        <v>1505</v>
      </c>
      <c r="J894" s="15">
        <v>24038364</v>
      </c>
      <c r="K894" s="15" t="s">
        <v>1060</v>
      </c>
      <c r="L894" s="15" t="s">
        <v>1062</v>
      </c>
      <c r="M894" s="16">
        <v>199900</v>
      </c>
      <c r="N894" s="9">
        <v>0.95</v>
      </c>
      <c r="O894" s="8">
        <f t="shared" si="39"/>
        <v>9995</v>
      </c>
      <c r="P894" s="6" t="s">
        <v>15</v>
      </c>
    </row>
    <row r="895" spans="1:16" x14ac:dyDescent="0.25">
      <c r="A895" s="6" t="s">
        <v>3920</v>
      </c>
      <c r="B895" s="7">
        <f t="shared" si="40"/>
        <v>46114</v>
      </c>
      <c r="C895" s="7">
        <f t="shared" si="41"/>
        <v>46120</v>
      </c>
      <c r="D895" s="6">
        <v>3280</v>
      </c>
      <c r="E895" s="6">
        <v>337</v>
      </c>
      <c r="F895" s="6">
        <v>4</v>
      </c>
      <c r="G895" s="15">
        <v>1</v>
      </c>
      <c r="H895" s="15"/>
      <c r="I895" s="15" t="s">
        <v>1505</v>
      </c>
      <c r="J895" s="15">
        <v>24038373</v>
      </c>
      <c r="K895" s="15" t="s">
        <v>1060</v>
      </c>
      <c r="L895" s="15" t="s">
        <v>1063</v>
      </c>
      <c r="M895" s="16">
        <v>199900</v>
      </c>
      <c r="N895" s="9">
        <v>0.95</v>
      </c>
      <c r="O895" s="8">
        <f t="shared" si="39"/>
        <v>9995</v>
      </c>
      <c r="P895" s="6" t="s">
        <v>15</v>
      </c>
    </row>
    <row r="896" spans="1:16" x14ac:dyDescent="0.25">
      <c r="A896" s="6" t="s">
        <v>3920</v>
      </c>
      <c r="B896" s="7">
        <f t="shared" si="40"/>
        <v>46114</v>
      </c>
      <c r="C896" s="7">
        <f t="shared" si="41"/>
        <v>46120</v>
      </c>
      <c r="D896" s="6">
        <v>3280</v>
      </c>
      <c r="E896" s="6">
        <v>337</v>
      </c>
      <c r="F896" s="6">
        <v>4</v>
      </c>
      <c r="G896" s="15">
        <v>1</v>
      </c>
      <c r="H896" s="15"/>
      <c r="I896" s="15" t="s">
        <v>1505</v>
      </c>
      <c r="J896" s="15">
        <v>24038382</v>
      </c>
      <c r="K896" s="15" t="s">
        <v>1060</v>
      </c>
      <c r="L896" s="15" t="s">
        <v>1064</v>
      </c>
      <c r="M896" s="16">
        <v>209900</v>
      </c>
      <c r="N896" s="9">
        <v>0.95</v>
      </c>
      <c r="O896" s="8">
        <f t="shared" si="39"/>
        <v>10495</v>
      </c>
      <c r="P896" s="6" t="s">
        <v>15</v>
      </c>
    </row>
    <row r="897" spans="1:16" x14ac:dyDescent="0.25">
      <c r="A897" s="6" t="s">
        <v>3920</v>
      </c>
      <c r="B897" s="7">
        <f t="shared" si="40"/>
        <v>46114</v>
      </c>
      <c r="C897" s="7">
        <f t="shared" si="41"/>
        <v>46120</v>
      </c>
      <c r="D897" s="6">
        <v>3280</v>
      </c>
      <c r="E897" s="6">
        <v>337</v>
      </c>
      <c r="F897" s="6">
        <v>4</v>
      </c>
      <c r="G897" s="15">
        <v>1</v>
      </c>
      <c r="H897" s="15"/>
      <c r="I897" s="15" t="s">
        <v>1505</v>
      </c>
      <c r="J897" s="15">
        <v>24038391</v>
      </c>
      <c r="K897" s="15" t="s">
        <v>1060</v>
      </c>
      <c r="L897" s="15" t="s">
        <v>1065</v>
      </c>
      <c r="M897" s="16">
        <v>209900</v>
      </c>
      <c r="N897" s="9">
        <v>0.95</v>
      </c>
      <c r="O897" s="8">
        <f t="shared" si="39"/>
        <v>10495</v>
      </c>
      <c r="P897" s="6" t="s">
        <v>15</v>
      </c>
    </row>
    <row r="898" spans="1:16" x14ac:dyDescent="0.25">
      <c r="A898" s="6" t="s">
        <v>3920</v>
      </c>
      <c r="B898" s="7">
        <f t="shared" si="40"/>
        <v>46114</v>
      </c>
      <c r="C898" s="7">
        <f t="shared" si="41"/>
        <v>46120</v>
      </c>
      <c r="D898" s="6">
        <v>3280</v>
      </c>
      <c r="E898" s="6">
        <v>337</v>
      </c>
      <c r="F898" s="6">
        <v>4</v>
      </c>
      <c r="G898" s="15">
        <v>1</v>
      </c>
      <c r="H898" s="15"/>
      <c r="I898" s="15" t="s">
        <v>1505</v>
      </c>
      <c r="J898" s="15">
        <v>24132225</v>
      </c>
      <c r="K898" s="15" t="s">
        <v>1066</v>
      </c>
      <c r="L898" s="15" t="s">
        <v>1067</v>
      </c>
      <c r="M898" s="16">
        <v>199900</v>
      </c>
      <c r="N898" s="9">
        <v>0.95</v>
      </c>
      <c r="O898" s="8">
        <f t="shared" ref="O898:O961" si="42">M898-((95*M898)/100)</f>
        <v>9995</v>
      </c>
      <c r="P898" s="6" t="s">
        <v>15</v>
      </c>
    </row>
    <row r="899" spans="1:16" x14ac:dyDescent="0.25">
      <c r="A899" s="6" t="s">
        <v>3920</v>
      </c>
      <c r="B899" s="7">
        <f t="shared" si="40"/>
        <v>46114</v>
      </c>
      <c r="C899" s="7">
        <f t="shared" si="41"/>
        <v>46120</v>
      </c>
      <c r="D899" s="6">
        <v>3280</v>
      </c>
      <c r="E899" s="6">
        <v>337</v>
      </c>
      <c r="F899" s="6">
        <v>4</v>
      </c>
      <c r="G899" s="15">
        <v>1</v>
      </c>
      <c r="H899" s="15"/>
      <c r="I899" s="15" t="s">
        <v>1505</v>
      </c>
      <c r="J899" s="15">
        <v>24132234</v>
      </c>
      <c r="K899" s="15" t="s">
        <v>1066</v>
      </c>
      <c r="L899" s="15" t="s">
        <v>1068</v>
      </c>
      <c r="M899" s="16">
        <v>199900</v>
      </c>
      <c r="N899" s="9">
        <v>0.95</v>
      </c>
      <c r="O899" s="8">
        <f t="shared" si="42"/>
        <v>9995</v>
      </c>
      <c r="P899" s="6" t="s">
        <v>15</v>
      </c>
    </row>
    <row r="900" spans="1:16" x14ac:dyDescent="0.25">
      <c r="A900" s="6" t="s">
        <v>3920</v>
      </c>
      <c r="B900" s="7">
        <f t="shared" ref="B900:B963" si="43">B899</f>
        <v>46114</v>
      </c>
      <c r="C900" s="7">
        <f t="shared" ref="C900:C963" si="44">C899</f>
        <v>46120</v>
      </c>
      <c r="D900" s="6">
        <v>3280</v>
      </c>
      <c r="E900" s="6">
        <v>337</v>
      </c>
      <c r="F900" s="6">
        <v>4</v>
      </c>
      <c r="G900" s="15">
        <v>1</v>
      </c>
      <c r="H900" s="15"/>
      <c r="I900" s="15" t="s">
        <v>1505</v>
      </c>
      <c r="J900" s="15">
        <v>24138452</v>
      </c>
      <c r="K900" s="15" t="s">
        <v>1069</v>
      </c>
      <c r="L900" s="15" t="s">
        <v>1070</v>
      </c>
      <c r="M900" s="16">
        <v>189900</v>
      </c>
      <c r="N900" s="9">
        <v>0.95</v>
      </c>
      <c r="O900" s="8">
        <f t="shared" si="42"/>
        <v>9495</v>
      </c>
      <c r="P900" s="6" t="s">
        <v>15</v>
      </c>
    </row>
    <row r="901" spans="1:16" x14ac:dyDescent="0.25">
      <c r="A901" s="6" t="s">
        <v>3920</v>
      </c>
      <c r="B901" s="7">
        <f t="shared" si="43"/>
        <v>46114</v>
      </c>
      <c r="C901" s="7">
        <f t="shared" si="44"/>
        <v>46120</v>
      </c>
      <c r="D901" s="6">
        <v>3280</v>
      </c>
      <c r="E901" s="6">
        <v>337</v>
      </c>
      <c r="F901" s="6">
        <v>4</v>
      </c>
      <c r="G901" s="15">
        <v>1</v>
      </c>
      <c r="H901" s="15"/>
      <c r="I901" s="15" t="s">
        <v>1505</v>
      </c>
      <c r="J901" s="15">
        <v>24138461</v>
      </c>
      <c r="K901" s="15" t="s">
        <v>1069</v>
      </c>
      <c r="L901" s="15" t="s">
        <v>1071</v>
      </c>
      <c r="M901" s="16">
        <v>189900</v>
      </c>
      <c r="N901" s="9">
        <v>0.95</v>
      </c>
      <c r="O901" s="8">
        <f t="shared" si="42"/>
        <v>9495</v>
      </c>
      <c r="P901" s="6" t="s">
        <v>15</v>
      </c>
    </row>
    <row r="902" spans="1:16" x14ac:dyDescent="0.25">
      <c r="A902" s="6" t="s">
        <v>3920</v>
      </c>
      <c r="B902" s="7">
        <f t="shared" si="43"/>
        <v>46114</v>
      </c>
      <c r="C902" s="7">
        <f t="shared" si="44"/>
        <v>46120</v>
      </c>
      <c r="D902" s="6">
        <v>3280</v>
      </c>
      <c r="E902" s="6">
        <v>337</v>
      </c>
      <c r="F902" s="6">
        <v>4</v>
      </c>
      <c r="G902" s="15">
        <v>1</v>
      </c>
      <c r="H902" s="15"/>
      <c r="I902" s="15" t="s">
        <v>1505</v>
      </c>
      <c r="J902" s="15">
        <v>24138470</v>
      </c>
      <c r="K902" s="15" t="s">
        <v>1069</v>
      </c>
      <c r="L902" s="15" t="s">
        <v>1072</v>
      </c>
      <c r="M902" s="16">
        <v>189900</v>
      </c>
      <c r="N902" s="9">
        <v>0.95</v>
      </c>
      <c r="O902" s="8">
        <f t="shared" si="42"/>
        <v>9495</v>
      </c>
      <c r="P902" s="6" t="s">
        <v>15</v>
      </c>
    </row>
    <row r="903" spans="1:16" x14ac:dyDescent="0.25">
      <c r="A903" s="6" t="s">
        <v>3920</v>
      </c>
      <c r="B903" s="7">
        <f t="shared" si="43"/>
        <v>46114</v>
      </c>
      <c r="C903" s="7">
        <f t="shared" si="44"/>
        <v>46120</v>
      </c>
      <c r="D903" s="6">
        <v>3280</v>
      </c>
      <c r="E903" s="6">
        <v>337</v>
      </c>
      <c r="F903" s="6">
        <v>4</v>
      </c>
      <c r="G903" s="15">
        <v>1</v>
      </c>
      <c r="H903" s="15"/>
      <c r="I903" s="15" t="s">
        <v>1505</v>
      </c>
      <c r="J903" s="15">
        <v>24138489</v>
      </c>
      <c r="K903" s="15" t="s">
        <v>1069</v>
      </c>
      <c r="L903" s="15" t="s">
        <v>1073</v>
      </c>
      <c r="M903" s="16">
        <v>199900</v>
      </c>
      <c r="N903" s="9">
        <v>0.95</v>
      </c>
      <c r="O903" s="8">
        <f t="shared" si="42"/>
        <v>9995</v>
      </c>
      <c r="P903" s="6" t="s">
        <v>15</v>
      </c>
    </row>
    <row r="904" spans="1:16" x14ac:dyDescent="0.25">
      <c r="A904" s="6" t="s">
        <v>3920</v>
      </c>
      <c r="B904" s="7">
        <f t="shared" si="43"/>
        <v>46114</v>
      </c>
      <c r="C904" s="7">
        <f t="shared" si="44"/>
        <v>46120</v>
      </c>
      <c r="D904" s="6">
        <v>3280</v>
      </c>
      <c r="E904" s="6">
        <v>337</v>
      </c>
      <c r="F904" s="6">
        <v>4</v>
      </c>
      <c r="G904" s="15">
        <v>1</v>
      </c>
      <c r="H904" s="15"/>
      <c r="I904" s="15" t="s">
        <v>1505</v>
      </c>
      <c r="J904" s="15">
        <v>24138498</v>
      </c>
      <c r="K904" s="15" t="s">
        <v>1069</v>
      </c>
      <c r="L904" s="15" t="s">
        <v>1074</v>
      </c>
      <c r="M904" s="16">
        <v>199900</v>
      </c>
      <c r="N904" s="9">
        <v>0.95</v>
      </c>
      <c r="O904" s="8">
        <f t="shared" si="42"/>
        <v>9995</v>
      </c>
      <c r="P904" s="6" t="s">
        <v>15</v>
      </c>
    </row>
    <row r="905" spans="1:16" x14ac:dyDescent="0.25">
      <c r="A905" s="6" t="s">
        <v>3920</v>
      </c>
      <c r="B905" s="7">
        <f t="shared" si="43"/>
        <v>46114</v>
      </c>
      <c r="C905" s="7">
        <f t="shared" si="44"/>
        <v>46120</v>
      </c>
      <c r="D905" s="6">
        <v>3280</v>
      </c>
      <c r="E905" s="6">
        <v>337</v>
      </c>
      <c r="F905" s="6">
        <v>4</v>
      </c>
      <c r="G905" s="15">
        <v>1</v>
      </c>
      <c r="H905" s="15"/>
      <c r="I905" s="15" t="s">
        <v>1505</v>
      </c>
      <c r="J905" s="15">
        <v>24138505</v>
      </c>
      <c r="K905" s="15" t="s">
        <v>1069</v>
      </c>
      <c r="L905" s="15" t="s">
        <v>1075</v>
      </c>
      <c r="M905" s="16">
        <v>199900</v>
      </c>
      <c r="N905" s="9">
        <v>0.95</v>
      </c>
      <c r="O905" s="8">
        <f t="shared" si="42"/>
        <v>9995</v>
      </c>
      <c r="P905" s="6" t="s">
        <v>15</v>
      </c>
    </row>
    <row r="906" spans="1:16" x14ac:dyDescent="0.25">
      <c r="A906" s="6" t="s">
        <v>3920</v>
      </c>
      <c r="B906" s="7">
        <f t="shared" si="43"/>
        <v>46114</v>
      </c>
      <c r="C906" s="7">
        <f t="shared" si="44"/>
        <v>46120</v>
      </c>
      <c r="D906" s="6">
        <v>3280</v>
      </c>
      <c r="E906" s="6">
        <v>337</v>
      </c>
      <c r="F906" s="6">
        <v>4</v>
      </c>
      <c r="G906" s="15">
        <v>1</v>
      </c>
      <c r="H906" s="15"/>
      <c r="I906" s="15" t="s">
        <v>1505</v>
      </c>
      <c r="J906" s="15">
        <v>24255674</v>
      </c>
      <c r="K906" s="15" t="s">
        <v>1076</v>
      </c>
      <c r="L906" s="15" t="s">
        <v>1077</v>
      </c>
      <c r="M906" s="16">
        <v>199900</v>
      </c>
      <c r="N906" s="9">
        <v>0.95</v>
      </c>
      <c r="O906" s="8">
        <f t="shared" si="42"/>
        <v>9995</v>
      </c>
      <c r="P906" s="6" t="s">
        <v>15</v>
      </c>
    </row>
    <row r="907" spans="1:16" x14ac:dyDescent="0.25">
      <c r="A907" s="6" t="s">
        <v>3920</v>
      </c>
      <c r="B907" s="7">
        <f t="shared" si="43"/>
        <v>46114</v>
      </c>
      <c r="C907" s="7">
        <f t="shared" si="44"/>
        <v>46120</v>
      </c>
      <c r="D907" s="6">
        <v>3280</v>
      </c>
      <c r="E907" s="6">
        <v>337</v>
      </c>
      <c r="F907" s="6">
        <v>4</v>
      </c>
      <c r="G907" s="15">
        <v>1</v>
      </c>
      <c r="H907" s="15"/>
      <c r="I907" s="15" t="s">
        <v>1505</v>
      </c>
      <c r="J907" s="15">
        <v>24255683</v>
      </c>
      <c r="K907" s="15" t="s">
        <v>1076</v>
      </c>
      <c r="L907" s="15" t="s">
        <v>1078</v>
      </c>
      <c r="M907" s="16">
        <v>199900</v>
      </c>
      <c r="N907" s="9">
        <v>0.95</v>
      </c>
      <c r="O907" s="8">
        <f t="shared" si="42"/>
        <v>9995</v>
      </c>
      <c r="P907" s="6" t="s">
        <v>15</v>
      </c>
    </row>
    <row r="908" spans="1:16" x14ac:dyDescent="0.25">
      <c r="A908" s="6" t="s">
        <v>3920</v>
      </c>
      <c r="B908" s="7">
        <f t="shared" si="43"/>
        <v>46114</v>
      </c>
      <c r="C908" s="7">
        <f t="shared" si="44"/>
        <v>46120</v>
      </c>
      <c r="D908" s="6">
        <v>3280</v>
      </c>
      <c r="E908" s="6">
        <v>337</v>
      </c>
      <c r="F908" s="6">
        <v>4</v>
      </c>
      <c r="G908" s="15">
        <v>1</v>
      </c>
      <c r="H908" s="15"/>
      <c r="I908" s="15" t="s">
        <v>1505</v>
      </c>
      <c r="J908" s="15">
        <v>24255692</v>
      </c>
      <c r="K908" s="15" t="s">
        <v>1076</v>
      </c>
      <c r="L908" s="15" t="s">
        <v>1079</v>
      </c>
      <c r="M908" s="16">
        <v>199900</v>
      </c>
      <c r="N908" s="9">
        <v>0.95</v>
      </c>
      <c r="O908" s="8">
        <f t="shared" si="42"/>
        <v>9995</v>
      </c>
      <c r="P908" s="6" t="s">
        <v>15</v>
      </c>
    </row>
    <row r="909" spans="1:16" x14ac:dyDescent="0.25">
      <c r="A909" s="6" t="s">
        <v>3920</v>
      </c>
      <c r="B909" s="7">
        <f t="shared" si="43"/>
        <v>46114</v>
      </c>
      <c r="C909" s="7">
        <f t="shared" si="44"/>
        <v>46120</v>
      </c>
      <c r="D909" s="6">
        <v>3280</v>
      </c>
      <c r="E909" s="6">
        <v>337</v>
      </c>
      <c r="F909" s="6">
        <v>4</v>
      </c>
      <c r="G909" s="15">
        <v>1</v>
      </c>
      <c r="H909" s="15"/>
      <c r="I909" s="15" t="s">
        <v>1505</v>
      </c>
      <c r="J909" s="15">
        <v>24255718</v>
      </c>
      <c r="K909" s="15" t="s">
        <v>1076</v>
      </c>
      <c r="L909" s="15" t="s">
        <v>1080</v>
      </c>
      <c r="M909" s="16">
        <v>209900</v>
      </c>
      <c r="N909" s="9">
        <v>0.95</v>
      </c>
      <c r="O909" s="8">
        <f t="shared" si="42"/>
        <v>10495</v>
      </c>
      <c r="P909" s="6" t="s">
        <v>15</v>
      </c>
    </row>
    <row r="910" spans="1:16" x14ac:dyDescent="0.25">
      <c r="A910" s="6" t="s">
        <v>3920</v>
      </c>
      <c r="B910" s="7">
        <f t="shared" si="43"/>
        <v>46114</v>
      </c>
      <c r="C910" s="7">
        <f t="shared" si="44"/>
        <v>46120</v>
      </c>
      <c r="D910" s="6">
        <v>3280</v>
      </c>
      <c r="E910" s="6">
        <v>337</v>
      </c>
      <c r="F910" s="6">
        <v>4</v>
      </c>
      <c r="G910" s="15">
        <v>1</v>
      </c>
      <c r="H910" s="15"/>
      <c r="I910" s="15" t="s">
        <v>1505</v>
      </c>
      <c r="J910" s="15">
        <v>24255727</v>
      </c>
      <c r="K910" s="15" t="s">
        <v>1076</v>
      </c>
      <c r="L910" s="15" t="s">
        <v>1081</v>
      </c>
      <c r="M910" s="16">
        <v>209900</v>
      </c>
      <c r="N910" s="9">
        <v>0.95</v>
      </c>
      <c r="O910" s="8">
        <f t="shared" si="42"/>
        <v>10495</v>
      </c>
      <c r="P910" s="6" t="s">
        <v>15</v>
      </c>
    </row>
    <row r="911" spans="1:16" x14ac:dyDescent="0.25">
      <c r="A911" s="6" t="s">
        <v>3920</v>
      </c>
      <c r="B911" s="7">
        <f t="shared" si="43"/>
        <v>46114</v>
      </c>
      <c r="C911" s="7">
        <f t="shared" si="44"/>
        <v>46120</v>
      </c>
      <c r="D911" s="6">
        <v>3280</v>
      </c>
      <c r="E911" s="6">
        <v>337</v>
      </c>
      <c r="F911" s="6">
        <v>4</v>
      </c>
      <c r="G911" s="15">
        <v>1</v>
      </c>
      <c r="H911" s="15"/>
      <c r="I911" s="15" t="s">
        <v>1505</v>
      </c>
      <c r="J911" s="15">
        <v>24260104</v>
      </c>
      <c r="K911" s="15" t="s">
        <v>1082</v>
      </c>
      <c r="L911" s="15" t="s">
        <v>1083</v>
      </c>
      <c r="M911" s="16">
        <v>199900</v>
      </c>
      <c r="N911" s="9">
        <v>0.95</v>
      </c>
      <c r="O911" s="8">
        <f t="shared" si="42"/>
        <v>9995</v>
      </c>
      <c r="P911" s="6" t="s">
        <v>15</v>
      </c>
    </row>
    <row r="912" spans="1:16" x14ac:dyDescent="0.25">
      <c r="A912" s="6" t="s">
        <v>3920</v>
      </c>
      <c r="B912" s="7">
        <f t="shared" si="43"/>
        <v>46114</v>
      </c>
      <c r="C912" s="7">
        <f t="shared" si="44"/>
        <v>46120</v>
      </c>
      <c r="D912" s="6">
        <v>3280</v>
      </c>
      <c r="E912" s="6">
        <v>337</v>
      </c>
      <c r="F912" s="6">
        <v>4</v>
      </c>
      <c r="G912" s="15">
        <v>1</v>
      </c>
      <c r="H912" s="15"/>
      <c r="I912" s="15" t="s">
        <v>1505</v>
      </c>
      <c r="J912" s="15">
        <v>24260113</v>
      </c>
      <c r="K912" s="15" t="s">
        <v>1082</v>
      </c>
      <c r="L912" s="15" t="s">
        <v>1084</v>
      </c>
      <c r="M912" s="16">
        <v>199900</v>
      </c>
      <c r="N912" s="9">
        <v>0.95</v>
      </c>
      <c r="O912" s="8">
        <f t="shared" si="42"/>
        <v>9995</v>
      </c>
      <c r="P912" s="6" t="s">
        <v>15</v>
      </c>
    </row>
    <row r="913" spans="1:16" x14ac:dyDescent="0.25">
      <c r="A913" s="6" t="s">
        <v>3920</v>
      </c>
      <c r="B913" s="7">
        <f t="shared" si="43"/>
        <v>46114</v>
      </c>
      <c r="C913" s="7">
        <f t="shared" si="44"/>
        <v>46120</v>
      </c>
      <c r="D913" s="6">
        <v>3280</v>
      </c>
      <c r="E913" s="6">
        <v>337</v>
      </c>
      <c r="F913" s="6">
        <v>4</v>
      </c>
      <c r="G913" s="15">
        <v>1</v>
      </c>
      <c r="H913" s="15"/>
      <c r="I913" s="15" t="s">
        <v>1505</v>
      </c>
      <c r="J913" s="15">
        <v>24260122</v>
      </c>
      <c r="K913" s="15" t="s">
        <v>1082</v>
      </c>
      <c r="L913" s="15" t="s">
        <v>1085</v>
      </c>
      <c r="M913" s="16">
        <v>199900</v>
      </c>
      <c r="N913" s="9">
        <v>0.95</v>
      </c>
      <c r="O913" s="8">
        <f t="shared" si="42"/>
        <v>9995</v>
      </c>
      <c r="P913" s="6" t="s">
        <v>15</v>
      </c>
    </row>
    <row r="914" spans="1:16" x14ac:dyDescent="0.25">
      <c r="A914" s="6" t="s">
        <v>3920</v>
      </c>
      <c r="B914" s="7">
        <f t="shared" si="43"/>
        <v>46114</v>
      </c>
      <c r="C914" s="7">
        <f t="shared" si="44"/>
        <v>46120</v>
      </c>
      <c r="D914" s="6">
        <v>3280</v>
      </c>
      <c r="E914" s="6">
        <v>337</v>
      </c>
      <c r="F914" s="6">
        <v>4</v>
      </c>
      <c r="G914" s="15">
        <v>1</v>
      </c>
      <c r="H914" s="15"/>
      <c r="I914" s="15" t="s">
        <v>1505</v>
      </c>
      <c r="J914" s="15">
        <v>24260131</v>
      </c>
      <c r="K914" s="15" t="s">
        <v>1082</v>
      </c>
      <c r="L914" s="15" t="s">
        <v>1086</v>
      </c>
      <c r="M914" s="16">
        <v>209900</v>
      </c>
      <c r="N914" s="9">
        <v>0.95</v>
      </c>
      <c r="O914" s="8">
        <f t="shared" si="42"/>
        <v>10495</v>
      </c>
      <c r="P914" s="6" t="s">
        <v>15</v>
      </c>
    </row>
    <row r="915" spans="1:16" x14ac:dyDescent="0.25">
      <c r="A915" s="6" t="s">
        <v>3920</v>
      </c>
      <c r="B915" s="7">
        <f t="shared" si="43"/>
        <v>46114</v>
      </c>
      <c r="C915" s="7">
        <f t="shared" si="44"/>
        <v>46120</v>
      </c>
      <c r="D915" s="6">
        <v>3280</v>
      </c>
      <c r="E915" s="6">
        <v>337</v>
      </c>
      <c r="F915" s="6">
        <v>4</v>
      </c>
      <c r="G915" s="15">
        <v>1</v>
      </c>
      <c r="H915" s="15"/>
      <c r="I915" s="15" t="s">
        <v>1505</v>
      </c>
      <c r="J915" s="15">
        <v>24260140</v>
      </c>
      <c r="K915" s="15" t="s">
        <v>1082</v>
      </c>
      <c r="L915" s="15" t="s">
        <v>1087</v>
      </c>
      <c r="M915" s="16">
        <v>209900</v>
      </c>
      <c r="N915" s="9">
        <v>0.95</v>
      </c>
      <c r="O915" s="8">
        <f t="shared" si="42"/>
        <v>10495</v>
      </c>
      <c r="P915" s="6" t="s">
        <v>15</v>
      </c>
    </row>
    <row r="916" spans="1:16" x14ac:dyDescent="0.25">
      <c r="A916" s="6" t="s">
        <v>3920</v>
      </c>
      <c r="B916" s="7">
        <f t="shared" si="43"/>
        <v>46114</v>
      </c>
      <c r="C916" s="7">
        <f t="shared" si="44"/>
        <v>46120</v>
      </c>
      <c r="D916" s="6">
        <v>3280</v>
      </c>
      <c r="E916" s="6">
        <v>337</v>
      </c>
      <c r="F916" s="6">
        <v>4</v>
      </c>
      <c r="G916" s="15">
        <v>1</v>
      </c>
      <c r="H916" s="15"/>
      <c r="I916" s="15" t="s">
        <v>1505</v>
      </c>
      <c r="J916" s="15">
        <v>24260159</v>
      </c>
      <c r="K916" s="15" t="s">
        <v>1082</v>
      </c>
      <c r="L916" s="15" t="s">
        <v>1088</v>
      </c>
      <c r="M916" s="16">
        <v>209900</v>
      </c>
      <c r="N916" s="9">
        <v>0.95</v>
      </c>
      <c r="O916" s="8">
        <f t="shared" si="42"/>
        <v>10495</v>
      </c>
      <c r="P916" s="6" t="s">
        <v>15</v>
      </c>
    </row>
    <row r="917" spans="1:16" x14ac:dyDescent="0.25">
      <c r="A917" s="6" t="s">
        <v>3920</v>
      </c>
      <c r="B917" s="7">
        <f t="shared" si="43"/>
        <v>46114</v>
      </c>
      <c r="C917" s="7">
        <f t="shared" si="44"/>
        <v>46120</v>
      </c>
      <c r="D917" s="6">
        <v>3280</v>
      </c>
      <c r="E917" s="6">
        <v>337</v>
      </c>
      <c r="F917" s="6">
        <v>4</v>
      </c>
      <c r="G917" s="15">
        <v>1</v>
      </c>
      <c r="H917" s="15"/>
      <c r="I917" s="15" t="s">
        <v>1505</v>
      </c>
      <c r="J917" s="15">
        <v>24329040</v>
      </c>
      <c r="K917" s="15" t="s">
        <v>1089</v>
      </c>
      <c r="L917" s="15" t="s">
        <v>1090</v>
      </c>
      <c r="M917" s="16">
        <v>199900</v>
      </c>
      <c r="N917" s="9">
        <v>0.95</v>
      </c>
      <c r="O917" s="8">
        <f t="shared" si="42"/>
        <v>9995</v>
      </c>
      <c r="P917" s="6" t="s">
        <v>15</v>
      </c>
    </row>
    <row r="918" spans="1:16" x14ac:dyDescent="0.25">
      <c r="A918" s="6" t="s">
        <v>3920</v>
      </c>
      <c r="B918" s="7">
        <f t="shared" si="43"/>
        <v>46114</v>
      </c>
      <c r="C918" s="7">
        <f t="shared" si="44"/>
        <v>46120</v>
      </c>
      <c r="D918" s="6">
        <v>3280</v>
      </c>
      <c r="E918" s="6">
        <v>337</v>
      </c>
      <c r="F918" s="6">
        <v>4</v>
      </c>
      <c r="G918" s="15">
        <v>1</v>
      </c>
      <c r="H918" s="15"/>
      <c r="I918" s="15" t="s">
        <v>1505</v>
      </c>
      <c r="J918" s="15">
        <v>24329095</v>
      </c>
      <c r="K918" s="15" t="s">
        <v>1089</v>
      </c>
      <c r="L918" s="15" t="s">
        <v>1091</v>
      </c>
      <c r="M918" s="16">
        <v>209900</v>
      </c>
      <c r="N918" s="9">
        <v>0.95</v>
      </c>
      <c r="O918" s="8">
        <f t="shared" si="42"/>
        <v>10495</v>
      </c>
      <c r="P918" s="6" t="s">
        <v>15</v>
      </c>
    </row>
    <row r="919" spans="1:16" x14ac:dyDescent="0.25">
      <c r="A919" s="6" t="s">
        <v>3920</v>
      </c>
      <c r="B919" s="7">
        <f t="shared" si="43"/>
        <v>46114</v>
      </c>
      <c r="C919" s="7">
        <f t="shared" si="44"/>
        <v>46120</v>
      </c>
      <c r="D919" s="6">
        <v>3280</v>
      </c>
      <c r="E919" s="6">
        <v>337</v>
      </c>
      <c r="F919" s="6">
        <v>4</v>
      </c>
      <c r="G919" s="15">
        <v>1</v>
      </c>
      <c r="H919" s="15"/>
      <c r="I919" s="15" t="s">
        <v>1505</v>
      </c>
      <c r="J919" s="15">
        <v>24132243</v>
      </c>
      <c r="K919" s="15" t="s">
        <v>1066</v>
      </c>
      <c r="L919" s="15" t="s">
        <v>1092</v>
      </c>
      <c r="M919" s="16">
        <v>199900</v>
      </c>
      <c r="N919" s="9">
        <v>0.95</v>
      </c>
      <c r="O919" s="8">
        <f t="shared" si="42"/>
        <v>9995</v>
      </c>
      <c r="P919" s="6" t="s">
        <v>15</v>
      </c>
    </row>
    <row r="920" spans="1:16" x14ac:dyDescent="0.25">
      <c r="A920" s="6" t="s">
        <v>3920</v>
      </c>
      <c r="B920" s="7">
        <f t="shared" si="43"/>
        <v>46114</v>
      </c>
      <c r="C920" s="7">
        <f t="shared" si="44"/>
        <v>46120</v>
      </c>
      <c r="D920" s="6">
        <v>3280</v>
      </c>
      <c r="E920" s="6">
        <v>337</v>
      </c>
      <c r="F920" s="6">
        <v>4</v>
      </c>
      <c r="G920" s="15">
        <v>1</v>
      </c>
      <c r="H920" s="15"/>
      <c r="I920" s="15" t="s">
        <v>1505</v>
      </c>
      <c r="J920" s="15">
        <v>24132261</v>
      </c>
      <c r="K920" s="15" t="s">
        <v>1066</v>
      </c>
      <c r="L920" s="15" t="s">
        <v>1093</v>
      </c>
      <c r="M920" s="16">
        <v>209900</v>
      </c>
      <c r="N920" s="9">
        <v>0.95</v>
      </c>
      <c r="O920" s="8">
        <f t="shared" si="42"/>
        <v>10495</v>
      </c>
      <c r="P920" s="6" t="s">
        <v>15</v>
      </c>
    </row>
    <row r="921" spans="1:16" x14ac:dyDescent="0.25">
      <c r="A921" s="6" t="s">
        <v>3920</v>
      </c>
      <c r="B921" s="7">
        <f t="shared" si="43"/>
        <v>46114</v>
      </c>
      <c r="C921" s="7">
        <f t="shared" si="44"/>
        <v>46120</v>
      </c>
      <c r="D921" s="6">
        <v>3280</v>
      </c>
      <c r="E921" s="6">
        <v>337</v>
      </c>
      <c r="F921" s="6">
        <v>4</v>
      </c>
      <c r="G921" s="15">
        <v>1</v>
      </c>
      <c r="H921" s="15"/>
      <c r="I921" s="15" t="s">
        <v>1505</v>
      </c>
      <c r="J921" s="15">
        <v>24135982</v>
      </c>
      <c r="K921" s="15" t="s">
        <v>1094</v>
      </c>
      <c r="L921" s="15" t="s">
        <v>1095</v>
      </c>
      <c r="M921" s="16">
        <v>249900</v>
      </c>
      <c r="N921" s="9">
        <v>0.95</v>
      </c>
      <c r="O921" s="8">
        <f t="shared" si="42"/>
        <v>12495</v>
      </c>
      <c r="P921" s="6" t="s">
        <v>15</v>
      </c>
    </row>
    <row r="922" spans="1:16" x14ac:dyDescent="0.25">
      <c r="A922" s="6" t="s">
        <v>3920</v>
      </c>
      <c r="B922" s="7">
        <f t="shared" si="43"/>
        <v>46114</v>
      </c>
      <c r="C922" s="7">
        <f t="shared" si="44"/>
        <v>46120</v>
      </c>
      <c r="D922" s="6">
        <v>3280</v>
      </c>
      <c r="E922" s="6">
        <v>337</v>
      </c>
      <c r="F922" s="6">
        <v>4</v>
      </c>
      <c r="G922" s="15">
        <v>1</v>
      </c>
      <c r="H922" s="15"/>
      <c r="I922" s="15" t="s">
        <v>1505</v>
      </c>
      <c r="J922" s="15">
        <v>24135955</v>
      </c>
      <c r="K922" s="15" t="s">
        <v>1094</v>
      </c>
      <c r="L922" s="15" t="s">
        <v>1096</v>
      </c>
      <c r="M922" s="16">
        <v>239900</v>
      </c>
      <c r="N922" s="9">
        <v>0.95</v>
      </c>
      <c r="O922" s="8">
        <f t="shared" si="42"/>
        <v>11995</v>
      </c>
      <c r="P922" s="6" t="s">
        <v>15</v>
      </c>
    </row>
    <row r="923" spans="1:16" x14ac:dyDescent="0.25">
      <c r="A923" s="6" t="s">
        <v>3920</v>
      </c>
      <c r="B923" s="7">
        <f t="shared" si="43"/>
        <v>46114</v>
      </c>
      <c r="C923" s="7">
        <f t="shared" si="44"/>
        <v>46120</v>
      </c>
      <c r="D923" s="6">
        <v>3280</v>
      </c>
      <c r="E923" s="6">
        <v>337</v>
      </c>
      <c r="F923" s="6">
        <v>4</v>
      </c>
      <c r="G923" s="15">
        <v>1</v>
      </c>
      <c r="H923" s="15"/>
      <c r="I923" s="15" t="s">
        <v>1505</v>
      </c>
      <c r="J923" s="15">
        <v>24132252</v>
      </c>
      <c r="K923" s="15" t="s">
        <v>1066</v>
      </c>
      <c r="L923" s="15" t="s">
        <v>1097</v>
      </c>
      <c r="M923" s="16">
        <v>209900</v>
      </c>
      <c r="N923" s="9">
        <v>0.95</v>
      </c>
      <c r="O923" s="8">
        <f t="shared" si="42"/>
        <v>10495</v>
      </c>
      <c r="P923" s="6" t="s">
        <v>15</v>
      </c>
    </row>
    <row r="924" spans="1:16" x14ac:dyDescent="0.25">
      <c r="A924" s="6" t="s">
        <v>3920</v>
      </c>
      <c r="B924" s="7">
        <f t="shared" si="43"/>
        <v>46114</v>
      </c>
      <c r="C924" s="7">
        <f t="shared" si="44"/>
        <v>46120</v>
      </c>
      <c r="D924" s="6">
        <v>3280</v>
      </c>
      <c r="E924" s="6">
        <v>337</v>
      </c>
      <c r="F924" s="6">
        <v>4</v>
      </c>
      <c r="G924" s="15">
        <v>1</v>
      </c>
      <c r="H924" s="15"/>
      <c r="I924" s="15" t="s">
        <v>1505</v>
      </c>
      <c r="J924" s="15">
        <v>24134965</v>
      </c>
      <c r="K924" s="15" t="s">
        <v>1098</v>
      </c>
      <c r="L924" s="15" t="s">
        <v>1099</v>
      </c>
      <c r="M924" s="16">
        <v>199900</v>
      </c>
      <c r="N924" s="9">
        <v>0.95</v>
      </c>
      <c r="O924" s="8">
        <f t="shared" si="42"/>
        <v>9995</v>
      </c>
      <c r="P924" s="6" t="s">
        <v>15</v>
      </c>
    </row>
    <row r="925" spans="1:16" x14ac:dyDescent="0.25">
      <c r="A925" s="6" t="s">
        <v>3920</v>
      </c>
      <c r="B925" s="7">
        <f t="shared" si="43"/>
        <v>46114</v>
      </c>
      <c r="C925" s="7">
        <f t="shared" si="44"/>
        <v>46120</v>
      </c>
      <c r="D925" s="6">
        <v>3280</v>
      </c>
      <c r="E925" s="6">
        <v>337</v>
      </c>
      <c r="F925" s="6">
        <v>4</v>
      </c>
      <c r="G925" s="15">
        <v>1</v>
      </c>
      <c r="H925" s="15"/>
      <c r="I925" s="15" t="s">
        <v>1505</v>
      </c>
      <c r="J925" s="15">
        <v>24135991</v>
      </c>
      <c r="K925" s="15" t="s">
        <v>1094</v>
      </c>
      <c r="L925" s="15" t="s">
        <v>1100</v>
      </c>
      <c r="M925" s="16">
        <v>249900</v>
      </c>
      <c r="N925" s="9">
        <v>0.95</v>
      </c>
      <c r="O925" s="8">
        <f t="shared" si="42"/>
        <v>12495</v>
      </c>
      <c r="P925" s="6" t="s">
        <v>15</v>
      </c>
    </row>
    <row r="926" spans="1:16" x14ac:dyDescent="0.25">
      <c r="A926" s="6" t="s">
        <v>3920</v>
      </c>
      <c r="B926" s="7">
        <f t="shared" si="43"/>
        <v>46114</v>
      </c>
      <c r="C926" s="7">
        <f t="shared" si="44"/>
        <v>46120</v>
      </c>
      <c r="D926" s="6">
        <v>3280</v>
      </c>
      <c r="E926" s="6">
        <v>337</v>
      </c>
      <c r="F926" s="6">
        <v>4</v>
      </c>
      <c r="G926" s="15">
        <v>1</v>
      </c>
      <c r="H926" s="15"/>
      <c r="I926" s="15" t="s">
        <v>1505</v>
      </c>
      <c r="J926" s="15">
        <v>24134974</v>
      </c>
      <c r="K926" s="15" t="s">
        <v>1098</v>
      </c>
      <c r="L926" s="15" t="s">
        <v>1101</v>
      </c>
      <c r="M926" s="16">
        <v>209900</v>
      </c>
      <c r="N926" s="9">
        <v>0.95</v>
      </c>
      <c r="O926" s="8">
        <f t="shared" si="42"/>
        <v>10495</v>
      </c>
      <c r="P926" s="6" t="s">
        <v>15</v>
      </c>
    </row>
    <row r="927" spans="1:16" x14ac:dyDescent="0.25">
      <c r="A927" s="6" t="s">
        <v>3920</v>
      </c>
      <c r="B927" s="7">
        <f t="shared" si="43"/>
        <v>46114</v>
      </c>
      <c r="C927" s="7">
        <f t="shared" si="44"/>
        <v>46120</v>
      </c>
      <c r="D927" s="6">
        <v>3280</v>
      </c>
      <c r="E927" s="6">
        <v>337</v>
      </c>
      <c r="F927" s="6">
        <v>4</v>
      </c>
      <c r="G927" s="15">
        <v>1</v>
      </c>
      <c r="H927" s="15"/>
      <c r="I927" s="15" t="s">
        <v>1505</v>
      </c>
      <c r="J927" s="15">
        <v>24038079</v>
      </c>
      <c r="K927" s="15" t="s">
        <v>1056</v>
      </c>
      <c r="L927" s="15" t="s">
        <v>1102</v>
      </c>
      <c r="M927" s="16">
        <v>209900</v>
      </c>
      <c r="N927" s="9">
        <v>0.95</v>
      </c>
      <c r="O927" s="8">
        <f t="shared" si="42"/>
        <v>10495</v>
      </c>
      <c r="P927" s="6" t="s">
        <v>15</v>
      </c>
    </row>
    <row r="928" spans="1:16" x14ac:dyDescent="0.25">
      <c r="A928" s="6" t="s">
        <v>3920</v>
      </c>
      <c r="B928" s="7">
        <f t="shared" si="43"/>
        <v>46114</v>
      </c>
      <c r="C928" s="7">
        <f t="shared" si="44"/>
        <v>46120</v>
      </c>
      <c r="D928" s="6">
        <v>3280</v>
      </c>
      <c r="E928" s="6">
        <v>337</v>
      </c>
      <c r="F928" s="6">
        <v>4</v>
      </c>
      <c r="G928" s="15">
        <v>1</v>
      </c>
      <c r="H928" s="15"/>
      <c r="I928" s="15" t="s">
        <v>1505</v>
      </c>
      <c r="J928" s="15">
        <v>24134956</v>
      </c>
      <c r="K928" s="15" t="s">
        <v>1098</v>
      </c>
      <c r="L928" s="15" t="s">
        <v>1103</v>
      </c>
      <c r="M928" s="16">
        <v>199900</v>
      </c>
      <c r="N928" s="9">
        <v>0.95</v>
      </c>
      <c r="O928" s="8">
        <f t="shared" si="42"/>
        <v>9995</v>
      </c>
      <c r="P928" s="6" t="s">
        <v>15</v>
      </c>
    </row>
    <row r="929" spans="1:16" x14ac:dyDescent="0.25">
      <c r="A929" s="6" t="s">
        <v>3920</v>
      </c>
      <c r="B929" s="7">
        <f t="shared" si="43"/>
        <v>46114</v>
      </c>
      <c r="C929" s="7">
        <f t="shared" si="44"/>
        <v>46120</v>
      </c>
      <c r="D929" s="6">
        <v>3280</v>
      </c>
      <c r="E929" s="6">
        <v>337</v>
      </c>
      <c r="F929" s="6">
        <v>4</v>
      </c>
      <c r="G929" s="15">
        <v>1</v>
      </c>
      <c r="H929" s="15"/>
      <c r="I929" s="15" t="s">
        <v>1505</v>
      </c>
      <c r="J929" s="15">
        <v>24134947</v>
      </c>
      <c r="K929" s="15" t="s">
        <v>1098</v>
      </c>
      <c r="L929" s="15" t="s">
        <v>1104</v>
      </c>
      <c r="M929" s="16">
        <v>199900</v>
      </c>
      <c r="N929" s="9">
        <v>0.95</v>
      </c>
      <c r="O929" s="8">
        <f t="shared" si="42"/>
        <v>9995</v>
      </c>
      <c r="P929" s="6" t="s">
        <v>15</v>
      </c>
    </row>
    <row r="930" spans="1:16" x14ac:dyDescent="0.25">
      <c r="A930" s="6" t="s">
        <v>3920</v>
      </c>
      <c r="B930" s="7">
        <f t="shared" si="43"/>
        <v>46114</v>
      </c>
      <c r="C930" s="7">
        <f t="shared" si="44"/>
        <v>46120</v>
      </c>
      <c r="D930" s="6">
        <v>3280</v>
      </c>
      <c r="E930" s="6">
        <v>337</v>
      </c>
      <c r="F930" s="6">
        <v>4</v>
      </c>
      <c r="G930" s="15">
        <v>1</v>
      </c>
      <c r="H930" s="15"/>
      <c r="I930" s="15" t="s">
        <v>1505</v>
      </c>
      <c r="J930" s="15">
        <v>24135964</v>
      </c>
      <c r="K930" s="15" t="s">
        <v>1094</v>
      </c>
      <c r="L930" s="15" t="s">
        <v>1105</v>
      </c>
      <c r="M930" s="16">
        <v>239900</v>
      </c>
      <c r="N930" s="9">
        <v>0.95</v>
      </c>
      <c r="O930" s="8">
        <f t="shared" si="42"/>
        <v>11995</v>
      </c>
      <c r="P930" s="6" t="s">
        <v>15</v>
      </c>
    </row>
    <row r="931" spans="1:16" x14ac:dyDescent="0.25">
      <c r="A931" s="6" t="s">
        <v>3920</v>
      </c>
      <c r="B931" s="7">
        <f t="shared" si="43"/>
        <v>46114</v>
      </c>
      <c r="C931" s="7">
        <f t="shared" si="44"/>
        <v>46120</v>
      </c>
      <c r="D931" s="6">
        <v>3280</v>
      </c>
      <c r="E931" s="6">
        <v>337</v>
      </c>
      <c r="F931" s="6">
        <v>4</v>
      </c>
      <c r="G931" s="15">
        <v>1</v>
      </c>
      <c r="H931" s="15"/>
      <c r="I931" s="15" t="s">
        <v>1505</v>
      </c>
      <c r="J931" s="15">
        <v>24134992</v>
      </c>
      <c r="K931" s="15" t="s">
        <v>1098</v>
      </c>
      <c r="L931" s="15" t="s">
        <v>1106</v>
      </c>
      <c r="M931" s="16">
        <v>209900</v>
      </c>
      <c r="N931" s="9">
        <v>0.95</v>
      </c>
      <c r="O931" s="8">
        <f t="shared" si="42"/>
        <v>10495</v>
      </c>
      <c r="P931" s="6" t="s">
        <v>15</v>
      </c>
    </row>
    <row r="932" spans="1:16" x14ac:dyDescent="0.25">
      <c r="A932" s="6" t="s">
        <v>3920</v>
      </c>
      <c r="B932" s="7">
        <f t="shared" si="43"/>
        <v>46114</v>
      </c>
      <c r="C932" s="7">
        <f t="shared" si="44"/>
        <v>46120</v>
      </c>
      <c r="D932" s="6">
        <v>3280</v>
      </c>
      <c r="E932" s="6">
        <v>337</v>
      </c>
      <c r="F932" s="6">
        <v>4</v>
      </c>
      <c r="G932" s="15">
        <v>1</v>
      </c>
      <c r="H932" s="15"/>
      <c r="I932" s="15" t="s">
        <v>1505</v>
      </c>
      <c r="J932" s="15">
        <v>24132270</v>
      </c>
      <c r="K932" s="15" t="s">
        <v>1066</v>
      </c>
      <c r="L932" s="15" t="s">
        <v>1107</v>
      </c>
      <c r="M932" s="16">
        <v>209900</v>
      </c>
      <c r="N932" s="9">
        <v>0.95</v>
      </c>
      <c r="O932" s="8">
        <f t="shared" si="42"/>
        <v>10495</v>
      </c>
      <c r="P932" s="6" t="s">
        <v>15</v>
      </c>
    </row>
    <row r="933" spans="1:16" x14ac:dyDescent="0.25">
      <c r="A933" s="6" t="s">
        <v>3920</v>
      </c>
      <c r="B933" s="7">
        <f t="shared" si="43"/>
        <v>46114</v>
      </c>
      <c r="C933" s="7">
        <f t="shared" si="44"/>
        <v>46120</v>
      </c>
      <c r="D933" s="6">
        <v>3280</v>
      </c>
      <c r="E933" s="6">
        <v>337</v>
      </c>
      <c r="F933" s="6">
        <v>4</v>
      </c>
      <c r="G933" s="15">
        <v>1</v>
      </c>
      <c r="H933" s="15"/>
      <c r="I933" s="15" t="s">
        <v>1505</v>
      </c>
      <c r="J933" s="15">
        <v>24135973</v>
      </c>
      <c r="K933" s="15" t="s">
        <v>1094</v>
      </c>
      <c r="L933" s="15" t="s">
        <v>1108</v>
      </c>
      <c r="M933" s="16">
        <v>239900</v>
      </c>
      <c r="N933" s="9">
        <v>0.95</v>
      </c>
      <c r="O933" s="8">
        <f t="shared" si="42"/>
        <v>11995</v>
      </c>
      <c r="P933" s="6" t="s">
        <v>15</v>
      </c>
    </row>
    <row r="934" spans="1:16" x14ac:dyDescent="0.25">
      <c r="A934" s="6" t="s">
        <v>3920</v>
      </c>
      <c r="B934" s="7">
        <f t="shared" si="43"/>
        <v>46114</v>
      </c>
      <c r="C934" s="7">
        <f t="shared" si="44"/>
        <v>46120</v>
      </c>
      <c r="D934" s="6">
        <v>3280</v>
      </c>
      <c r="E934" s="6">
        <v>337</v>
      </c>
      <c r="F934" s="6">
        <v>4</v>
      </c>
      <c r="G934" s="15">
        <v>1</v>
      </c>
      <c r="H934" s="15"/>
      <c r="I934" s="15" t="s">
        <v>1505</v>
      </c>
      <c r="J934" s="15">
        <v>24136007</v>
      </c>
      <c r="K934" s="15" t="s">
        <v>1094</v>
      </c>
      <c r="L934" s="15" t="s">
        <v>1109</v>
      </c>
      <c r="M934" s="16">
        <v>249900</v>
      </c>
      <c r="N934" s="9">
        <v>0.95</v>
      </c>
      <c r="O934" s="8">
        <f t="shared" si="42"/>
        <v>12495</v>
      </c>
      <c r="P934" s="6" t="s">
        <v>15</v>
      </c>
    </row>
    <row r="935" spans="1:16" x14ac:dyDescent="0.25">
      <c r="A935" s="6" t="s">
        <v>3920</v>
      </c>
      <c r="B935" s="7">
        <f t="shared" si="43"/>
        <v>46114</v>
      </c>
      <c r="C935" s="7">
        <f t="shared" si="44"/>
        <v>46120</v>
      </c>
      <c r="D935" s="6">
        <v>3280</v>
      </c>
      <c r="E935" s="6">
        <v>337</v>
      </c>
      <c r="F935" s="6">
        <v>4</v>
      </c>
      <c r="G935" s="15">
        <v>1</v>
      </c>
      <c r="H935" s="15"/>
      <c r="I935" s="15" t="s">
        <v>1505</v>
      </c>
      <c r="J935" s="15">
        <v>24134983</v>
      </c>
      <c r="K935" s="15" t="s">
        <v>1098</v>
      </c>
      <c r="L935" s="15" t="s">
        <v>1110</v>
      </c>
      <c r="M935" s="16">
        <v>209900</v>
      </c>
      <c r="N935" s="9">
        <v>0.95</v>
      </c>
      <c r="O935" s="8">
        <f t="shared" si="42"/>
        <v>10495</v>
      </c>
      <c r="P935" s="6" t="s">
        <v>15</v>
      </c>
    </row>
    <row r="936" spans="1:16" x14ac:dyDescent="0.25">
      <c r="A936" s="6" t="s">
        <v>3920</v>
      </c>
      <c r="B936" s="7">
        <f t="shared" si="43"/>
        <v>46114</v>
      </c>
      <c r="C936" s="7">
        <f t="shared" si="44"/>
        <v>46120</v>
      </c>
      <c r="D936" s="6">
        <v>3280</v>
      </c>
      <c r="E936" s="6">
        <v>337</v>
      </c>
      <c r="F936" s="6">
        <v>4</v>
      </c>
      <c r="G936" s="15">
        <v>1</v>
      </c>
      <c r="H936" s="15"/>
      <c r="I936" s="15" t="s">
        <v>1505</v>
      </c>
      <c r="J936" s="15">
        <v>24038408</v>
      </c>
      <c r="K936" s="15" t="s">
        <v>1060</v>
      </c>
      <c r="L936" s="15" t="s">
        <v>1111</v>
      </c>
      <c r="M936" s="16">
        <v>209900</v>
      </c>
      <c r="N936" s="9">
        <v>0.95</v>
      </c>
      <c r="O936" s="8">
        <f t="shared" si="42"/>
        <v>10495</v>
      </c>
      <c r="P936" s="6" t="s">
        <v>15</v>
      </c>
    </row>
    <row r="937" spans="1:16" x14ac:dyDescent="0.25">
      <c r="A937" s="6" t="s">
        <v>3920</v>
      </c>
      <c r="B937" s="7">
        <f t="shared" si="43"/>
        <v>46114</v>
      </c>
      <c r="C937" s="7">
        <f t="shared" si="44"/>
        <v>46120</v>
      </c>
      <c r="D937" s="6">
        <v>3280</v>
      </c>
      <c r="E937" s="6">
        <v>337</v>
      </c>
      <c r="F937" s="6">
        <v>4</v>
      </c>
      <c r="G937" s="15">
        <v>1</v>
      </c>
      <c r="H937" s="15"/>
      <c r="I937" s="15" t="s">
        <v>1505</v>
      </c>
      <c r="J937" s="15">
        <v>24255709</v>
      </c>
      <c r="K937" s="15" t="s">
        <v>1076</v>
      </c>
      <c r="L937" s="15" t="s">
        <v>1112</v>
      </c>
      <c r="M937" s="16">
        <v>209900</v>
      </c>
      <c r="N937" s="9">
        <v>0.95</v>
      </c>
      <c r="O937" s="8">
        <f t="shared" si="42"/>
        <v>10495</v>
      </c>
      <c r="P937" s="6" t="s">
        <v>15</v>
      </c>
    </row>
    <row r="938" spans="1:16" x14ac:dyDescent="0.25">
      <c r="A938" s="6" t="s">
        <v>3920</v>
      </c>
      <c r="B938" s="7">
        <f t="shared" si="43"/>
        <v>46114</v>
      </c>
      <c r="C938" s="7">
        <f t="shared" si="44"/>
        <v>46120</v>
      </c>
      <c r="D938" s="6">
        <v>3280</v>
      </c>
      <c r="E938" s="6">
        <v>337</v>
      </c>
      <c r="F938" s="6">
        <v>4</v>
      </c>
      <c r="G938" s="15">
        <v>1</v>
      </c>
      <c r="H938" s="15"/>
      <c r="I938" s="15" t="s">
        <v>1505</v>
      </c>
      <c r="J938" s="15">
        <v>24329059</v>
      </c>
      <c r="K938" s="15" t="s">
        <v>1089</v>
      </c>
      <c r="L938" s="15" t="s">
        <v>1113</v>
      </c>
      <c r="M938" s="16">
        <v>199900</v>
      </c>
      <c r="N938" s="9">
        <v>0.95</v>
      </c>
      <c r="O938" s="8">
        <f t="shared" si="42"/>
        <v>9995</v>
      </c>
      <c r="P938" s="6" t="s">
        <v>15</v>
      </c>
    </row>
    <row r="939" spans="1:16" x14ac:dyDescent="0.25">
      <c r="A939" s="6" t="s">
        <v>3920</v>
      </c>
      <c r="B939" s="7">
        <f t="shared" si="43"/>
        <v>46114</v>
      </c>
      <c r="C939" s="7">
        <f t="shared" si="44"/>
        <v>46120</v>
      </c>
      <c r="D939" s="6">
        <v>3280</v>
      </c>
      <c r="E939" s="6">
        <v>337</v>
      </c>
      <c r="F939" s="6">
        <v>4</v>
      </c>
      <c r="G939" s="15">
        <v>1</v>
      </c>
      <c r="H939" s="15"/>
      <c r="I939" s="15" t="s">
        <v>1505</v>
      </c>
      <c r="J939" s="15">
        <v>24324821</v>
      </c>
      <c r="K939" s="15" t="s">
        <v>1114</v>
      </c>
      <c r="L939" s="15" t="s">
        <v>1115</v>
      </c>
      <c r="M939" s="16">
        <v>209900</v>
      </c>
      <c r="N939" s="9">
        <v>0.95</v>
      </c>
      <c r="O939" s="8">
        <f t="shared" si="42"/>
        <v>10495</v>
      </c>
      <c r="P939" s="6" t="s">
        <v>15</v>
      </c>
    </row>
    <row r="940" spans="1:16" x14ac:dyDescent="0.25">
      <c r="A940" s="6" t="s">
        <v>3920</v>
      </c>
      <c r="B940" s="7">
        <f t="shared" si="43"/>
        <v>46114</v>
      </c>
      <c r="C940" s="7">
        <f t="shared" si="44"/>
        <v>46120</v>
      </c>
      <c r="D940" s="6">
        <v>3280</v>
      </c>
      <c r="E940" s="6">
        <v>337</v>
      </c>
      <c r="F940" s="6">
        <v>4</v>
      </c>
      <c r="G940" s="15">
        <v>1</v>
      </c>
      <c r="H940" s="15"/>
      <c r="I940" s="15" t="s">
        <v>1505</v>
      </c>
      <c r="J940" s="15">
        <v>24324778</v>
      </c>
      <c r="K940" s="15" t="s">
        <v>1114</v>
      </c>
      <c r="L940" s="15" t="s">
        <v>1116</v>
      </c>
      <c r="M940" s="16">
        <v>199900</v>
      </c>
      <c r="N940" s="9">
        <v>0.95</v>
      </c>
      <c r="O940" s="8">
        <f t="shared" si="42"/>
        <v>9995</v>
      </c>
      <c r="P940" s="6" t="s">
        <v>15</v>
      </c>
    </row>
    <row r="941" spans="1:16" x14ac:dyDescent="0.25">
      <c r="A941" s="6" t="s">
        <v>3920</v>
      </c>
      <c r="B941" s="7">
        <f t="shared" si="43"/>
        <v>46114</v>
      </c>
      <c r="C941" s="7">
        <f t="shared" si="44"/>
        <v>46120</v>
      </c>
      <c r="D941" s="6">
        <v>3280</v>
      </c>
      <c r="E941" s="6">
        <v>337</v>
      </c>
      <c r="F941" s="6">
        <v>4</v>
      </c>
      <c r="G941" s="15">
        <v>1</v>
      </c>
      <c r="H941" s="15"/>
      <c r="I941" s="15" t="s">
        <v>1505</v>
      </c>
      <c r="J941" s="15">
        <v>24324803</v>
      </c>
      <c r="K941" s="15" t="s">
        <v>1114</v>
      </c>
      <c r="L941" s="15" t="s">
        <v>1117</v>
      </c>
      <c r="M941" s="16">
        <v>209900</v>
      </c>
      <c r="N941" s="9">
        <v>0.95</v>
      </c>
      <c r="O941" s="8">
        <f t="shared" si="42"/>
        <v>10495</v>
      </c>
      <c r="P941" s="6" t="s">
        <v>15</v>
      </c>
    </row>
    <row r="942" spans="1:16" x14ac:dyDescent="0.25">
      <c r="A942" s="6" t="s">
        <v>3920</v>
      </c>
      <c r="B942" s="7">
        <f t="shared" si="43"/>
        <v>46114</v>
      </c>
      <c r="C942" s="7">
        <f t="shared" si="44"/>
        <v>46120</v>
      </c>
      <c r="D942" s="6">
        <v>3280</v>
      </c>
      <c r="E942" s="6">
        <v>337</v>
      </c>
      <c r="F942" s="6">
        <v>4</v>
      </c>
      <c r="G942" s="15">
        <v>1</v>
      </c>
      <c r="H942" s="15"/>
      <c r="I942" s="15" t="s">
        <v>1505</v>
      </c>
      <c r="J942" s="15">
        <v>24329068</v>
      </c>
      <c r="K942" s="15" t="s">
        <v>1089</v>
      </c>
      <c r="L942" s="15" t="s">
        <v>1118</v>
      </c>
      <c r="M942" s="16">
        <v>199900</v>
      </c>
      <c r="N942" s="9">
        <v>0.95</v>
      </c>
      <c r="O942" s="8">
        <f t="shared" si="42"/>
        <v>9995</v>
      </c>
      <c r="P942" s="6" t="s">
        <v>15</v>
      </c>
    </row>
    <row r="943" spans="1:16" x14ac:dyDescent="0.25">
      <c r="A943" s="6" t="s">
        <v>3920</v>
      </c>
      <c r="B943" s="7">
        <f t="shared" si="43"/>
        <v>46114</v>
      </c>
      <c r="C943" s="7">
        <f t="shared" si="44"/>
        <v>46120</v>
      </c>
      <c r="D943" s="6">
        <v>3280</v>
      </c>
      <c r="E943" s="6">
        <v>337</v>
      </c>
      <c r="F943" s="6">
        <v>4</v>
      </c>
      <c r="G943" s="15">
        <v>1</v>
      </c>
      <c r="H943" s="15"/>
      <c r="I943" s="15" t="s">
        <v>1505</v>
      </c>
      <c r="J943" s="15">
        <v>24324787</v>
      </c>
      <c r="K943" s="15" t="s">
        <v>1114</v>
      </c>
      <c r="L943" s="15" t="s">
        <v>1119</v>
      </c>
      <c r="M943" s="16">
        <v>199900</v>
      </c>
      <c r="N943" s="9">
        <v>0.95</v>
      </c>
      <c r="O943" s="8">
        <f t="shared" si="42"/>
        <v>9995</v>
      </c>
      <c r="P943" s="6" t="s">
        <v>15</v>
      </c>
    </row>
    <row r="944" spans="1:16" x14ac:dyDescent="0.25">
      <c r="A944" s="6" t="s">
        <v>3920</v>
      </c>
      <c r="B944" s="7">
        <f t="shared" si="43"/>
        <v>46114</v>
      </c>
      <c r="C944" s="7">
        <f t="shared" si="44"/>
        <v>46120</v>
      </c>
      <c r="D944" s="6">
        <v>3280</v>
      </c>
      <c r="E944" s="6">
        <v>337</v>
      </c>
      <c r="F944" s="6">
        <v>4</v>
      </c>
      <c r="G944" s="15">
        <v>1</v>
      </c>
      <c r="H944" s="15"/>
      <c r="I944" s="15" t="s">
        <v>1505</v>
      </c>
      <c r="J944" s="15">
        <v>24329077</v>
      </c>
      <c r="K944" s="15" t="s">
        <v>1089</v>
      </c>
      <c r="L944" s="15" t="s">
        <v>1120</v>
      </c>
      <c r="M944" s="16">
        <v>209900</v>
      </c>
      <c r="N944" s="9">
        <v>0.95</v>
      </c>
      <c r="O944" s="8">
        <f t="shared" si="42"/>
        <v>10495</v>
      </c>
      <c r="P944" s="6" t="s">
        <v>15</v>
      </c>
    </row>
    <row r="945" spans="1:16" x14ac:dyDescent="0.25">
      <c r="A945" s="6" t="s">
        <v>3920</v>
      </c>
      <c r="B945" s="7">
        <f t="shared" si="43"/>
        <v>46114</v>
      </c>
      <c r="C945" s="7">
        <f t="shared" si="44"/>
        <v>46120</v>
      </c>
      <c r="D945" s="6">
        <v>3280</v>
      </c>
      <c r="E945" s="6">
        <v>337</v>
      </c>
      <c r="F945" s="6">
        <v>4</v>
      </c>
      <c r="G945" s="15">
        <v>1</v>
      </c>
      <c r="H945" s="15"/>
      <c r="I945" s="15" t="s">
        <v>1505</v>
      </c>
      <c r="J945" s="15">
        <v>24329086</v>
      </c>
      <c r="K945" s="15" t="s">
        <v>1089</v>
      </c>
      <c r="L945" s="15" t="s">
        <v>1121</v>
      </c>
      <c r="M945" s="16">
        <v>209900</v>
      </c>
      <c r="N945" s="9">
        <v>0.95</v>
      </c>
      <c r="O945" s="8">
        <f t="shared" si="42"/>
        <v>10495</v>
      </c>
      <c r="P945" s="6" t="s">
        <v>15</v>
      </c>
    </row>
    <row r="946" spans="1:16" x14ac:dyDescent="0.25">
      <c r="A946" s="6" t="s">
        <v>3920</v>
      </c>
      <c r="B946" s="7">
        <f t="shared" si="43"/>
        <v>46114</v>
      </c>
      <c r="C946" s="7">
        <f t="shared" si="44"/>
        <v>46120</v>
      </c>
      <c r="D946" s="6">
        <v>3280</v>
      </c>
      <c r="E946" s="6">
        <v>337</v>
      </c>
      <c r="F946" s="6">
        <v>4</v>
      </c>
      <c r="G946" s="15">
        <v>1</v>
      </c>
      <c r="H946" s="15"/>
      <c r="I946" s="15" t="s">
        <v>1505</v>
      </c>
      <c r="J946" s="15">
        <v>24324812</v>
      </c>
      <c r="K946" s="15" t="s">
        <v>1114</v>
      </c>
      <c r="L946" s="15" t="s">
        <v>1122</v>
      </c>
      <c r="M946" s="16">
        <v>209900</v>
      </c>
      <c r="N946" s="9">
        <v>0.95</v>
      </c>
      <c r="O946" s="8">
        <f t="shared" si="42"/>
        <v>10495</v>
      </c>
      <c r="P946" s="6" t="s">
        <v>15</v>
      </c>
    </row>
    <row r="947" spans="1:16" x14ac:dyDescent="0.25">
      <c r="A947" s="6" t="s">
        <v>3920</v>
      </c>
      <c r="B947" s="7">
        <f t="shared" si="43"/>
        <v>46114</v>
      </c>
      <c r="C947" s="7">
        <f t="shared" si="44"/>
        <v>46120</v>
      </c>
      <c r="D947" s="6">
        <v>3280</v>
      </c>
      <c r="E947" s="6">
        <v>337</v>
      </c>
      <c r="F947" s="6">
        <v>4</v>
      </c>
      <c r="G947" s="15">
        <v>1</v>
      </c>
      <c r="H947" s="15"/>
      <c r="I947" s="15" t="s">
        <v>1505</v>
      </c>
      <c r="J947" s="15">
        <v>24324796</v>
      </c>
      <c r="K947" s="15" t="s">
        <v>1114</v>
      </c>
      <c r="L947" s="15" t="s">
        <v>1123</v>
      </c>
      <c r="M947" s="16">
        <v>199900</v>
      </c>
      <c r="N947" s="9">
        <v>0.95</v>
      </c>
      <c r="O947" s="8">
        <f t="shared" si="42"/>
        <v>9995</v>
      </c>
      <c r="P947" s="6" t="s">
        <v>15</v>
      </c>
    </row>
    <row r="948" spans="1:16" x14ac:dyDescent="0.25">
      <c r="A948" s="6" t="s">
        <v>3920</v>
      </c>
      <c r="B948" s="7">
        <f t="shared" si="43"/>
        <v>46114</v>
      </c>
      <c r="C948" s="7">
        <f t="shared" si="44"/>
        <v>46120</v>
      </c>
      <c r="D948" s="6">
        <v>3280</v>
      </c>
      <c r="E948" s="6">
        <v>337</v>
      </c>
      <c r="F948" s="6">
        <v>4</v>
      </c>
      <c r="G948" s="15">
        <v>1</v>
      </c>
      <c r="H948" s="15"/>
      <c r="I948" s="15" t="s">
        <v>1505</v>
      </c>
      <c r="J948" s="15">
        <v>24414439</v>
      </c>
      <c r="K948" s="15" t="s">
        <v>1124</v>
      </c>
      <c r="L948" s="15" t="s">
        <v>1125</v>
      </c>
      <c r="M948" s="16">
        <v>209900</v>
      </c>
      <c r="N948" s="9">
        <v>0.95</v>
      </c>
      <c r="O948" s="8">
        <f t="shared" si="42"/>
        <v>10495</v>
      </c>
      <c r="P948" s="6" t="s">
        <v>15</v>
      </c>
    </row>
    <row r="949" spans="1:16" x14ac:dyDescent="0.25">
      <c r="A949" s="6" t="s">
        <v>3920</v>
      </c>
      <c r="B949" s="7">
        <f t="shared" si="43"/>
        <v>46114</v>
      </c>
      <c r="C949" s="7">
        <f t="shared" si="44"/>
        <v>46120</v>
      </c>
      <c r="D949" s="6">
        <v>3280</v>
      </c>
      <c r="E949" s="6">
        <v>337</v>
      </c>
      <c r="F949" s="6">
        <v>4</v>
      </c>
      <c r="G949" s="15">
        <v>1</v>
      </c>
      <c r="H949" s="15"/>
      <c r="I949" s="15" t="s">
        <v>1505</v>
      </c>
      <c r="J949" s="15">
        <v>24414448</v>
      </c>
      <c r="K949" s="15" t="s">
        <v>1124</v>
      </c>
      <c r="L949" s="15" t="s">
        <v>1126</v>
      </c>
      <c r="M949" s="16">
        <v>219900</v>
      </c>
      <c r="N949" s="9">
        <v>0.95</v>
      </c>
      <c r="O949" s="8">
        <f t="shared" si="42"/>
        <v>10995</v>
      </c>
      <c r="P949" s="6" t="s">
        <v>15</v>
      </c>
    </row>
    <row r="950" spans="1:16" x14ac:dyDescent="0.25">
      <c r="A950" s="6" t="s">
        <v>3920</v>
      </c>
      <c r="B950" s="7">
        <f t="shared" si="43"/>
        <v>46114</v>
      </c>
      <c r="C950" s="7">
        <f t="shared" si="44"/>
        <v>46120</v>
      </c>
      <c r="D950" s="6">
        <v>3280</v>
      </c>
      <c r="E950" s="6">
        <v>337</v>
      </c>
      <c r="F950" s="6">
        <v>4</v>
      </c>
      <c r="G950" s="15">
        <v>1</v>
      </c>
      <c r="H950" s="15"/>
      <c r="I950" s="15" t="s">
        <v>1505</v>
      </c>
      <c r="J950" s="15">
        <v>24414457</v>
      </c>
      <c r="K950" s="15" t="s">
        <v>1124</v>
      </c>
      <c r="L950" s="15" t="s">
        <v>1127</v>
      </c>
      <c r="M950" s="16">
        <v>219900</v>
      </c>
      <c r="N950" s="9">
        <v>0.95</v>
      </c>
      <c r="O950" s="8">
        <f t="shared" si="42"/>
        <v>10995</v>
      </c>
      <c r="P950" s="6" t="s">
        <v>15</v>
      </c>
    </row>
    <row r="951" spans="1:16" x14ac:dyDescent="0.25">
      <c r="A951" s="6" t="s">
        <v>3920</v>
      </c>
      <c r="B951" s="7">
        <f t="shared" si="43"/>
        <v>46114</v>
      </c>
      <c r="C951" s="7">
        <f t="shared" si="44"/>
        <v>46120</v>
      </c>
      <c r="D951" s="6">
        <v>3280</v>
      </c>
      <c r="E951" s="6">
        <v>337</v>
      </c>
      <c r="F951" s="6">
        <v>4</v>
      </c>
      <c r="G951" s="15">
        <v>1</v>
      </c>
      <c r="H951" s="15"/>
      <c r="I951" s="15" t="s">
        <v>1505</v>
      </c>
      <c r="J951" s="15">
        <v>24414466</v>
      </c>
      <c r="K951" s="15" t="s">
        <v>1124</v>
      </c>
      <c r="L951" s="15" t="s">
        <v>1128</v>
      </c>
      <c r="M951" s="16">
        <v>219900</v>
      </c>
      <c r="N951" s="9">
        <v>0.95</v>
      </c>
      <c r="O951" s="8">
        <f t="shared" si="42"/>
        <v>10995</v>
      </c>
      <c r="P951" s="6" t="s">
        <v>15</v>
      </c>
    </row>
    <row r="952" spans="1:16" x14ac:dyDescent="0.25">
      <c r="A952" s="6" t="s">
        <v>3920</v>
      </c>
      <c r="B952" s="7">
        <f t="shared" si="43"/>
        <v>46114</v>
      </c>
      <c r="C952" s="7">
        <f t="shared" si="44"/>
        <v>46120</v>
      </c>
      <c r="D952" s="6">
        <v>3280</v>
      </c>
      <c r="E952" s="6">
        <v>337</v>
      </c>
      <c r="F952" s="6">
        <v>4</v>
      </c>
      <c r="G952" s="15">
        <v>1</v>
      </c>
      <c r="H952" s="15"/>
      <c r="I952" s="15" t="s">
        <v>1505</v>
      </c>
      <c r="J952" s="15">
        <v>24414411</v>
      </c>
      <c r="K952" s="15" t="s">
        <v>1124</v>
      </c>
      <c r="L952" s="15" t="s">
        <v>1129</v>
      </c>
      <c r="M952" s="16">
        <v>209900</v>
      </c>
      <c r="N952" s="9">
        <v>0.95</v>
      </c>
      <c r="O952" s="8">
        <f t="shared" si="42"/>
        <v>10495</v>
      </c>
      <c r="P952" s="6" t="s">
        <v>15</v>
      </c>
    </row>
    <row r="953" spans="1:16" x14ac:dyDescent="0.25">
      <c r="A953" s="6" t="s">
        <v>3920</v>
      </c>
      <c r="B953" s="7">
        <f t="shared" si="43"/>
        <v>46114</v>
      </c>
      <c r="C953" s="7">
        <f t="shared" si="44"/>
        <v>46120</v>
      </c>
      <c r="D953" s="6">
        <v>3280</v>
      </c>
      <c r="E953" s="6">
        <v>337</v>
      </c>
      <c r="F953" s="6">
        <v>4</v>
      </c>
      <c r="G953" s="15">
        <v>1</v>
      </c>
      <c r="H953" s="15"/>
      <c r="I953" s="15" t="s">
        <v>1505</v>
      </c>
      <c r="J953" s="15">
        <v>24414420</v>
      </c>
      <c r="K953" s="15" t="s">
        <v>1124</v>
      </c>
      <c r="L953" s="15" t="s">
        <v>1130</v>
      </c>
      <c r="M953" s="16">
        <v>209900</v>
      </c>
      <c r="N953" s="9">
        <v>0.95</v>
      </c>
      <c r="O953" s="8">
        <f t="shared" si="42"/>
        <v>10495</v>
      </c>
      <c r="P953" s="6" t="s">
        <v>15</v>
      </c>
    </row>
    <row r="954" spans="1:16" x14ac:dyDescent="0.25">
      <c r="A954" s="6" t="s">
        <v>3920</v>
      </c>
      <c r="B954" s="7">
        <f t="shared" si="43"/>
        <v>46114</v>
      </c>
      <c r="C954" s="7">
        <f t="shared" si="44"/>
        <v>46120</v>
      </c>
      <c r="D954" s="6">
        <v>3280</v>
      </c>
      <c r="E954" s="6">
        <v>337</v>
      </c>
      <c r="F954" s="6">
        <v>4</v>
      </c>
      <c r="G954" s="15">
        <v>1</v>
      </c>
      <c r="H954" s="15"/>
      <c r="I954" s="15" t="s">
        <v>1505</v>
      </c>
      <c r="J954" s="15">
        <v>24436988</v>
      </c>
      <c r="K954" s="15" t="s">
        <v>1131</v>
      </c>
      <c r="L954" s="15" t="s">
        <v>1132</v>
      </c>
      <c r="M954" s="16">
        <v>189900</v>
      </c>
      <c r="N954" s="9">
        <v>0.95</v>
      </c>
      <c r="O954" s="8">
        <f t="shared" si="42"/>
        <v>9495</v>
      </c>
      <c r="P954" s="6" t="s">
        <v>15</v>
      </c>
    </row>
    <row r="955" spans="1:16" x14ac:dyDescent="0.25">
      <c r="A955" s="6" t="s">
        <v>3920</v>
      </c>
      <c r="B955" s="7">
        <f t="shared" si="43"/>
        <v>46114</v>
      </c>
      <c r="C955" s="7">
        <f t="shared" si="44"/>
        <v>46120</v>
      </c>
      <c r="D955" s="6">
        <v>3280</v>
      </c>
      <c r="E955" s="6">
        <v>337</v>
      </c>
      <c r="F955" s="6">
        <v>4</v>
      </c>
      <c r="G955" s="15">
        <v>1</v>
      </c>
      <c r="H955" s="15"/>
      <c r="I955" s="15" t="s">
        <v>1505</v>
      </c>
      <c r="J955" s="15">
        <v>24436997</v>
      </c>
      <c r="K955" s="15" t="s">
        <v>1131</v>
      </c>
      <c r="L955" s="15" t="s">
        <v>1133</v>
      </c>
      <c r="M955" s="16">
        <v>189900</v>
      </c>
      <c r="N955" s="9">
        <v>0.95</v>
      </c>
      <c r="O955" s="8">
        <f t="shared" si="42"/>
        <v>9495</v>
      </c>
      <c r="P955" s="6" t="s">
        <v>15</v>
      </c>
    </row>
    <row r="956" spans="1:16" x14ac:dyDescent="0.25">
      <c r="A956" s="6" t="s">
        <v>3920</v>
      </c>
      <c r="B956" s="7">
        <f t="shared" si="43"/>
        <v>46114</v>
      </c>
      <c r="C956" s="7">
        <f t="shared" si="44"/>
        <v>46120</v>
      </c>
      <c r="D956" s="6">
        <v>3280</v>
      </c>
      <c r="E956" s="6">
        <v>337</v>
      </c>
      <c r="F956" s="6">
        <v>4</v>
      </c>
      <c r="G956" s="15">
        <v>1</v>
      </c>
      <c r="H956" s="15"/>
      <c r="I956" s="15" t="s">
        <v>1505</v>
      </c>
      <c r="J956" s="15">
        <v>24437030</v>
      </c>
      <c r="K956" s="15" t="s">
        <v>1131</v>
      </c>
      <c r="L956" s="15" t="s">
        <v>1134</v>
      </c>
      <c r="M956" s="16">
        <v>199900</v>
      </c>
      <c r="N956" s="9">
        <v>0.95</v>
      </c>
      <c r="O956" s="8">
        <f t="shared" si="42"/>
        <v>9995</v>
      </c>
      <c r="P956" s="6" t="s">
        <v>15</v>
      </c>
    </row>
    <row r="957" spans="1:16" x14ac:dyDescent="0.25">
      <c r="A957" s="6" t="s">
        <v>3920</v>
      </c>
      <c r="B957" s="7">
        <f t="shared" si="43"/>
        <v>46114</v>
      </c>
      <c r="C957" s="7">
        <f t="shared" si="44"/>
        <v>46120</v>
      </c>
      <c r="D957" s="6">
        <v>3280</v>
      </c>
      <c r="E957" s="6">
        <v>337</v>
      </c>
      <c r="F957" s="6">
        <v>4</v>
      </c>
      <c r="G957" s="15">
        <v>1</v>
      </c>
      <c r="H957" s="15"/>
      <c r="I957" s="15" t="s">
        <v>1505</v>
      </c>
      <c r="J957" s="15">
        <v>24437021</v>
      </c>
      <c r="K957" s="15" t="s">
        <v>1131</v>
      </c>
      <c r="L957" s="15" t="s">
        <v>1135</v>
      </c>
      <c r="M957" s="16">
        <v>199900</v>
      </c>
      <c r="N957" s="9">
        <v>0.95</v>
      </c>
      <c r="O957" s="8">
        <f t="shared" si="42"/>
        <v>9995</v>
      </c>
      <c r="P957" s="6" t="s">
        <v>15</v>
      </c>
    </row>
    <row r="958" spans="1:16" x14ac:dyDescent="0.25">
      <c r="A958" s="6" t="s">
        <v>3920</v>
      </c>
      <c r="B958" s="7">
        <f t="shared" si="43"/>
        <v>46114</v>
      </c>
      <c r="C958" s="7">
        <f t="shared" si="44"/>
        <v>46120</v>
      </c>
      <c r="D958" s="6">
        <v>3280</v>
      </c>
      <c r="E958" s="6">
        <v>337</v>
      </c>
      <c r="F958" s="6">
        <v>4</v>
      </c>
      <c r="G958" s="15">
        <v>1</v>
      </c>
      <c r="H958" s="15"/>
      <c r="I958" s="15" t="s">
        <v>1505</v>
      </c>
      <c r="J958" s="15">
        <v>24437003</v>
      </c>
      <c r="K958" s="15" t="s">
        <v>1131</v>
      </c>
      <c r="L958" s="15" t="s">
        <v>1136</v>
      </c>
      <c r="M958" s="16">
        <v>189900</v>
      </c>
      <c r="N958" s="9">
        <v>0.95</v>
      </c>
      <c r="O958" s="8">
        <f t="shared" si="42"/>
        <v>9495</v>
      </c>
      <c r="P958" s="6" t="s">
        <v>15</v>
      </c>
    </row>
    <row r="959" spans="1:16" x14ac:dyDescent="0.25">
      <c r="A959" s="6" t="s">
        <v>3920</v>
      </c>
      <c r="B959" s="7">
        <f t="shared" si="43"/>
        <v>46114</v>
      </c>
      <c r="C959" s="7">
        <f t="shared" si="44"/>
        <v>46120</v>
      </c>
      <c r="D959" s="6">
        <v>3280</v>
      </c>
      <c r="E959" s="6">
        <v>337</v>
      </c>
      <c r="F959" s="6">
        <v>4</v>
      </c>
      <c r="G959" s="15">
        <v>1</v>
      </c>
      <c r="H959" s="15"/>
      <c r="I959" s="15" t="s">
        <v>1505</v>
      </c>
      <c r="J959" s="15">
        <v>24437012</v>
      </c>
      <c r="K959" s="15" t="s">
        <v>1131</v>
      </c>
      <c r="L959" s="15" t="s">
        <v>1137</v>
      </c>
      <c r="M959" s="16">
        <v>199900</v>
      </c>
      <c r="N959" s="9">
        <v>0.95</v>
      </c>
      <c r="O959" s="8">
        <f t="shared" si="42"/>
        <v>9995</v>
      </c>
      <c r="P959" s="6" t="s">
        <v>15</v>
      </c>
    </row>
    <row r="960" spans="1:16" x14ac:dyDescent="0.25">
      <c r="A960" s="6" t="s">
        <v>3920</v>
      </c>
      <c r="B960" s="7">
        <f t="shared" si="43"/>
        <v>46114</v>
      </c>
      <c r="C960" s="7">
        <f t="shared" si="44"/>
        <v>46120</v>
      </c>
      <c r="D960" s="6">
        <v>3280</v>
      </c>
      <c r="E960" s="6">
        <v>337</v>
      </c>
      <c r="F960" s="6">
        <v>4</v>
      </c>
      <c r="G960" s="15">
        <v>1</v>
      </c>
      <c r="H960" s="15"/>
      <c r="I960" s="15" t="s">
        <v>1505</v>
      </c>
      <c r="J960" s="15">
        <v>25050875</v>
      </c>
      <c r="K960" s="15" t="s">
        <v>1138</v>
      </c>
      <c r="L960" s="15" t="s">
        <v>1139</v>
      </c>
      <c r="M960" s="16">
        <v>199900</v>
      </c>
      <c r="N960" s="9">
        <v>0.95</v>
      </c>
      <c r="O960" s="8">
        <f t="shared" si="42"/>
        <v>9995</v>
      </c>
      <c r="P960" s="6" t="s">
        <v>15</v>
      </c>
    </row>
    <row r="961" spans="1:16" x14ac:dyDescent="0.25">
      <c r="A961" s="6" t="s">
        <v>3920</v>
      </c>
      <c r="B961" s="7">
        <f t="shared" si="43"/>
        <v>46114</v>
      </c>
      <c r="C961" s="7">
        <f t="shared" si="44"/>
        <v>46120</v>
      </c>
      <c r="D961" s="6">
        <v>3280</v>
      </c>
      <c r="E961" s="6">
        <v>337</v>
      </c>
      <c r="F961" s="6">
        <v>4</v>
      </c>
      <c r="G961" s="15">
        <v>1</v>
      </c>
      <c r="H961" s="15"/>
      <c r="I961" s="15" t="s">
        <v>1505</v>
      </c>
      <c r="J961" s="15">
        <v>25050857</v>
      </c>
      <c r="K961" s="15" t="s">
        <v>1138</v>
      </c>
      <c r="L961" s="15" t="s">
        <v>1140</v>
      </c>
      <c r="M961" s="16">
        <v>199900</v>
      </c>
      <c r="N961" s="9">
        <v>0.95</v>
      </c>
      <c r="O961" s="8">
        <f t="shared" si="42"/>
        <v>9995</v>
      </c>
      <c r="P961" s="6" t="s">
        <v>15</v>
      </c>
    </row>
    <row r="962" spans="1:16" x14ac:dyDescent="0.25">
      <c r="A962" s="6" t="s">
        <v>3920</v>
      </c>
      <c r="B962" s="7">
        <f t="shared" si="43"/>
        <v>46114</v>
      </c>
      <c r="C962" s="7">
        <f t="shared" si="44"/>
        <v>46120</v>
      </c>
      <c r="D962" s="6">
        <v>3280</v>
      </c>
      <c r="E962" s="6">
        <v>337</v>
      </c>
      <c r="F962" s="6">
        <v>4</v>
      </c>
      <c r="G962" s="15">
        <v>1</v>
      </c>
      <c r="H962" s="15"/>
      <c r="I962" s="15" t="s">
        <v>1505</v>
      </c>
      <c r="J962" s="15">
        <v>25050866</v>
      </c>
      <c r="K962" s="15" t="s">
        <v>1138</v>
      </c>
      <c r="L962" s="15" t="s">
        <v>1141</v>
      </c>
      <c r="M962" s="16">
        <v>199900</v>
      </c>
      <c r="N962" s="9">
        <v>0.95</v>
      </c>
      <c r="O962" s="8">
        <f t="shared" ref="O962:O1025" si="45">M962-((95*M962)/100)</f>
        <v>9995</v>
      </c>
      <c r="P962" s="6" t="s">
        <v>15</v>
      </c>
    </row>
    <row r="963" spans="1:16" x14ac:dyDescent="0.25">
      <c r="A963" s="6" t="s">
        <v>3920</v>
      </c>
      <c r="B963" s="7">
        <f t="shared" si="43"/>
        <v>46114</v>
      </c>
      <c r="C963" s="7">
        <f t="shared" si="44"/>
        <v>46120</v>
      </c>
      <c r="D963" s="6">
        <v>3280</v>
      </c>
      <c r="E963" s="6">
        <v>337</v>
      </c>
      <c r="F963" s="6">
        <v>4</v>
      </c>
      <c r="G963" s="15">
        <v>1</v>
      </c>
      <c r="H963" s="15"/>
      <c r="I963" s="15" t="s">
        <v>1505</v>
      </c>
      <c r="J963" s="15">
        <v>25050740</v>
      </c>
      <c r="K963" s="15" t="s">
        <v>1142</v>
      </c>
      <c r="L963" s="15" t="s">
        <v>1143</v>
      </c>
      <c r="M963" s="16">
        <v>189900</v>
      </c>
      <c r="N963" s="9">
        <v>0.95</v>
      </c>
      <c r="O963" s="8">
        <f t="shared" si="45"/>
        <v>9495</v>
      </c>
      <c r="P963" s="6" t="s">
        <v>15</v>
      </c>
    </row>
    <row r="964" spans="1:16" x14ac:dyDescent="0.25">
      <c r="A964" s="6" t="s">
        <v>3920</v>
      </c>
      <c r="B964" s="7">
        <f t="shared" ref="B964:B1027" si="46">B963</f>
        <v>46114</v>
      </c>
      <c r="C964" s="7">
        <f t="shared" ref="C964:C1027" si="47">C963</f>
        <v>46120</v>
      </c>
      <c r="D964" s="6">
        <v>3280</v>
      </c>
      <c r="E964" s="6">
        <v>337</v>
      </c>
      <c r="F964" s="6">
        <v>4</v>
      </c>
      <c r="G964" s="15">
        <v>1</v>
      </c>
      <c r="H964" s="15"/>
      <c r="I964" s="15" t="s">
        <v>1505</v>
      </c>
      <c r="J964" s="15">
        <v>24960518</v>
      </c>
      <c r="K964" s="15" t="s">
        <v>1144</v>
      </c>
      <c r="L964" s="15" t="s">
        <v>1145</v>
      </c>
      <c r="M964" s="16">
        <v>199900</v>
      </c>
      <c r="N964" s="9">
        <v>0.95</v>
      </c>
      <c r="O964" s="8">
        <f t="shared" si="45"/>
        <v>9995</v>
      </c>
      <c r="P964" s="6" t="s">
        <v>15</v>
      </c>
    </row>
    <row r="965" spans="1:16" x14ac:dyDescent="0.25">
      <c r="A965" s="6" t="s">
        <v>3920</v>
      </c>
      <c r="B965" s="7">
        <f t="shared" si="46"/>
        <v>46114</v>
      </c>
      <c r="C965" s="7">
        <f t="shared" si="47"/>
        <v>46120</v>
      </c>
      <c r="D965" s="6">
        <v>3280</v>
      </c>
      <c r="E965" s="6">
        <v>337</v>
      </c>
      <c r="F965" s="6">
        <v>4</v>
      </c>
      <c r="G965" s="15">
        <v>1</v>
      </c>
      <c r="H965" s="15"/>
      <c r="I965" s="15" t="s">
        <v>1505</v>
      </c>
      <c r="J965" s="15">
        <v>24975548</v>
      </c>
      <c r="K965" s="15" t="s">
        <v>1146</v>
      </c>
      <c r="L965" s="15" t="s">
        <v>1147</v>
      </c>
      <c r="M965" s="16">
        <v>209900</v>
      </c>
      <c r="N965" s="9">
        <v>0.95</v>
      </c>
      <c r="O965" s="8">
        <f t="shared" si="45"/>
        <v>10495</v>
      </c>
      <c r="P965" s="6" t="s">
        <v>15</v>
      </c>
    </row>
    <row r="966" spans="1:16" x14ac:dyDescent="0.25">
      <c r="A966" s="6" t="s">
        <v>3920</v>
      </c>
      <c r="B966" s="7">
        <f t="shared" si="46"/>
        <v>46114</v>
      </c>
      <c r="C966" s="7">
        <f t="shared" si="47"/>
        <v>46120</v>
      </c>
      <c r="D966" s="6">
        <v>3280</v>
      </c>
      <c r="E966" s="6">
        <v>337</v>
      </c>
      <c r="F966" s="6">
        <v>4</v>
      </c>
      <c r="G966" s="15">
        <v>1</v>
      </c>
      <c r="H966" s="15"/>
      <c r="I966" s="15" t="s">
        <v>1505</v>
      </c>
      <c r="J966" s="15">
        <v>24960545</v>
      </c>
      <c r="K966" s="15" t="s">
        <v>1144</v>
      </c>
      <c r="L966" s="15" t="s">
        <v>1148</v>
      </c>
      <c r="M966" s="16">
        <v>209900</v>
      </c>
      <c r="N966" s="9">
        <v>0.95</v>
      </c>
      <c r="O966" s="8">
        <f t="shared" si="45"/>
        <v>10495</v>
      </c>
      <c r="P966" s="6" t="s">
        <v>15</v>
      </c>
    </row>
    <row r="967" spans="1:16" x14ac:dyDescent="0.25">
      <c r="A967" s="6" t="s">
        <v>3920</v>
      </c>
      <c r="B967" s="7">
        <f t="shared" si="46"/>
        <v>46114</v>
      </c>
      <c r="C967" s="7">
        <f t="shared" si="47"/>
        <v>46120</v>
      </c>
      <c r="D967" s="6">
        <v>3280</v>
      </c>
      <c r="E967" s="6">
        <v>337</v>
      </c>
      <c r="F967" s="6">
        <v>4</v>
      </c>
      <c r="G967" s="15">
        <v>1</v>
      </c>
      <c r="H967" s="15"/>
      <c r="I967" s="15" t="s">
        <v>1505</v>
      </c>
      <c r="J967" s="15">
        <v>25050731</v>
      </c>
      <c r="K967" s="15" t="s">
        <v>1142</v>
      </c>
      <c r="L967" s="15" t="s">
        <v>1149</v>
      </c>
      <c r="M967" s="16">
        <v>189900</v>
      </c>
      <c r="N967" s="9">
        <v>0.95</v>
      </c>
      <c r="O967" s="8">
        <f t="shared" si="45"/>
        <v>9495</v>
      </c>
      <c r="P967" s="6" t="s">
        <v>15</v>
      </c>
    </row>
    <row r="968" spans="1:16" x14ac:dyDescent="0.25">
      <c r="A968" s="6" t="s">
        <v>3920</v>
      </c>
      <c r="B968" s="7">
        <f t="shared" si="46"/>
        <v>46114</v>
      </c>
      <c r="C968" s="7">
        <f t="shared" si="47"/>
        <v>46120</v>
      </c>
      <c r="D968" s="6">
        <v>3280</v>
      </c>
      <c r="E968" s="6">
        <v>337</v>
      </c>
      <c r="F968" s="6">
        <v>4</v>
      </c>
      <c r="G968" s="15">
        <v>1</v>
      </c>
      <c r="H968" s="15"/>
      <c r="I968" s="15" t="s">
        <v>1505</v>
      </c>
      <c r="J968" s="15">
        <v>25050777</v>
      </c>
      <c r="K968" s="15" t="s">
        <v>1142</v>
      </c>
      <c r="L968" s="15" t="s">
        <v>1150</v>
      </c>
      <c r="M968" s="16">
        <v>199900</v>
      </c>
      <c r="N968" s="9">
        <v>0.95</v>
      </c>
      <c r="O968" s="8">
        <f t="shared" si="45"/>
        <v>9995</v>
      </c>
      <c r="P968" s="6" t="s">
        <v>15</v>
      </c>
    </row>
    <row r="969" spans="1:16" x14ac:dyDescent="0.25">
      <c r="A969" s="6" t="s">
        <v>3920</v>
      </c>
      <c r="B969" s="7">
        <f t="shared" si="46"/>
        <v>46114</v>
      </c>
      <c r="C969" s="7">
        <f t="shared" si="47"/>
        <v>46120</v>
      </c>
      <c r="D969" s="6">
        <v>3280</v>
      </c>
      <c r="E969" s="6">
        <v>337</v>
      </c>
      <c r="F969" s="6">
        <v>4</v>
      </c>
      <c r="G969" s="15">
        <v>1</v>
      </c>
      <c r="H969" s="15"/>
      <c r="I969" s="15" t="s">
        <v>1505</v>
      </c>
      <c r="J969" s="15">
        <v>25050768</v>
      </c>
      <c r="K969" s="15" t="s">
        <v>1142</v>
      </c>
      <c r="L969" s="15" t="s">
        <v>1151</v>
      </c>
      <c r="M969" s="16">
        <v>199900</v>
      </c>
      <c r="N969" s="9">
        <v>0.95</v>
      </c>
      <c r="O969" s="8">
        <f t="shared" si="45"/>
        <v>9995</v>
      </c>
      <c r="P969" s="6" t="s">
        <v>15</v>
      </c>
    </row>
    <row r="970" spans="1:16" x14ac:dyDescent="0.25">
      <c r="A970" s="6" t="s">
        <v>3920</v>
      </c>
      <c r="B970" s="7">
        <f t="shared" si="46"/>
        <v>46114</v>
      </c>
      <c r="C970" s="7">
        <f t="shared" si="47"/>
        <v>46120</v>
      </c>
      <c r="D970" s="6">
        <v>3280</v>
      </c>
      <c r="E970" s="6">
        <v>337</v>
      </c>
      <c r="F970" s="6">
        <v>4</v>
      </c>
      <c r="G970" s="15">
        <v>1</v>
      </c>
      <c r="H970" s="15"/>
      <c r="I970" s="15" t="s">
        <v>1505</v>
      </c>
      <c r="J970" s="15">
        <v>24960492</v>
      </c>
      <c r="K970" s="15" t="s">
        <v>1144</v>
      </c>
      <c r="L970" s="15" t="s">
        <v>1152</v>
      </c>
      <c r="M970" s="16">
        <v>199900</v>
      </c>
      <c r="N970" s="9">
        <v>0.95</v>
      </c>
      <c r="O970" s="8">
        <f t="shared" si="45"/>
        <v>9995</v>
      </c>
      <c r="P970" s="6" t="s">
        <v>15</v>
      </c>
    </row>
    <row r="971" spans="1:16" x14ac:dyDescent="0.25">
      <c r="A971" s="6" t="s">
        <v>3920</v>
      </c>
      <c r="B971" s="7">
        <f t="shared" si="46"/>
        <v>46114</v>
      </c>
      <c r="C971" s="7">
        <f t="shared" si="47"/>
        <v>46120</v>
      </c>
      <c r="D971" s="6">
        <v>3280</v>
      </c>
      <c r="E971" s="6">
        <v>337</v>
      </c>
      <c r="F971" s="6">
        <v>4</v>
      </c>
      <c r="G971" s="15">
        <v>1</v>
      </c>
      <c r="H971" s="15"/>
      <c r="I971" s="15" t="s">
        <v>1505</v>
      </c>
      <c r="J971" s="15">
        <v>24960527</v>
      </c>
      <c r="K971" s="15" t="s">
        <v>1144</v>
      </c>
      <c r="L971" s="15" t="s">
        <v>1153</v>
      </c>
      <c r="M971" s="16">
        <v>209900</v>
      </c>
      <c r="N971" s="9">
        <v>0.95</v>
      </c>
      <c r="O971" s="8">
        <f t="shared" si="45"/>
        <v>10495</v>
      </c>
      <c r="P971" s="6" t="s">
        <v>15</v>
      </c>
    </row>
    <row r="972" spans="1:16" x14ac:dyDescent="0.25">
      <c r="A972" s="6" t="s">
        <v>3920</v>
      </c>
      <c r="B972" s="7">
        <f t="shared" si="46"/>
        <v>46114</v>
      </c>
      <c r="C972" s="7">
        <f t="shared" si="47"/>
        <v>46120</v>
      </c>
      <c r="D972" s="6">
        <v>3280</v>
      </c>
      <c r="E972" s="6">
        <v>337</v>
      </c>
      <c r="F972" s="6">
        <v>4</v>
      </c>
      <c r="G972" s="15">
        <v>1</v>
      </c>
      <c r="H972" s="15"/>
      <c r="I972" s="15" t="s">
        <v>1505</v>
      </c>
      <c r="J972" s="15">
        <v>24960536</v>
      </c>
      <c r="K972" s="15" t="s">
        <v>1144</v>
      </c>
      <c r="L972" s="15" t="s">
        <v>1154</v>
      </c>
      <c r="M972" s="16">
        <v>209900</v>
      </c>
      <c r="N972" s="9">
        <v>0.95</v>
      </c>
      <c r="O972" s="8">
        <f t="shared" si="45"/>
        <v>10495</v>
      </c>
      <c r="P972" s="6" t="s">
        <v>15</v>
      </c>
    </row>
    <row r="973" spans="1:16" x14ac:dyDescent="0.25">
      <c r="A973" s="6" t="s">
        <v>3920</v>
      </c>
      <c r="B973" s="7">
        <f t="shared" si="46"/>
        <v>46114</v>
      </c>
      <c r="C973" s="7">
        <f t="shared" si="47"/>
        <v>46120</v>
      </c>
      <c r="D973" s="6">
        <v>3280</v>
      </c>
      <c r="E973" s="6">
        <v>337</v>
      </c>
      <c r="F973" s="6">
        <v>4</v>
      </c>
      <c r="G973" s="15">
        <v>1</v>
      </c>
      <c r="H973" s="15"/>
      <c r="I973" s="15" t="s">
        <v>1505</v>
      </c>
      <c r="J973" s="15">
        <v>25050759</v>
      </c>
      <c r="K973" s="15" t="s">
        <v>1142</v>
      </c>
      <c r="L973" s="15" t="s">
        <v>1155</v>
      </c>
      <c r="M973" s="16">
        <v>189900</v>
      </c>
      <c r="N973" s="9">
        <v>0.95</v>
      </c>
      <c r="O973" s="8">
        <f t="shared" si="45"/>
        <v>9495</v>
      </c>
      <c r="P973" s="6" t="s">
        <v>15</v>
      </c>
    </row>
    <row r="974" spans="1:16" x14ac:dyDescent="0.25">
      <c r="A974" s="6" t="s">
        <v>3920</v>
      </c>
      <c r="B974" s="7">
        <f t="shared" si="46"/>
        <v>46114</v>
      </c>
      <c r="C974" s="7">
        <f t="shared" si="47"/>
        <v>46120</v>
      </c>
      <c r="D974" s="6">
        <v>3280</v>
      </c>
      <c r="E974" s="6">
        <v>337</v>
      </c>
      <c r="F974" s="6">
        <v>4</v>
      </c>
      <c r="G974" s="15">
        <v>1</v>
      </c>
      <c r="H974" s="15"/>
      <c r="I974" s="15" t="s">
        <v>1505</v>
      </c>
      <c r="J974" s="15">
        <v>24975502</v>
      </c>
      <c r="K974" s="15" t="s">
        <v>1146</v>
      </c>
      <c r="L974" s="15" t="s">
        <v>1156</v>
      </c>
      <c r="M974" s="16">
        <v>199900</v>
      </c>
      <c r="N974" s="9">
        <v>0.95</v>
      </c>
      <c r="O974" s="8">
        <f t="shared" si="45"/>
        <v>9995</v>
      </c>
      <c r="P974" s="6" t="s">
        <v>15</v>
      </c>
    </row>
    <row r="975" spans="1:16" x14ac:dyDescent="0.25">
      <c r="A975" s="6" t="s">
        <v>3920</v>
      </c>
      <c r="B975" s="7">
        <f t="shared" si="46"/>
        <v>46114</v>
      </c>
      <c r="C975" s="7">
        <f t="shared" si="47"/>
        <v>46120</v>
      </c>
      <c r="D975" s="6">
        <v>3280</v>
      </c>
      <c r="E975" s="6">
        <v>337</v>
      </c>
      <c r="F975" s="6">
        <v>4</v>
      </c>
      <c r="G975" s="15">
        <v>1</v>
      </c>
      <c r="H975" s="15"/>
      <c r="I975" s="15" t="s">
        <v>1505</v>
      </c>
      <c r="J975" s="15">
        <v>24975539</v>
      </c>
      <c r="K975" s="15" t="s">
        <v>1146</v>
      </c>
      <c r="L975" s="15" t="s">
        <v>1157</v>
      </c>
      <c r="M975" s="16">
        <v>209900</v>
      </c>
      <c r="N975" s="9">
        <v>0.95</v>
      </c>
      <c r="O975" s="8">
        <f t="shared" si="45"/>
        <v>10495</v>
      </c>
      <c r="P975" s="6" t="s">
        <v>15</v>
      </c>
    </row>
    <row r="976" spans="1:16" x14ac:dyDescent="0.25">
      <c r="A976" s="6" t="s">
        <v>3920</v>
      </c>
      <c r="B976" s="7">
        <f t="shared" si="46"/>
        <v>46114</v>
      </c>
      <c r="C976" s="7">
        <f t="shared" si="47"/>
        <v>46120</v>
      </c>
      <c r="D976" s="6">
        <v>3280</v>
      </c>
      <c r="E976" s="6">
        <v>337</v>
      </c>
      <c r="F976" s="6">
        <v>4</v>
      </c>
      <c r="G976" s="15">
        <v>1</v>
      </c>
      <c r="H976" s="15"/>
      <c r="I976" s="15" t="s">
        <v>1505</v>
      </c>
      <c r="J976" s="15">
        <v>25050786</v>
      </c>
      <c r="K976" s="15" t="s">
        <v>1142</v>
      </c>
      <c r="L976" s="15" t="s">
        <v>1158</v>
      </c>
      <c r="M976" s="16">
        <v>199900</v>
      </c>
      <c r="N976" s="9">
        <v>0.95</v>
      </c>
      <c r="O976" s="8">
        <f t="shared" si="45"/>
        <v>9995</v>
      </c>
      <c r="P976" s="6" t="s">
        <v>15</v>
      </c>
    </row>
    <row r="977" spans="1:16" x14ac:dyDescent="0.25">
      <c r="A977" s="6" t="s">
        <v>3920</v>
      </c>
      <c r="B977" s="7">
        <f t="shared" si="46"/>
        <v>46114</v>
      </c>
      <c r="C977" s="7">
        <f t="shared" si="47"/>
        <v>46120</v>
      </c>
      <c r="D977" s="6">
        <v>3280</v>
      </c>
      <c r="E977" s="6">
        <v>337</v>
      </c>
      <c r="F977" s="6">
        <v>4</v>
      </c>
      <c r="G977" s="15">
        <v>1</v>
      </c>
      <c r="H977" s="15"/>
      <c r="I977" s="15" t="s">
        <v>1505</v>
      </c>
      <c r="J977" s="15">
        <v>25554152</v>
      </c>
      <c r="K977" s="15" t="s">
        <v>1159</v>
      </c>
      <c r="L977" s="15" t="s">
        <v>1160</v>
      </c>
      <c r="M977" s="16">
        <v>219900</v>
      </c>
      <c r="N977" s="9">
        <v>0.95</v>
      </c>
      <c r="O977" s="8">
        <f t="shared" si="45"/>
        <v>10995</v>
      </c>
      <c r="P977" s="6" t="s">
        <v>15</v>
      </c>
    </row>
    <row r="978" spans="1:16" x14ac:dyDescent="0.25">
      <c r="A978" s="6" t="s">
        <v>3920</v>
      </c>
      <c r="B978" s="7">
        <f t="shared" si="46"/>
        <v>46114</v>
      </c>
      <c r="C978" s="7">
        <f t="shared" si="47"/>
        <v>46120</v>
      </c>
      <c r="D978" s="6">
        <v>3280</v>
      </c>
      <c r="E978" s="6">
        <v>337</v>
      </c>
      <c r="F978" s="6">
        <v>4</v>
      </c>
      <c r="G978" s="15">
        <v>1</v>
      </c>
      <c r="H978" s="15"/>
      <c r="I978" s="15" t="s">
        <v>1505</v>
      </c>
      <c r="J978" s="15">
        <v>25554563</v>
      </c>
      <c r="K978" s="15" t="s">
        <v>1161</v>
      </c>
      <c r="L978" s="15" t="s">
        <v>1162</v>
      </c>
      <c r="M978" s="16">
        <v>219900</v>
      </c>
      <c r="N978" s="9">
        <v>0.95</v>
      </c>
      <c r="O978" s="8">
        <f t="shared" si="45"/>
        <v>10995</v>
      </c>
      <c r="P978" s="6" t="s">
        <v>15</v>
      </c>
    </row>
    <row r="979" spans="1:16" x14ac:dyDescent="0.25">
      <c r="A979" s="6" t="s">
        <v>3920</v>
      </c>
      <c r="B979" s="7">
        <f t="shared" si="46"/>
        <v>46114</v>
      </c>
      <c r="C979" s="7">
        <f t="shared" si="47"/>
        <v>46120</v>
      </c>
      <c r="D979" s="6">
        <v>3280</v>
      </c>
      <c r="E979" s="6">
        <v>337</v>
      </c>
      <c r="F979" s="6">
        <v>4</v>
      </c>
      <c r="G979" s="15">
        <v>1</v>
      </c>
      <c r="H979" s="15"/>
      <c r="I979" s="15" t="s">
        <v>1505</v>
      </c>
      <c r="J979" s="15">
        <v>25781193</v>
      </c>
      <c r="K979" s="15" t="s">
        <v>1163</v>
      </c>
      <c r="L979" s="15" t="s">
        <v>1164</v>
      </c>
      <c r="M979" s="16">
        <v>199900</v>
      </c>
      <c r="N979" s="9">
        <v>0.95</v>
      </c>
      <c r="O979" s="8">
        <f t="shared" si="45"/>
        <v>9995</v>
      </c>
      <c r="P979" s="6" t="s">
        <v>15</v>
      </c>
    </row>
    <row r="980" spans="1:16" x14ac:dyDescent="0.25">
      <c r="A980" s="6" t="s">
        <v>3920</v>
      </c>
      <c r="B980" s="7">
        <f t="shared" si="46"/>
        <v>46114</v>
      </c>
      <c r="C980" s="7">
        <f t="shared" si="47"/>
        <v>46120</v>
      </c>
      <c r="D980" s="6">
        <v>3280</v>
      </c>
      <c r="E980" s="6">
        <v>337</v>
      </c>
      <c r="F980" s="6">
        <v>4</v>
      </c>
      <c r="G980" s="15">
        <v>1</v>
      </c>
      <c r="H980" s="15"/>
      <c r="I980" s="15" t="s">
        <v>1505</v>
      </c>
      <c r="J980" s="15">
        <v>25554161</v>
      </c>
      <c r="K980" s="15" t="s">
        <v>1159</v>
      </c>
      <c r="L980" s="15" t="s">
        <v>1165</v>
      </c>
      <c r="M980" s="16">
        <v>219900</v>
      </c>
      <c r="N980" s="9">
        <v>0.95</v>
      </c>
      <c r="O980" s="8">
        <f t="shared" si="45"/>
        <v>10995</v>
      </c>
      <c r="P980" s="6" t="s">
        <v>15</v>
      </c>
    </row>
    <row r="981" spans="1:16" x14ac:dyDescent="0.25">
      <c r="A981" s="6" t="s">
        <v>3920</v>
      </c>
      <c r="B981" s="7">
        <f t="shared" si="46"/>
        <v>46114</v>
      </c>
      <c r="C981" s="7">
        <f t="shared" si="47"/>
        <v>46120</v>
      </c>
      <c r="D981" s="6">
        <v>3280</v>
      </c>
      <c r="E981" s="6">
        <v>337</v>
      </c>
      <c r="F981" s="6">
        <v>4</v>
      </c>
      <c r="G981" s="15">
        <v>1</v>
      </c>
      <c r="H981" s="15"/>
      <c r="I981" s="15" t="s">
        <v>1505</v>
      </c>
      <c r="J981" s="15">
        <v>25554465</v>
      </c>
      <c r="K981" s="15" t="s">
        <v>1166</v>
      </c>
      <c r="L981" s="15" t="s">
        <v>1167</v>
      </c>
      <c r="M981" s="16">
        <v>209900</v>
      </c>
      <c r="N981" s="9">
        <v>0.95</v>
      </c>
      <c r="O981" s="8">
        <f t="shared" si="45"/>
        <v>10495</v>
      </c>
      <c r="P981" s="6" t="s">
        <v>15</v>
      </c>
    </row>
    <row r="982" spans="1:16" x14ac:dyDescent="0.25">
      <c r="A982" s="6" t="s">
        <v>3920</v>
      </c>
      <c r="B982" s="7">
        <f t="shared" si="46"/>
        <v>46114</v>
      </c>
      <c r="C982" s="7">
        <f t="shared" si="47"/>
        <v>46120</v>
      </c>
      <c r="D982" s="6">
        <v>3280</v>
      </c>
      <c r="E982" s="6">
        <v>337</v>
      </c>
      <c r="F982" s="6">
        <v>4</v>
      </c>
      <c r="G982" s="15">
        <v>1</v>
      </c>
      <c r="H982" s="15"/>
      <c r="I982" s="15" t="s">
        <v>1505</v>
      </c>
      <c r="J982" s="15">
        <v>25554134</v>
      </c>
      <c r="K982" s="15" t="s">
        <v>1159</v>
      </c>
      <c r="L982" s="15" t="s">
        <v>1168</v>
      </c>
      <c r="M982" s="16">
        <v>209900</v>
      </c>
      <c r="N982" s="9">
        <v>0.95</v>
      </c>
      <c r="O982" s="8">
        <f t="shared" si="45"/>
        <v>10495</v>
      </c>
      <c r="P982" s="6" t="s">
        <v>15</v>
      </c>
    </row>
    <row r="983" spans="1:16" x14ac:dyDescent="0.25">
      <c r="A983" s="6" t="s">
        <v>3920</v>
      </c>
      <c r="B983" s="7">
        <f t="shared" si="46"/>
        <v>46114</v>
      </c>
      <c r="C983" s="7">
        <f t="shared" si="47"/>
        <v>46120</v>
      </c>
      <c r="D983" s="6">
        <v>3280</v>
      </c>
      <c r="E983" s="6">
        <v>337</v>
      </c>
      <c r="F983" s="6">
        <v>4</v>
      </c>
      <c r="G983" s="15">
        <v>1</v>
      </c>
      <c r="H983" s="15"/>
      <c r="I983" s="15" t="s">
        <v>1505</v>
      </c>
      <c r="J983" s="15">
        <v>25554456</v>
      </c>
      <c r="K983" s="15" t="s">
        <v>1166</v>
      </c>
      <c r="L983" s="15" t="s">
        <v>1169</v>
      </c>
      <c r="M983" s="16">
        <v>209900</v>
      </c>
      <c r="N983" s="9">
        <v>0.95</v>
      </c>
      <c r="O983" s="8">
        <f t="shared" si="45"/>
        <v>10495</v>
      </c>
      <c r="P983" s="6" t="s">
        <v>15</v>
      </c>
    </row>
    <row r="984" spans="1:16" x14ac:dyDescent="0.25">
      <c r="A984" s="6" t="s">
        <v>3920</v>
      </c>
      <c r="B984" s="7">
        <f t="shared" si="46"/>
        <v>46114</v>
      </c>
      <c r="C984" s="7">
        <f t="shared" si="47"/>
        <v>46120</v>
      </c>
      <c r="D984" s="6">
        <v>3280</v>
      </c>
      <c r="E984" s="6">
        <v>337</v>
      </c>
      <c r="F984" s="6">
        <v>4</v>
      </c>
      <c r="G984" s="15">
        <v>1</v>
      </c>
      <c r="H984" s="15"/>
      <c r="I984" s="15" t="s">
        <v>1505</v>
      </c>
      <c r="J984" s="15">
        <v>25554554</v>
      </c>
      <c r="K984" s="15" t="s">
        <v>1161</v>
      </c>
      <c r="L984" s="15" t="s">
        <v>1170</v>
      </c>
      <c r="M984" s="16">
        <v>219900</v>
      </c>
      <c r="N984" s="9">
        <v>0.95</v>
      </c>
      <c r="O984" s="8">
        <f t="shared" si="45"/>
        <v>10995</v>
      </c>
      <c r="P984" s="6" t="s">
        <v>15</v>
      </c>
    </row>
    <row r="985" spans="1:16" x14ac:dyDescent="0.25">
      <c r="A985" s="6" t="s">
        <v>3920</v>
      </c>
      <c r="B985" s="7">
        <f t="shared" si="46"/>
        <v>46114</v>
      </c>
      <c r="C985" s="7">
        <f t="shared" si="47"/>
        <v>46120</v>
      </c>
      <c r="D985" s="6">
        <v>3280</v>
      </c>
      <c r="E985" s="6">
        <v>337</v>
      </c>
      <c r="F985" s="6">
        <v>4</v>
      </c>
      <c r="G985" s="15">
        <v>1</v>
      </c>
      <c r="H985" s="15"/>
      <c r="I985" s="15" t="s">
        <v>1505</v>
      </c>
      <c r="J985" s="15">
        <v>25554483</v>
      </c>
      <c r="K985" s="15" t="s">
        <v>1166</v>
      </c>
      <c r="L985" s="15" t="s">
        <v>1171</v>
      </c>
      <c r="M985" s="16">
        <v>219900</v>
      </c>
      <c r="N985" s="9">
        <v>0.95</v>
      </c>
      <c r="O985" s="8">
        <f t="shared" si="45"/>
        <v>10995</v>
      </c>
      <c r="P985" s="6" t="s">
        <v>15</v>
      </c>
    </row>
    <row r="986" spans="1:16" x14ac:dyDescent="0.25">
      <c r="A986" s="6" t="s">
        <v>3920</v>
      </c>
      <c r="B986" s="7">
        <f t="shared" si="46"/>
        <v>46114</v>
      </c>
      <c r="C986" s="7">
        <f t="shared" si="47"/>
        <v>46120</v>
      </c>
      <c r="D986" s="6">
        <v>3280</v>
      </c>
      <c r="E986" s="6">
        <v>337</v>
      </c>
      <c r="F986" s="6">
        <v>4</v>
      </c>
      <c r="G986" s="15">
        <v>1</v>
      </c>
      <c r="H986" s="15"/>
      <c r="I986" s="15" t="s">
        <v>1505</v>
      </c>
      <c r="J986" s="15">
        <v>25680828</v>
      </c>
      <c r="K986" s="15" t="s">
        <v>1172</v>
      </c>
      <c r="L986" s="15" t="s">
        <v>1173</v>
      </c>
      <c r="M986" s="16">
        <v>209900</v>
      </c>
      <c r="N986" s="9">
        <v>0.95</v>
      </c>
      <c r="O986" s="8">
        <f t="shared" si="45"/>
        <v>10495</v>
      </c>
      <c r="P986" s="6" t="s">
        <v>15</v>
      </c>
    </row>
    <row r="987" spans="1:16" x14ac:dyDescent="0.25">
      <c r="A987" s="6" t="s">
        <v>3920</v>
      </c>
      <c r="B987" s="7">
        <f t="shared" si="46"/>
        <v>46114</v>
      </c>
      <c r="C987" s="7">
        <f t="shared" si="47"/>
        <v>46120</v>
      </c>
      <c r="D987" s="6">
        <v>3280</v>
      </c>
      <c r="E987" s="6">
        <v>337</v>
      </c>
      <c r="F987" s="6">
        <v>4</v>
      </c>
      <c r="G987" s="15">
        <v>1</v>
      </c>
      <c r="H987" s="15"/>
      <c r="I987" s="15" t="s">
        <v>1505</v>
      </c>
      <c r="J987" s="15">
        <v>25554492</v>
      </c>
      <c r="K987" s="15" t="s">
        <v>1166</v>
      </c>
      <c r="L987" s="15" t="s">
        <v>1174</v>
      </c>
      <c r="M987" s="16">
        <v>219900</v>
      </c>
      <c r="N987" s="9">
        <v>0.95</v>
      </c>
      <c r="O987" s="8">
        <f t="shared" si="45"/>
        <v>10995</v>
      </c>
      <c r="P987" s="6" t="s">
        <v>15</v>
      </c>
    </row>
    <row r="988" spans="1:16" x14ac:dyDescent="0.25">
      <c r="A988" s="6" t="s">
        <v>3920</v>
      </c>
      <c r="B988" s="7">
        <f t="shared" si="46"/>
        <v>46114</v>
      </c>
      <c r="C988" s="7">
        <f t="shared" si="47"/>
        <v>46120</v>
      </c>
      <c r="D988" s="6">
        <v>3280</v>
      </c>
      <c r="E988" s="6">
        <v>337</v>
      </c>
      <c r="F988" s="6">
        <v>4</v>
      </c>
      <c r="G988" s="15">
        <v>1</v>
      </c>
      <c r="H988" s="15"/>
      <c r="I988" s="15" t="s">
        <v>1505</v>
      </c>
      <c r="J988" s="15">
        <v>25554536</v>
      </c>
      <c r="K988" s="15" t="s">
        <v>1161</v>
      </c>
      <c r="L988" s="15" t="s">
        <v>1175</v>
      </c>
      <c r="M988" s="16">
        <v>209900</v>
      </c>
      <c r="N988" s="9">
        <v>0.95</v>
      </c>
      <c r="O988" s="8">
        <f t="shared" si="45"/>
        <v>10495</v>
      </c>
      <c r="P988" s="6" t="s">
        <v>15</v>
      </c>
    </row>
    <row r="989" spans="1:16" x14ac:dyDescent="0.25">
      <c r="A989" s="6" t="s">
        <v>3920</v>
      </c>
      <c r="B989" s="7">
        <f t="shared" si="46"/>
        <v>46114</v>
      </c>
      <c r="C989" s="7">
        <f t="shared" si="47"/>
        <v>46120</v>
      </c>
      <c r="D989" s="6">
        <v>3280</v>
      </c>
      <c r="E989" s="6">
        <v>337</v>
      </c>
      <c r="F989" s="6">
        <v>4</v>
      </c>
      <c r="G989" s="15">
        <v>1</v>
      </c>
      <c r="H989" s="15"/>
      <c r="I989" s="15" t="s">
        <v>1505</v>
      </c>
      <c r="J989" s="15">
        <v>25554518</v>
      </c>
      <c r="K989" s="15" t="s">
        <v>1161</v>
      </c>
      <c r="L989" s="15" t="s">
        <v>1176</v>
      </c>
      <c r="M989" s="16">
        <v>209900</v>
      </c>
      <c r="N989" s="9">
        <v>0.95</v>
      </c>
      <c r="O989" s="8">
        <f t="shared" si="45"/>
        <v>10495</v>
      </c>
      <c r="P989" s="6" t="s">
        <v>15</v>
      </c>
    </row>
    <row r="990" spans="1:16" x14ac:dyDescent="0.25">
      <c r="A990" s="6" t="s">
        <v>3920</v>
      </c>
      <c r="B990" s="7">
        <f t="shared" si="46"/>
        <v>46114</v>
      </c>
      <c r="C990" s="7">
        <f t="shared" si="47"/>
        <v>46120</v>
      </c>
      <c r="D990" s="6">
        <v>3280</v>
      </c>
      <c r="E990" s="6">
        <v>337</v>
      </c>
      <c r="F990" s="6">
        <v>4</v>
      </c>
      <c r="G990" s="15">
        <v>1</v>
      </c>
      <c r="H990" s="15"/>
      <c r="I990" s="15" t="s">
        <v>1505</v>
      </c>
      <c r="J990" s="15">
        <v>24960509</v>
      </c>
      <c r="K990" s="15" t="s">
        <v>1144</v>
      </c>
      <c r="L990" s="15" t="s">
        <v>1177</v>
      </c>
      <c r="M990" s="16">
        <v>199900</v>
      </c>
      <c r="N990" s="9">
        <v>0.95</v>
      </c>
      <c r="O990" s="8">
        <f t="shared" si="45"/>
        <v>9995</v>
      </c>
      <c r="P990" s="6" t="s">
        <v>15</v>
      </c>
    </row>
    <row r="991" spans="1:16" x14ac:dyDescent="0.25">
      <c r="A991" s="6" t="s">
        <v>3920</v>
      </c>
      <c r="B991" s="7">
        <f t="shared" si="46"/>
        <v>46114</v>
      </c>
      <c r="C991" s="7">
        <f t="shared" si="47"/>
        <v>46120</v>
      </c>
      <c r="D991" s="6">
        <v>3280</v>
      </c>
      <c r="E991" s="6">
        <v>337</v>
      </c>
      <c r="F991" s="6">
        <v>4</v>
      </c>
      <c r="G991" s="15">
        <v>1</v>
      </c>
      <c r="H991" s="15"/>
      <c r="I991" s="15" t="s">
        <v>1505</v>
      </c>
      <c r="J991" s="15">
        <v>25680846</v>
      </c>
      <c r="K991" s="15" t="s">
        <v>1172</v>
      </c>
      <c r="L991" s="15" t="s">
        <v>1178</v>
      </c>
      <c r="M991" s="16">
        <v>209900</v>
      </c>
      <c r="N991" s="9">
        <v>0.95</v>
      </c>
      <c r="O991" s="8">
        <f t="shared" si="45"/>
        <v>10495</v>
      </c>
      <c r="P991" s="6" t="s">
        <v>15</v>
      </c>
    </row>
    <row r="992" spans="1:16" x14ac:dyDescent="0.25">
      <c r="A992" s="6" t="s">
        <v>3920</v>
      </c>
      <c r="B992" s="7">
        <f t="shared" si="46"/>
        <v>46114</v>
      </c>
      <c r="C992" s="7">
        <f t="shared" si="47"/>
        <v>46120</v>
      </c>
      <c r="D992" s="6">
        <v>3280</v>
      </c>
      <c r="E992" s="6">
        <v>337</v>
      </c>
      <c r="F992" s="6">
        <v>4</v>
      </c>
      <c r="G992" s="15">
        <v>1</v>
      </c>
      <c r="H992" s="15"/>
      <c r="I992" s="15" t="s">
        <v>1505</v>
      </c>
      <c r="J992" s="15">
        <v>25554143</v>
      </c>
      <c r="K992" s="15" t="s">
        <v>1159</v>
      </c>
      <c r="L992" s="15" t="s">
        <v>1179</v>
      </c>
      <c r="M992" s="16">
        <v>209900</v>
      </c>
      <c r="N992" s="9">
        <v>0.95</v>
      </c>
      <c r="O992" s="8">
        <f t="shared" si="45"/>
        <v>10495</v>
      </c>
      <c r="P992" s="6" t="s">
        <v>15</v>
      </c>
    </row>
    <row r="993" spans="1:16" x14ac:dyDescent="0.25">
      <c r="A993" s="6" t="s">
        <v>3920</v>
      </c>
      <c r="B993" s="7">
        <f t="shared" si="46"/>
        <v>46114</v>
      </c>
      <c r="C993" s="7">
        <f t="shared" si="47"/>
        <v>46120</v>
      </c>
      <c r="D993" s="6">
        <v>3280</v>
      </c>
      <c r="E993" s="6">
        <v>337</v>
      </c>
      <c r="F993" s="6">
        <v>4</v>
      </c>
      <c r="G993" s="15">
        <v>1</v>
      </c>
      <c r="H993" s="15"/>
      <c r="I993" s="15" t="s">
        <v>1505</v>
      </c>
      <c r="J993" s="15">
        <v>25554474</v>
      </c>
      <c r="K993" s="15" t="s">
        <v>1166</v>
      </c>
      <c r="L993" s="15" t="s">
        <v>1180</v>
      </c>
      <c r="M993" s="16">
        <v>219900</v>
      </c>
      <c r="N993" s="9">
        <v>0.95</v>
      </c>
      <c r="O993" s="8">
        <f t="shared" si="45"/>
        <v>10995</v>
      </c>
      <c r="P993" s="6" t="s">
        <v>15</v>
      </c>
    </row>
    <row r="994" spans="1:16" x14ac:dyDescent="0.25">
      <c r="A994" s="6" t="s">
        <v>3920</v>
      </c>
      <c r="B994" s="7">
        <f t="shared" si="46"/>
        <v>46114</v>
      </c>
      <c r="C994" s="7">
        <f t="shared" si="47"/>
        <v>46120</v>
      </c>
      <c r="D994" s="6">
        <v>3280</v>
      </c>
      <c r="E994" s="6">
        <v>337</v>
      </c>
      <c r="F994" s="6">
        <v>4</v>
      </c>
      <c r="G994" s="15">
        <v>1</v>
      </c>
      <c r="H994" s="15"/>
      <c r="I994" s="15" t="s">
        <v>1505</v>
      </c>
      <c r="J994" s="15">
        <v>24975511</v>
      </c>
      <c r="K994" s="15" t="s">
        <v>1146</v>
      </c>
      <c r="L994" s="15" t="s">
        <v>1181</v>
      </c>
      <c r="M994" s="16">
        <v>199900</v>
      </c>
      <c r="N994" s="9">
        <v>0.95</v>
      </c>
      <c r="O994" s="8">
        <f t="shared" si="45"/>
        <v>9995</v>
      </c>
      <c r="P994" s="6" t="s">
        <v>15</v>
      </c>
    </row>
    <row r="995" spans="1:16" x14ac:dyDescent="0.25">
      <c r="A995" s="6" t="s">
        <v>3920</v>
      </c>
      <c r="B995" s="7">
        <f t="shared" si="46"/>
        <v>46114</v>
      </c>
      <c r="C995" s="7">
        <f t="shared" si="47"/>
        <v>46120</v>
      </c>
      <c r="D995" s="6">
        <v>3280</v>
      </c>
      <c r="E995" s="6">
        <v>337</v>
      </c>
      <c r="F995" s="6">
        <v>4</v>
      </c>
      <c r="G995" s="15">
        <v>1</v>
      </c>
      <c r="H995" s="15"/>
      <c r="I995" s="15" t="s">
        <v>1505</v>
      </c>
      <c r="J995" s="15">
        <v>25781184</v>
      </c>
      <c r="K995" s="15" t="s">
        <v>1163</v>
      </c>
      <c r="L995" s="15" t="s">
        <v>1182</v>
      </c>
      <c r="M995" s="16">
        <v>199900</v>
      </c>
      <c r="N995" s="9">
        <v>0.95</v>
      </c>
      <c r="O995" s="8">
        <f t="shared" si="45"/>
        <v>9995</v>
      </c>
      <c r="P995" s="6" t="s">
        <v>15</v>
      </c>
    </row>
    <row r="996" spans="1:16" x14ac:dyDescent="0.25">
      <c r="A996" s="6" t="s">
        <v>3920</v>
      </c>
      <c r="B996" s="7">
        <f t="shared" si="46"/>
        <v>46114</v>
      </c>
      <c r="C996" s="7">
        <f t="shared" si="47"/>
        <v>46120</v>
      </c>
      <c r="D996" s="6">
        <v>3280</v>
      </c>
      <c r="E996" s="6">
        <v>337</v>
      </c>
      <c r="F996" s="6">
        <v>4</v>
      </c>
      <c r="G996" s="15">
        <v>1</v>
      </c>
      <c r="H996" s="15"/>
      <c r="I996" s="15" t="s">
        <v>1505</v>
      </c>
      <c r="J996" s="15">
        <v>25554545</v>
      </c>
      <c r="K996" s="15" t="s">
        <v>1161</v>
      </c>
      <c r="L996" s="15" t="s">
        <v>1183</v>
      </c>
      <c r="M996" s="16">
        <v>219900</v>
      </c>
      <c r="N996" s="9">
        <v>0.95</v>
      </c>
      <c r="O996" s="8">
        <f t="shared" si="45"/>
        <v>10995</v>
      </c>
      <c r="P996" s="6" t="s">
        <v>15</v>
      </c>
    </row>
    <row r="997" spans="1:16" x14ac:dyDescent="0.25">
      <c r="A997" s="6" t="s">
        <v>3920</v>
      </c>
      <c r="B997" s="7">
        <f t="shared" si="46"/>
        <v>46114</v>
      </c>
      <c r="C997" s="7">
        <f t="shared" si="47"/>
        <v>46120</v>
      </c>
      <c r="D997" s="6">
        <v>3280</v>
      </c>
      <c r="E997" s="6">
        <v>337</v>
      </c>
      <c r="F997" s="6">
        <v>4</v>
      </c>
      <c r="G997" s="15">
        <v>1</v>
      </c>
      <c r="H997" s="15"/>
      <c r="I997" s="15" t="s">
        <v>1505</v>
      </c>
      <c r="J997" s="15">
        <v>25781219</v>
      </c>
      <c r="K997" s="15" t="s">
        <v>1163</v>
      </c>
      <c r="L997" s="15" t="s">
        <v>1184</v>
      </c>
      <c r="M997" s="16">
        <v>209900</v>
      </c>
      <c r="N997" s="9">
        <v>0.95</v>
      </c>
      <c r="O997" s="8">
        <f t="shared" si="45"/>
        <v>10495</v>
      </c>
      <c r="P997" s="6" t="s">
        <v>15</v>
      </c>
    </row>
    <row r="998" spans="1:16" x14ac:dyDescent="0.25">
      <c r="A998" s="6" t="s">
        <v>3920</v>
      </c>
      <c r="B998" s="7">
        <f t="shared" si="46"/>
        <v>46114</v>
      </c>
      <c r="C998" s="7">
        <f t="shared" si="47"/>
        <v>46120</v>
      </c>
      <c r="D998" s="6">
        <v>3280</v>
      </c>
      <c r="E998" s="6">
        <v>337</v>
      </c>
      <c r="F998" s="6">
        <v>4</v>
      </c>
      <c r="G998" s="15">
        <v>1</v>
      </c>
      <c r="H998" s="15"/>
      <c r="I998" s="15" t="s">
        <v>1505</v>
      </c>
      <c r="J998" s="15">
        <v>25554527</v>
      </c>
      <c r="K998" s="15" t="s">
        <v>1161</v>
      </c>
      <c r="L998" s="15" t="s">
        <v>1185</v>
      </c>
      <c r="M998" s="16">
        <v>209900</v>
      </c>
      <c r="N998" s="9">
        <v>0.95</v>
      </c>
      <c r="O998" s="8">
        <f t="shared" si="45"/>
        <v>10495</v>
      </c>
      <c r="P998" s="6" t="s">
        <v>15</v>
      </c>
    </row>
    <row r="999" spans="1:16" x14ac:dyDescent="0.25">
      <c r="A999" s="6" t="s">
        <v>3920</v>
      </c>
      <c r="B999" s="7">
        <f t="shared" si="46"/>
        <v>46114</v>
      </c>
      <c r="C999" s="7">
        <f t="shared" si="47"/>
        <v>46120</v>
      </c>
      <c r="D999" s="6">
        <v>3280</v>
      </c>
      <c r="E999" s="6">
        <v>337</v>
      </c>
      <c r="F999" s="6">
        <v>4</v>
      </c>
      <c r="G999" s="15">
        <v>1</v>
      </c>
      <c r="H999" s="15"/>
      <c r="I999" s="15" t="s">
        <v>1505</v>
      </c>
      <c r="J999" s="15">
        <v>25554170</v>
      </c>
      <c r="K999" s="15" t="s">
        <v>1159</v>
      </c>
      <c r="L999" s="15" t="s">
        <v>1186</v>
      </c>
      <c r="M999" s="16">
        <v>219900</v>
      </c>
      <c r="N999" s="9">
        <v>0.95</v>
      </c>
      <c r="O999" s="8">
        <f t="shared" si="45"/>
        <v>10995</v>
      </c>
      <c r="P999" s="6" t="s">
        <v>15</v>
      </c>
    </row>
    <row r="1000" spans="1:16" x14ac:dyDescent="0.25">
      <c r="A1000" s="6" t="s">
        <v>3920</v>
      </c>
      <c r="B1000" s="7">
        <f t="shared" si="46"/>
        <v>46114</v>
      </c>
      <c r="C1000" s="7">
        <f t="shared" si="47"/>
        <v>46120</v>
      </c>
      <c r="D1000" s="6">
        <v>3280</v>
      </c>
      <c r="E1000" s="6">
        <v>337</v>
      </c>
      <c r="F1000" s="6">
        <v>4</v>
      </c>
      <c r="G1000" s="15">
        <v>1</v>
      </c>
      <c r="H1000" s="15"/>
      <c r="I1000" s="15" t="s">
        <v>1505</v>
      </c>
      <c r="J1000" s="15">
        <v>25781175</v>
      </c>
      <c r="K1000" s="15" t="s">
        <v>1163</v>
      </c>
      <c r="L1000" s="15" t="s">
        <v>1187</v>
      </c>
      <c r="M1000" s="16">
        <v>199900</v>
      </c>
      <c r="N1000" s="9">
        <v>0.95</v>
      </c>
      <c r="O1000" s="8">
        <f t="shared" si="45"/>
        <v>9995</v>
      </c>
      <c r="P1000" s="6" t="s">
        <v>15</v>
      </c>
    </row>
    <row r="1001" spans="1:16" x14ac:dyDescent="0.25">
      <c r="A1001" s="6" t="s">
        <v>3920</v>
      </c>
      <c r="B1001" s="7">
        <f t="shared" si="46"/>
        <v>46114</v>
      </c>
      <c r="C1001" s="7">
        <f t="shared" si="47"/>
        <v>46120</v>
      </c>
      <c r="D1001" s="6">
        <v>3280</v>
      </c>
      <c r="E1001" s="6">
        <v>337</v>
      </c>
      <c r="F1001" s="6">
        <v>4</v>
      </c>
      <c r="G1001" s="15">
        <v>1</v>
      </c>
      <c r="H1001" s="15"/>
      <c r="I1001" s="15" t="s">
        <v>1505</v>
      </c>
      <c r="J1001" s="15">
        <v>25554447</v>
      </c>
      <c r="K1001" s="15" t="s">
        <v>1166</v>
      </c>
      <c r="L1001" s="15" t="s">
        <v>1188</v>
      </c>
      <c r="M1001" s="16">
        <v>209900</v>
      </c>
      <c r="N1001" s="9">
        <v>0.95</v>
      </c>
      <c r="O1001" s="8">
        <f t="shared" si="45"/>
        <v>10495</v>
      </c>
      <c r="P1001" s="6" t="s">
        <v>15</v>
      </c>
    </row>
    <row r="1002" spans="1:16" x14ac:dyDescent="0.25">
      <c r="A1002" s="6" t="s">
        <v>3920</v>
      </c>
      <c r="B1002" s="7">
        <f t="shared" si="46"/>
        <v>46114</v>
      </c>
      <c r="C1002" s="7">
        <f t="shared" si="47"/>
        <v>46120</v>
      </c>
      <c r="D1002" s="6">
        <v>3280</v>
      </c>
      <c r="E1002" s="6">
        <v>337</v>
      </c>
      <c r="F1002" s="6">
        <v>4</v>
      </c>
      <c r="G1002" s="15">
        <v>1</v>
      </c>
      <c r="H1002" s="15"/>
      <c r="I1002" s="15" t="s">
        <v>1505</v>
      </c>
      <c r="J1002" s="15">
        <v>24975495</v>
      </c>
      <c r="K1002" s="15" t="s">
        <v>1146</v>
      </c>
      <c r="L1002" s="15" t="s">
        <v>1189</v>
      </c>
      <c r="M1002" s="16">
        <v>199900</v>
      </c>
      <c r="N1002" s="9">
        <v>0.95</v>
      </c>
      <c r="O1002" s="8">
        <f t="shared" si="45"/>
        <v>9995</v>
      </c>
      <c r="P1002" s="6" t="s">
        <v>15</v>
      </c>
    </row>
    <row r="1003" spans="1:16" x14ac:dyDescent="0.25">
      <c r="A1003" s="6" t="s">
        <v>3920</v>
      </c>
      <c r="B1003" s="7">
        <f t="shared" si="46"/>
        <v>46114</v>
      </c>
      <c r="C1003" s="7">
        <f t="shared" si="47"/>
        <v>46120</v>
      </c>
      <c r="D1003" s="6">
        <v>3280</v>
      </c>
      <c r="E1003" s="6">
        <v>337</v>
      </c>
      <c r="F1003" s="6">
        <v>4</v>
      </c>
      <c r="G1003" s="15">
        <v>1</v>
      </c>
      <c r="H1003" s="15"/>
      <c r="I1003" s="15" t="s">
        <v>1505</v>
      </c>
      <c r="J1003" s="15">
        <v>25680855</v>
      </c>
      <c r="K1003" s="15" t="s">
        <v>1172</v>
      </c>
      <c r="L1003" s="15" t="s">
        <v>1190</v>
      </c>
      <c r="M1003" s="16">
        <v>219900</v>
      </c>
      <c r="N1003" s="9">
        <v>0.95</v>
      </c>
      <c r="O1003" s="8">
        <f t="shared" si="45"/>
        <v>10995</v>
      </c>
      <c r="P1003" s="6" t="s">
        <v>15</v>
      </c>
    </row>
    <row r="1004" spans="1:16" x14ac:dyDescent="0.25">
      <c r="A1004" s="6" t="s">
        <v>3920</v>
      </c>
      <c r="B1004" s="7">
        <f t="shared" si="46"/>
        <v>46114</v>
      </c>
      <c r="C1004" s="7">
        <f t="shared" si="47"/>
        <v>46120</v>
      </c>
      <c r="D1004" s="6">
        <v>3280</v>
      </c>
      <c r="E1004" s="6">
        <v>337</v>
      </c>
      <c r="F1004" s="6">
        <v>4</v>
      </c>
      <c r="G1004" s="15">
        <v>1</v>
      </c>
      <c r="H1004" s="15"/>
      <c r="I1004" s="15" t="s">
        <v>1505</v>
      </c>
      <c r="J1004" s="15">
        <v>24975520</v>
      </c>
      <c r="K1004" s="15" t="s">
        <v>1146</v>
      </c>
      <c r="L1004" s="15" t="s">
        <v>1191</v>
      </c>
      <c r="M1004" s="16">
        <v>209900</v>
      </c>
      <c r="N1004" s="9">
        <v>0.95</v>
      </c>
      <c r="O1004" s="8">
        <f t="shared" si="45"/>
        <v>10495</v>
      </c>
      <c r="P1004" s="6" t="s">
        <v>15</v>
      </c>
    </row>
    <row r="1005" spans="1:16" x14ac:dyDescent="0.25">
      <c r="A1005" s="6" t="s">
        <v>3920</v>
      </c>
      <c r="B1005" s="7">
        <f t="shared" si="46"/>
        <v>46114</v>
      </c>
      <c r="C1005" s="7">
        <f t="shared" si="47"/>
        <v>46120</v>
      </c>
      <c r="D1005" s="6">
        <v>3280</v>
      </c>
      <c r="E1005" s="6">
        <v>337</v>
      </c>
      <c r="F1005" s="6">
        <v>4</v>
      </c>
      <c r="G1005" s="15">
        <v>1</v>
      </c>
      <c r="H1005" s="15"/>
      <c r="I1005" s="15" t="s">
        <v>1505</v>
      </c>
      <c r="J1005" s="15">
        <v>25554125</v>
      </c>
      <c r="K1005" s="15" t="s">
        <v>1159</v>
      </c>
      <c r="L1005" s="15" t="s">
        <v>1192</v>
      </c>
      <c r="M1005" s="16">
        <v>209900</v>
      </c>
      <c r="N1005" s="9">
        <v>0.95</v>
      </c>
      <c r="O1005" s="8">
        <f t="shared" si="45"/>
        <v>10495</v>
      </c>
      <c r="P1005" s="6" t="s">
        <v>15</v>
      </c>
    </row>
    <row r="1006" spans="1:16" x14ac:dyDescent="0.25">
      <c r="A1006" s="6" t="s">
        <v>3920</v>
      </c>
      <c r="B1006" s="7">
        <f t="shared" si="46"/>
        <v>46114</v>
      </c>
      <c r="C1006" s="7">
        <f t="shared" si="47"/>
        <v>46120</v>
      </c>
      <c r="D1006" s="6">
        <v>3280</v>
      </c>
      <c r="E1006" s="6">
        <v>337</v>
      </c>
      <c r="F1006" s="6">
        <v>4</v>
      </c>
      <c r="G1006" s="15">
        <v>1</v>
      </c>
      <c r="H1006" s="15"/>
      <c r="I1006" s="15" t="s">
        <v>1505</v>
      </c>
      <c r="J1006" s="15">
        <v>25680837</v>
      </c>
      <c r="K1006" s="15" t="s">
        <v>1172</v>
      </c>
      <c r="L1006" s="15" t="s">
        <v>1193</v>
      </c>
      <c r="M1006" s="16">
        <v>209900</v>
      </c>
      <c r="N1006" s="9">
        <v>0.95</v>
      </c>
      <c r="O1006" s="8">
        <f t="shared" si="45"/>
        <v>10495</v>
      </c>
      <c r="P1006" s="6" t="s">
        <v>15</v>
      </c>
    </row>
    <row r="1007" spans="1:16" x14ac:dyDescent="0.25">
      <c r="A1007" s="6" t="s">
        <v>3920</v>
      </c>
      <c r="B1007" s="7">
        <f t="shared" si="46"/>
        <v>46114</v>
      </c>
      <c r="C1007" s="7">
        <f t="shared" si="47"/>
        <v>46120</v>
      </c>
      <c r="D1007" s="6">
        <v>3280</v>
      </c>
      <c r="E1007" s="6">
        <v>337</v>
      </c>
      <c r="F1007" s="6">
        <v>4</v>
      </c>
      <c r="G1007" s="15">
        <v>1</v>
      </c>
      <c r="H1007" s="15"/>
      <c r="I1007" s="15" t="s">
        <v>1505</v>
      </c>
      <c r="J1007" s="15">
        <v>25781200</v>
      </c>
      <c r="K1007" s="15" t="s">
        <v>1163</v>
      </c>
      <c r="L1007" s="15" t="s">
        <v>1194</v>
      </c>
      <c r="M1007" s="16">
        <v>209900</v>
      </c>
      <c r="N1007" s="9">
        <v>0.95</v>
      </c>
      <c r="O1007" s="8">
        <f t="shared" si="45"/>
        <v>10495</v>
      </c>
      <c r="P1007" s="6" t="s">
        <v>15</v>
      </c>
    </row>
    <row r="1008" spans="1:16" x14ac:dyDescent="0.25">
      <c r="A1008" s="6" t="s">
        <v>3920</v>
      </c>
      <c r="B1008" s="7">
        <f t="shared" si="46"/>
        <v>46114</v>
      </c>
      <c r="C1008" s="7">
        <f t="shared" si="47"/>
        <v>46120</v>
      </c>
      <c r="D1008" s="6">
        <v>3280</v>
      </c>
      <c r="E1008" s="6">
        <v>337</v>
      </c>
      <c r="F1008" s="6">
        <v>4</v>
      </c>
      <c r="G1008" s="15">
        <v>1</v>
      </c>
      <c r="H1008" s="15"/>
      <c r="I1008" s="15" t="s">
        <v>1505</v>
      </c>
      <c r="J1008" s="15">
        <v>25680873</v>
      </c>
      <c r="K1008" s="15" t="s">
        <v>1172</v>
      </c>
      <c r="L1008" s="15" t="s">
        <v>1195</v>
      </c>
      <c r="M1008" s="16">
        <v>219900</v>
      </c>
      <c r="N1008" s="9">
        <v>0.95</v>
      </c>
      <c r="O1008" s="8">
        <f t="shared" si="45"/>
        <v>10995</v>
      </c>
      <c r="P1008" s="6" t="s">
        <v>15</v>
      </c>
    </row>
    <row r="1009" spans="1:16" x14ac:dyDescent="0.25">
      <c r="A1009" s="6" t="s">
        <v>3920</v>
      </c>
      <c r="B1009" s="7">
        <f t="shared" si="46"/>
        <v>46114</v>
      </c>
      <c r="C1009" s="7">
        <f t="shared" si="47"/>
        <v>46120</v>
      </c>
      <c r="D1009" s="6">
        <v>3280</v>
      </c>
      <c r="E1009" s="6">
        <v>337</v>
      </c>
      <c r="F1009" s="6">
        <v>4</v>
      </c>
      <c r="G1009" s="15">
        <v>1</v>
      </c>
      <c r="H1009" s="15"/>
      <c r="I1009" s="15" t="s">
        <v>1505</v>
      </c>
      <c r="J1009" s="15">
        <v>25680864</v>
      </c>
      <c r="K1009" s="15" t="s">
        <v>1172</v>
      </c>
      <c r="L1009" s="15" t="s">
        <v>1196</v>
      </c>
      <c r="M1009" s="16">
        <v>219900</v>
      </c>
      <c r="N1009" s="9">
        <v>0.95</v>
      </c>
      <c r="O1009" s="8">
        <f t="shared" si="45"/>
        <v>10995</v>
      </c>
      <c r="P1009" s="6" t="s">
        <v>15</v>
      </c>
    </row>
    <row r="1010" spans="1:16" x14ac:dyDescent="0.25">
      <c r="A1010" s="6" t="s">
        <v>3920</v>
      </c>
      <c r="B1010" s="7">
        <f t="shared" si="46"/>
        <v>46114</v>
      </c>
      <c r="C1010" s="7">
        <f t="shared" si="47"/>
        <v>46120</v>
      </c>
      <c r="D1010" s="6">
        <v>3280</v>
      </c>
      <c r="E1010" s="6">
        <v>337</v>
      </c>
      <c r="F1010" s="6">
        <v>4</v>
      </c>
      <c r="G1010" s="15">
        <v>1</v>
      </c>
      <c r="H1010" s="15"/>
      <c r="I1010" s="15" t="s">
        <v>1505</v>
      </c>
      <c r="J1010" s="15">
        <v>24903099</v>
      </c>
      <c r="K1010" s="15" t="s">
        <v>1197</v>
      </c>
      <c r="L1010" s="15" t="s">
        <v>1198</v>
      </c>
      <c r="M1010" s="16">
        <v>259900</v>
      </c>
      <c r="N1010" s="9">
        <v>0.95</v>
      </c>
      <c r="O1010" s="8">
        <f t="shared" si="45"/>
        <v>12995</v>
      </c>
      <c r="P1010" s="6" t="s">
        <v>15</v>
      </c>
    </row>
    <row r="1011" spans="1:16" x14ac:dyDescent="0.25">
      <c r="A1011" s="6" t="s">
        <v>3920</v>
      </c>
      <c r="B1011" s="7">
        <f t="shared" si="46"/>
        <v>46114</v>
      </c>
      <c r="C1011" s="7">
        <f t="shared" si="47"/>
        <v>46120</v>
      </c>
      <c r="D1011" s="6">
        <v>3280</v>
      </c>
      <c r="E1011" s="6">
        <v>337</v>
      </c>
      <c r="F1011" s="6">
        <v>4</v>
      </c>
      <c r="G1011" s="15">
        <v>1</v>
      </c>
      <c r="H1011" s="15"/>
      <c r="I1011" s="15" t="s">
        <v>1505</v>
      </c>
      <c r="J1011" s="15">
        <v>24901877</v>
      </c>
      <c r="K1011" s="15" t="s">
        <v>1199</v>
      </c>
      <c r="L1011" s="15" t="s">
        <v>1200</v>
      </c>
      <c r="M1011" s="16">
        <v>279900</v>
      </c>
      <c r="N1011" s="9">
        <v>0.95</v>
      </c>
      <c r="O1011" s="8">
        <f t="shared" si="45"/>
        <v>13995</v>
      </c>
      <c r="P1011" s="6" t="s">
        <v>15</v>
      </c>
    </row>
    <row r="1012" spans="1:16" x14ac:dyDescent="0.25">
      <c r="A1012" s="6" t="s">
        <v>3920</v>
      </c>
      <c r="B1012" s="7">
        <f t="shared" si="46"/>
        <v>46114</v>
      </c>
      <c r="C1012" s="7">
        <f t="shared" si="47"/>
        <v>46120</v>
      </c>
      <c r="D1012" s="6">
        <v>3280</v>
      </c>
      <c r="E1012" s="6">
        <v>337</v>
      </c>
      <c r="F1012" s="6">
        <v>4</v>
      </c>
      <c r="G1012" s="15">
        <v>1</v>
      </c>
      <c r="H1012" s="15"/>
      <c r="I1012" s="15" t="s">
        <v>1505</v>
      </c>
      <c r="J1012" s="15">
        <v>24902330</v>
      </c>
      <c r="K1012" s="15" t="s">
        <v>1201</v>
      </c>
      <c r="L1012" s="15" t="s">
        <v>1202</v>
      </c>
      <c r="M1012" s="16">
        <v>259900</v>
      </c>
      <c r="N1012" s="9">
        <v>0.95</v>
      </c>
      <c r="O1012" s="8">
        <f t="shared" si="45"/>
        <v>12995</v>
      </c>
      <c r="P1012" s="6" t="s">
        <v>15</v>
      </c>
    </row>
    <row r="1013" spans="1:16" x14ac:dyDescent="0.25">
      <c r="A1013" s="6" t="s">
        <v>3920</v>
      </c>
      <c r="B1013" s="7">
        <f t="shared" si="46"/>
        <v>46114</v>
      </c>
      <c r="C1013" s="7">
        <f t="shared" si="47"/>
        <v>46120</v>
      </c>
      <c r="D1013" s="6">
        <v>3280</v>
      </c>
      <c r="E1013" s="6">
        <v>337</v>
      </c>
      <c r="F1013" s="6">
        <v>4</v>
      </c>
      <c r="G1013" s="15">
        <v>1</v>
      </c>
      <c r="H1013" s="15"/>
      <c r="I1013" s="15" t="s">
        <v>1505</v>
      </c>
      <c r="J1013" s="15">
        <v>24901939</v>
      </c>
      <c r="K1013" s="15" t="s">
        <v>1199</v>
      </c>
      <c r="L1013" s="15" t="s">
        <v>1203</v>
      </c>
      <c r="M1013" s="16">
        <v>279900</v>
      </c>
      <c r="N1013" s="9">
        <v>0.95</v>
      </c>
      <c r="O1013" s="8">
        <f t="shared" si="45"/>
        <v>13995</v>
      </c>
      <c r="P1013" s="6" t="s">
        <v>15</v>
      </c>
    </row>
    <row r="1014" spans="1:16" x14ac:dyDescent="0.25">
      <c r="A1014" s="6" t="s">
        <v>3920</v>
      </c>
      <c r="B1014" s="7">
        <f t="shared" si="46"/>
        <v>46114</v>
      </c>
      <c r="C1014" s="7">
        <f t="shared" si="47"/>
        <v>46120</v>
      </c>
      <c r="D1014" s="6">
        <v>3280</v>
      </c>
      <c r="E1014" s="6">
        <v>337</v>
      </c>
      <c r="F1014" s="6">
        <v>4</v>
      </c>
      <c r="G1014" s="15">
        <v>1</v>
      </c>
      <c r="H1014" s="15"/>
      <c r="I1014" s="15" t="s">
        <v>1505</v>
      </c>
      <c r="J1014" s="15">
        <v>24901911</v>
      </c>
      <c r="K1014" s="15" t="s">
        <v>1199</v>
      </c>
      <c r="L1014" s="15" t="s">
        <v>1204</v>
      </c>
      <c r="M1014" s="16">
        <v>279900</v>
      </c>
      <c r="N1014" s="9">
        <v>0.95</v>
      </c>
      <c r="O1014" s="8">
        <f t="shared" si="45"/>
        <v>13995</v>
      </c>
      <c r="P1014" s="6" t="s">
        <v>15</v>
      </c>
    </row>
    <row r="1015" spans="1:16" x14ac:dyDescent="0.25">
      <c r="A1015" s="6" t="s">
        <v>3920</v>
      </c>
      <c r="B1015" s="7">
        <f t="shared" si="46"/>
        <v>46114</v>
      </c>
      <c r="C1015" s="7">
        <f t="shared" si="47"/>
        <v>46120</v>
      </c>
      <c r="D1015" s="6">
        <v>3280</v>
      </c>
      <c r="E1015" s="6">
        <v>337</v>
      </c>
      <c r="F1015" s="6">
        <v>4</v>
      </c>
      <c r="G1015" s="15">
        <v>1</v>
      </c>
      <c r="H1015" s="15"/>
      <c r="I1015" s="15" t="s">
        <v>1505</v>
      </c>
      <c r="J1015" s="15">
        <v>24901948</v>
      </c>
      <c r="K1015" s="15" t="s">
        <v>1199</v>
      </c>
      <c r="L1015" s="15" t="s">
        <v>1205</v>
      </c>
      <c r="M1015" s="16">
        <v>279900</v>
      </c>
      <c r="N1015" s="9">
        <v>0.95</v>
      </c>
      <c r="O1015" s="8">
        <f t="shared" si="45"/>
        <v>13995</v>
      </c>
      <c r="P1015" s="6" t="s">
        <v>15</v>
      </c>
    </row>
    <row r="1016" spans="1:16" x14ac:dyDescent="0.25">
      <c r="A1016" s="6" t="s">
        <v>3920</v>
      </c>
      <c r="B1016" s="7">
        <f t="shared" si="46"/>
        <v>46114</v>
      </c>
      <c r="C1016" s="7">
        <f t="shared" si="47"/>
        <v>46120</v>
      </c>
      <c r="D1016" s="6">
        <v>3280</v>
      </c>
      <c r="E1016" s="6">
        <v>337</v>
      </c>
      <c r="F1016" s="6">
        <v>4</v>
      </c>
      <c r="G1016" s="15">
        <v>1</v>
      </c>
      <c r="H1016" s="15"/>
      <c r="I1016" s="15" t="s">
        <v>1505</v>
      </c>
      <c r="J1016" s="15">
        <v>24903124</v>
      </c>
      <c r="K1016" s="15" t="s">
        <v>1197</v>
      </c>
      <c r="L1016" s="15" t="s">
        <v>1206</v>
      </c>
      <c r="M1016" s="16">
        <v>259900</v>
      </c>
      <c r="N1016" s="9">
        <v>0.95</v>
      </c>
      <c r="O1016" s="8">
        <f t="shared" si="45"/>
        <v>12995</v>
      </c>
      <c r="P1016" s="6" t="s">
        <v>15</v>
      </c>
    </row>
    <row r="1017" spans="1:16" x14ac:dyDescent="0.25">
      <c r="A1017" s="6" t="s">
        <v>3920</v>
      </c>
      <c r="B1017" s="7">
        <f t="shared" si="46"/>
        <v>46114</v>
      </c>
      <c r="C1017" s="7">
        <f t="shared" si="47"/>
        <v>46120</v>
      </c>
      <c r="D1017" s="6">
        <v>3280</v>
      </c>
      <c r="E1017" s="6">
        <v>337</v>
      </c>
      <c r="F1017" s="6">
        <v>4</v>
      </c>
      <c r="G1017" s="15">
        <v>1</v>
      </c>
      <c r="H1017" s="15"/>
      <c r="I1017" s="15" t="s">
        <v>1505</v>
      </c>
      <c r="J1017" s="15">
        <v>24903106</v>
      </c>
      <c r="K1017" s="15" t="s">
        <v>1197</v>
      </c>
      <c r="L1017" s="15" t="s">
        <v>1207</v>
      </c>
      <c r="M1017" s="16">
        <v>259900</v>
      </c>
      <c r="N1017" s="9">
        <v>0.95</v>
      </c>
      <c r="O1017" s="8">
        <f t="shared" si="45"/>
        <v>12995</v>
      </c>
      <c r="P1017" s="6" t="s">
        <v>15</v>
      </c>
    </row>
    <row r="1018" spans="1:16" x14ac:dyDescent="0.25">
      <c r="A1018" s="6" t="s">
        <v>3920</v>
      </c>
      <c r="B1018" s="7">
        <f t="shared" si="46"/>
        <v>46114</v>
      </c>
      <c r="C1018" s="7">
        <f t="shared" si="47"/>
        <v>46120</v>
      </c>
      <c r="D1018" s="6">
        <v>3280</v>
      </c>
      <c r="E1018" s="6">
        <v>337</v>
      </c>
      <c r="F1018" s="6">
        <v>4</v>
      </c>
      <c r="G1018" s="15">
        <v>1</v>
      </c>
      <c r="H1018" s="15"/>
      <c r="I1018" s="15" t="s">
        <v>1505</v>
      </c>
      <c r="J1018" s="15">
        <v>24902349</v>
      </c>
      <c r="K1018" s="15" t="s">
        <v>1201</v>
      </c>
      <c r="L1018" s="15" t="s">
        <v>1208</v>
      </c>
      <c r="M1018" s="16">
        <v>259900</v>
      </c>
      <c r="N1018" s="9">
        <v>0.95</v>
      </c>
      <c r="O1018" s="8">
        <f t="shared" si="45"/>
        <v>12995</v>
      </c>
      <c r="P1018" s="6" t="s">
        <v>15</v>
      </c>
    </row>
    <row r="1019" spans="1:16" x14ac:dyDescent="0.25">
      <c r="A1019" s="6" t="s">
        <v>3920</v>
      </c>
      <c r="B1019" s="7">
        <f t="shared" si="46"/>
        <v>46114</v>
      </c>
      <c r="C1019" s="7">
        <f t="shared" si="47"/>
        <v>46120</v>
      </c>
      <c r="D1019" s="6">
        <v>3280</v>
      </c>
      <c r="E1019" s="6">
        <v>337</v>
      </c>
      <c r="F1019" s="6">
        <v>4</v>
      </c>
      <c r="G1019" s="15">
        <v>1</v>
      </c>
      <c r="H1019" s="15"/>
      <c r="I1019" s="15" t="s">
        <v>1505</v>
      </c>
      <c r="J1019" s="15">
        <v>24903133</v>
      </c>
      <c r="K1019" s="15" t="s">
        <v>1197</v>
      </c>
      <c r="L1019" s="15" t="s">
        <v>1209</v>
      </c>
      <c r="M1019" s="16">
        <v>259900</v>
      </c>
      <c r="N1019" s="9">
        <v>0.95</v>
      </c>
      <c r="O1019" s="8">
        <f t="shared" si="45"/>
        <v>12995</v>
      </c>
      <c r="P1019" s="6" t="s">
        <v>15</v>
      </c>
    </row>
    <row r="1020" spans="1:16" x14ac:dyDescent="0.25">
      <c r="A1020" s="6" t="s">
        <v>3920</v>
      </c>
      <c r="B1020" s="7">
        <f t="shared" si="46"/>
        <v>46114</v>
      </c>
      <c r="C1020" s="7">
        <f t="shared" si="47"/>
        <v>46120</v>
      </c>
      <c r="D1020" s="6">
        <v>3280</v>
      </c>
      <c r="E1020" s="6">
        <v>337</v>
      </c>
      <c r="F1020" s="6">
        <v>4</v>
      </c>
      <c r="G1020" s="15">
        <v>1</v>
      </c>
      <c r="H1020" s="15"/>
      <c r="I1020" s="15" t="s">
        <v>1505</v>
      </c>
      <c r="J1020" s="15">
        <v>24902885</v>
      </c>
      <c r="K1020" s="15" t="s">
        <v>1210</v>
      </c>
      <c r="L1020" s="15" t="s">
        <v>1211</v>
      </c>
      <c r="M1020" s="16">
        <v>259900</v>
      </c>
      <c r="N1020" s="9">
        <v>0.95</v>
      </c>
      <c r="O1020" s="8">
        <f t="shared" si="45"/>
        <v>12995</v>
      </c>
      <c r="P1020" s="6" t="s">
        <v>15</v>
      </c>
    </row>
    <row r="1021" spans="1:16" x14ac:dyDescent="0.25">
      <c r="A1021" s="6" t="s">
        <v>3920</v>
      </c>
      <c r="B1021" s="7">
        <f t="shared" si="46"/>
        <v>46114</v>
      </c>
      <c r="C1021" s="7">
        <f t="shared" si="47"/>
        <v>46120</v>
      </c>
      <c r="D1021" s="6">
        <v>3280</v>
      </c>
      <c r="E1021" s="6">
        <v>337</v>
      </c>
      <c r="F1021" s="6">
        <v>4</v>
      </c>
      <c r="G1021" s="15">
        <v>1</v>
      </c>
      <c r="H1021" s="15"/>
      <c r="I1021" s="15" t="s">
        <v>1505</v>
      </c>
      <c r="J1021" s="15">
        <v>24902867</v>
      </c>
      <c r="K1021" s="15" t="s">
        <v>1210</v>
      </c>
      <c r="L1021" s="15" t="s">
        <v>1212</v>
      </c>
      <c r="M1021" s="16">
        <v>259900</v>
      </c>
      <c r="N1021" s="9">
        <v>0.95</v>
      </c>
      <c r="O1021" s="8">
        <f t="shared" si="45"/>
        <v>12995</v>
      </c>
      <c r="P1021" s="6" t="s">
        <v>15</v>
      </c>
    </row>
    <row r="1022" spans="1:16" x14ac:dyDescent="0.25">
      <c r="A1022" s="6" t="s">
        <v>3920</v>
      </c>
      <c r="B1022" s="7">
        <f t="shared" si="46"/>
        <v>46114</v>
      </c>
      <c r="C1022" s="7">
        <f t="shared" si="47"/>
        <v>46120</v>
      </c>
      <c r="D1022" s="6">
        <v>3280</v>
      </c>
      <c r="E1022" s="6">
        <v>337</v>
      </c>
      <c r="F1022" s="6">
        <v>4</v>
      </c>
      <c r="G1022" s="15">
        <v>1</v>
      </c>
      <c r="H1022" s="15"/>
      <c r="I1022" s="15" t="s">
        <v>1505</v>
      </c>
      <c r="J1022" s="15">
        <v>24901840</v>
      </c>
      <c r="K1022" s="15" t="s">
        <v>1199</v>
      </c>
      <c r="L1022" s="15" t="s">
        <v>1213</v>
      </c>
      <c r="M1022" s="16">
        <v>279900</v>
      </c>
      <c r="N1022" s="9">
        <v>0.95</v>
      </c>
      <c r="O1022" s="8">
        <f t="shared" si="45"/>
        <v>13995</v>
      </c>
      <c r="P1022" s="6" t="s">
        <v>15</v>
      </c>
    </row>
    <row r="1023" spans="1:16" x14ac:dyDescent="0.25">
      <c r="A1023" s="6" t="s">
        <v>3920</v>
      </c>
      <c r="B1023" s="7">
        <f t="shared" si="46"/>
        <v>46114</v>
      </c>
      <c r="C1023" s="7">
        <f t="shared" si="47"/>
        <v>46120</v>
      </c>
      <c r="D1023" s="6">
        <v>3280</v>
      </c>
      <c r="E1023" s="6">
        <v>337</v>
      </c>
      <c r="F1023" s="6">
        <v>4</v>
      </c>
      <c r="G1023" s="15">
        <v>1</v>
      </c>
      <c r="H1023" s="15"/>
      <c r="I1023" s="15" t="s">
        <v>1505</v>
      </c>
      <c r="J1023" s="15">
        <v>24902901</v>
      </c>
      <c r="K1023" s="15" t="s">
        <v>1210</v>
      </c>
      <c r="L1023" s="15" t="s">
        <v>1214</v>
      </c>
      <c r="M1023" s="16">
        <v>259900</v>
      </c>
      <c r="N1023" s="9">
        <v>0.95</v>
      </c>
      <c r="O1023" s="8">
        <f t="shared" si="45"/>
        <v>12995</v>
      </c>
      <c r="P1023" s="6" t="s">
        <v>15</v>
      </c>
    </row>
    <row r="1024" spans="1:16" x14ac:dyDescent="0.25">
      <c r="A1024" s="6" t="s">
        <v>3920</v>
      </c>
      <c r="B1024" s="7">
        <f t="shared" si="46"/>
        <v>46114</v>
      </c>
      <c r="C1024" s="7">
        <f t="shared" si="47"/>
        <v>46120</v>
      </c>
      <c r="D1024" s="6">
        <v>3280</v>
      </c>
      <c r="E1024" s="6">
        <v>337</v>
      </c>
      <c r="F1024" s="6">
        <v>4</v>
      </c>
      <c r="G1024" s="15">
        <v>1</v>
      </c>
      <c r="H1024" s="15"/>
      <c r="I1024" s="15" t="s">
        <v>1505</v>
      </c>
      <c r="J1024" s="15">
        <v>24901895</v>
      </c>
      <c r="K1024" s="15" t="s">
        <v>1199</v>
      </c>
      <c r="L1024" s="15" t="s">
        <v>1215</v>
      </c>
      <c r="M1024" s="16">
        <v>279900</v>
      </c>
      <c r="N1024" s="9">
        <v>0.95</v>
      </c>
      <c r="O1024" s="8">
        <f t="shared" si="45"/>
        <v>13995</v>
      </c>
      <c r="P1024" s="6" t="s">
        <v>15</v>
      </c>
    </row>
    <row r="1025" spans="1:16" x14ac:dyDescent="0.25">
      <c r="A1025" s="6" t="s">
        <v>3920</v>
      </c>
      <c r="B1025" s="7">
        <f t="shared" si="46"/>
        <v>46114</v>
      </c>
      <c r="C1025" s="7">
        <f t="shared" si="47"/>
        <v>46120</v>
      </c>
      <c r="D1025" s="6">
        <v>3280</v>
      </c>
      <c r="E1025" s="6">
        <v>337</v>
      </c>
      <c r="F1025" s="6">
        <v>4</v>
      </c>
      <c r="G1025" s="15">
        <v>1</v>
      </c>
      <c r="H1025" s="15"/>
      <c r="I1025" s="15" t="s">
        <v>1505</v>
      </c>
      <c r="J1025" s="15">
        <v>24903115</v>
      </c>
      <c r="K1025" s="15" t="s">
        <v>1197</v>
      </c>
      <c r="L1025" s="15" t="s">
        <v>1216</v>
      </c>
      <c r="M1025" s="16">
        <v>259900</v>
      </c>
      <c r="N1025" s="9">
        <v>0.95</v>
      </c>
      <c r="O1025" s="8">
        <f t="shared" si="45"/>
        <v>12995</v>
      </c>
      <c r="P1025" s="6" t="s">
        <v>15</v>
      </c>
    </row>
    <row r="1026" spans="1:16" x14ac:dyDescent="0.25">
      <c r="A1026" s="6" t="s">
        <v>3920</v>
      </c>
      <c r="B1026" s="7">
        <f t="shared" si="46"/>
        <v>46114</v>
      </c>
      <c r="C1026" s="7">
        <f t="shared" si="47"/>
        <v>46120</v>
      </c>
      <c r="D1026" s="6">
        <v>3280</v>
      </c>
      <c r="E1026" s="6">
        <v>337</v>
      </c>
      <c r="F1026" s="6">
        <v>4</v>
      </c>
      <c r="G1026" s="15">
        <v>1</v>
      </c>
      <c r="H1026" s="15"/>
      <c r="I1026" s="15" t="s">
        <v>1505</v>
      </c>
      <c r="J1026" s="15">
        <v>24902894</v>
      </c>
      <c r="K1026" s="15" t="s">
        <v>1210</v>
      </c>
      <c r="L1026" s="15" t="s">
        <v>1217</v>
      </c>
      <c r="M1026" s="16">
        <v>259900</v>
      </c>
      <c r="N1026" s="9">
        <v>0.95</v>
      </c>
      <c r="O1026" s="8">
        <f t="shared" ref="O1026:O1089" si="48">M1026-((95*M1026)/100)</f>
        <v>12995</v>
      </c>
      <c r="P1026" s="6" t="s">
        <v>15</v>
      </c>
    </row>
    <row r="1027" spans="1:16" x14ac:dyDescent="0.25">
      <c r="A1027" s="6" t="s">
        <v>3920</v>
      </c>
      <c r="B1027" s="7">
        <f t="shared" si="46"/>
        <v>46114</v>
      </c>
      <c r="C1027" s="7">
        <f t="shared" si="47"/>
        <v>46120</v>
      </c>
      <c r="D1027" s="6">
        <v>3280</v>
      </c>
      <c r="E1027" s="6">
        <v>337</v>
      </c>
      <c r="F1027" s="6">
        <v>4</v>
      </c>
      <c r="G1027" s="15">
        <v>1</v>
      </c>
      <c r="H1027" s="15"/>
      <c r="I1027" s="15" t="s">
        <v>1505</v>
      </c>
      <c r="J1027" s="15">
        <v>24902910</v>
      </c>
      <c r="K1027" s="15" t="s">
        <v>1210</v>
      </c>
      <c r="L1027" s="15" t="s">
        <v>1218</v>
      </c>
      <c r="M1027" s="16">
        <v>259900</v>
      </c>
      <c r="N1027" s="9">
        <v>0.95</v>
      </c>
      <c r="O1027" s="8">
        <f t="shared" si="48"/>
        <v>12995</v>
      </c>
      <c r="P1027" s="6" t="s">
        <v>15</v>
      </c>
    </row>
    <row r="1028" spans="1:16" x14ac:dyDescent="0.25">
      <c r="A1028" s="6" t="s">
        <v>3920</v>
      </c>
      <c r="B1028" s="7">
        <f t="shared" ref="B1028:B1091" si="49">B1027</f>
        <v>46114</v>
      </c>
      <c r="C1028" s="7">
        <f t="shared" ref="C1028:C1091" si="50">C1027</f>
        <v>46120</v>
      </c>
      <c r="D1028" s="6">
        <v>3280</v>
      </c>
      <c r="E1028" s="6">
        <v>337</v>
      </c>
      <c r="F1028" s="6">
        <v>4</v>
      </c>
      <c r="G1028" s="15">
        <v>1</v>
      </c>
      <c r="H1028" s="15"/>
      <c r="I1028" s="15" t="s">
        <v>1505</v>
      </c>
      <c r="J1028" s="15">
        <v>24902876</v>
      </c>
      <c r="K1028" s="15" t="s">
        <v>1210</v>
      </c>
      <c r="L1028" s="15" t="s">
        <v>1219</v>
      </c>
      <c r="M1028" s="16">
        <v>259900</v>
      </c>
      <c r="N1028" s="9">
        <v>0.95</v>
      </c>
      <c r="O1028" s="8">
        <f t="shared" si="48"/>
        <v>12995</v>
      </c>
      <c r="P1028" s="6" t="s">
        <v>15</v>
      </c>
    </row>
    <row r="1029" spans="1:16" x14ac:dyDescent="0.25">
      <c r="A1029" s="6" t="s">
        <v>3920</v>
      </c>
      <c r="B1029" s="7">
        <f t="shared" si="49"/>
        <v>46114</v>
      </c>
      <c r="C1029" s="7">
        <f t="shared" si="50"/>
        <v>46120</v>
      </c>
      <c r="D1029" s="6">
        <v>3280</v>
      </c>
      <c r="E1029" s="6">
        <v>337</v>
      </c>
      <c r="F1029" s="6">
        <v>4</v>
      </c>
      <c r="G1029" s="15">
        <v>1</v>
      </c>
      <c r="H1029" s="15"/>
      <c r="I1029" s="15" t="s">
        <v>1505</v>
      </c>
      <c r="J1029" s="15">
        <v>24903142</v>
      </c>
      <c r="K1029" s="15" t="s">
        <v>1197</v>
      </c>
      <c r="L1029" s="15" t="s">
        <v>1220</v>
      </c>
      <c r="M1029" s="16">
        <v>259900</v>
      </c>
      <c r="N1029" s="9">
        <v>0.95</v>
      </c>
      <c r="O1029" s="8">
        <f t="shared" si="48"/>
        <v>12995</v>
      </c>
      <c r="P1029" s="6" t="s">
        <v>15</v>
      </c>
    </row>
    <row r="1030" spans="1:16" x14ac:dyDescent="0.25">
      <c r="A1030" s="6" t="s">
        <v>3920</v>
      </c>
      <c r="B1030" s="7">
        <f t="shared" si="49"/>
        <v>46114</v>
      </c>
      <c r="C1030" s="7">
        <f t="shared" si="50"/>
        <v>46120</v>
      </c>
      <c r="D1030" s="6">
        <v>3280</v>
      </c>
      <c r="E1030" s="6">
        <v>337</v>
      </c>
      <c r="F1030" s="6">
        <v>4</v>
      </c>
      <c r="G1030" s="15">
        <v>1</v>
      </c>
      <c r="H1030" s="15"/>
      <c r="I1030" s="15" t="s">
        <v>1505</v>
      </c>
      <c r="J1030" s="15">
        <v>24902367</v>
      </c>
      <c r="K1030" s="15" t="s">
        <v>1201</v>
      </c>
      <c r="L1030" s="15" t="s">
        <v>1221</v>
      </c>
      <c r="M1030" s="16">
        <v>259900</v>
      </c>
      <c r="N1030" s="9">
        <v>0.95</v>
      </c>
      <c r="O1030" s="8">
        <f t="shared" si="48"/>
        <v>12995</v>
      </c>
      <c r="P1030" s="6" t="s">
        <v>15</v>
      </c>
    </row>
    <row r="1031" spans="1:16" x14ac:dyDescent="0.25">
      <c r="A1031" s="6" t="s">
        <v>3920</v>
      </c>
      <c r="B1031" s="7">
        <f t="shared" si="49"/>
        <v>46114</v>
      </c>
      <c r="C1031" s="7">
        <f t="shared" si="50"/>
        <v>46120</v>
      </c>
      <c r="D1031" s="6">
        <v>3280</v>
      </c>
      <c r="E1031" s="6">
        <v>337</v>
      </c>
      <c r="F1031" s="6">
        <v>4</v>
      </c>
      <c r="G1031" s="15">
        <v>1</v>
      </c>
      <c r="H1031" s="15"/>
      <c r="I1031" s="15" t="s">
        <v>1505</v>
      </c>
      <c r="J1031" s="15">
        <v>24902358</v>
      </c>
      <c r="K1031" s="15" t="s">
        <v>1201</v>
      </c>
      <c r="L1031" s="15" t="s">
        <v>1222</v>
      </c>
      <c r="M1031" s="16">
        <v>259900</v>
      </c>
      <c r="N1031" s="9">
        <v>0.95</v>
      </c>
      <c r="O1031" s="8">
        <f t="shared" si="48"/>
        <v>12995</v>
      </c>
      <c r="P1031" s="6" t="s">
        <v>15</v>
      </c>
    </row>
    <row r="1032" spans="1:16" x14ac:dyDescent="0.25">
      <c r="A1032" s="6" t="s">
        <v>3920</v>
      </c>
      <c r="B1032" s="7">
        <f t="shared" si="49"/>
        <v>46114</v>
      </c>
      <c r="C1032" s="7">
        <f t="shared" si="50"/>
        <v>46120</v>
      </c>
      <c r="D1032" s="6">
        <v>3280</v>
      </c>
      <c r="E1032" s="6">
        <v>337</v>
      </c>
      <c r="F1032" s="6">
        <v>4</v>
      </c>
      <c r="G1032" s="15">
        <v>1</v>
      </c>
      <c r="H1032" s="15"/>
      <c r="I1032" s="15" t="s">
        <v>1505</v>
      </c>
      <c r="J1032" s="15">
        <v>24902321</v>
      </c>
      <c r="K1032" s="15" t="s">
        <v>1201</v>
      </c>
      <c r="L1032" s="15" t="s">
        <v>1223</v>
      </c>
      <c r="M1032" s="16">
        <v>259900</v>
      </c>
      <c r="N1032" s="9">
        <v>0.95</v>
      </c>
      <c r="O1032" s="8">
        <f t="shared" si="48"/>
        <v>12995</v>
      </c>
      <c r="P1032" s="6" t="s">
        <v>15</v>
      </c>
    </row>
    <row r="1033" spans="1:16" x14ac:dyDescent="0.25">
      <c r="A1033" s="6" t="s">
        <v>3920</v>
      </c>
      <c r="B1033" s="7">
        <f t="shared" si="49"/>
        <v>46114</v>
      </c>
      <c r="C1033" s="7">
        <f t="shared" si="50"/>
        <v>46120</v>
      </c>
      <c r="D1033" s="6">
        <v>3280</v>
      </c>
      <c r="E1033" s="6">
        <v>337</v>
      </c>
      <c r="F1033" s="6">
        <v>4</v>
      </c>
      <c r="G1033" s="15">
        <v>1</v>
      </c>
      <c r="H1033" s="15"/>
      <c r="I1033" s="15" t="s">
        <v>1505</v>
      </c>
      <c r="J1033" s="15">
        <v>24902376</v>
      </c>
      <c r="K1033" s="15" t="s">
        <v>1201</v>
      </c>
      <c r="L1033" s="15" t="s">
        <v>1224</v>
      </c>
      <c r="M1033" s="16">
        <v>259900</v>
      </c>
      <c r="N1033" s="9">
        <v>0.95</v>
      </c>
      <c r="O1033" s="8">
        <f t="shared" si="48"/>
        <v>12995</v>
      </c>
      <c r="P1033" s="6" t="s">
        <v>15</v>
      </c>
    </row>
    <row r="1034" spans="1:16" x14ac:dyDescent="0.25">
      <c r="A1034" s="6" t="s">
        <v>3920</v>
      </c>
      <c r="B1034" s="7">
        <f t="shared" si="49"/>
        <v>46114</v>
      </c>
      <c r="C1034" s="7">
        <f t="shared" si="50"/>
        <v>46120</v>
      </c>
      <c r="D1034" s="6">
        <v>3280</v>
      </c>
      <c r="E1034" s="6">
        <v>337</v>
      </c>
      <c r="F1034" s="6">
        <v>4</v>
      </c>
      <c r="G1034" s="15">
        <v>1</v>
      </c>
      <c r="H1034" s="15"/>
      <c r="I1034" s="15" t="s">
        <v>1505</v>
      </c>
      <c r="J1034" s="15">
        <v>24692951</v>
      </c>
      <c r="K1034" s="15" t="s">
        <v>1225</v>
      </c>
      <c r="L1034" s="15" t="s">
        <v>1226</v>
      </c>
      <c r="M1034" s="16">
        <v>249900</v>
      </c>
      <c r="N1034" s="9">
        <v>0.95</v>
      </c>
      <c r="O1034" s="8">
        <f t="shared" si="48"/>
        <v>12495</v>
      </c>
      <c r="P1034" s="6" t="s">
        <v>15</v>
      </c>
    </row>
    <row r="1035" spans="1:16" x14ac:dyDescent="0.25">
      <c r="A1035" s="6" t="s">
        <v>3920</v>
      </c>
      <c r="B1035" s="7">
        <f t="shared" si="49"/>
        <v>46114</v>
      </c>
      <c r="C1035" s="7">
        <f t="shared" si="50"/>
        <v>46120</v>
      </c>
      <c r="D1035" s="6">
        <v>3280</v>
      </c>
      <c r="E1035" s="6">
        <v>337</v>
      </c>
      <c r="F1035" s="6">
        <v>4</v>
      </c>
      <c r="G1035" s="15">
        <v>1</v>
      </c>
      <c r="H1035" s="15"/>
      <c r="I1035" s="15" t="s">
        <v>1505</v>
      </c>
      <c r="J1035" s="15">
        <v>24693147</v>
      </c>
      <c r="K1035" s="15" t="s">
        <v>1227</v>
      </c>
      <c r="L1035" s="15" t="s">
        <v>1228</v>
      </c>
      <c r="M1035" s="16">
        <v>209900</v>
      </c>
      <c r="N1035" s="9">
        <v>0.95</v>
      </c>
      <c r="O1035" s="8">
        <f t="shared" si="48"/>
        <v>10495</v>
      </c>
      <c r="P1035" s="6" t="s">
        <v>15</v>
      </c>
    </row>
    <row r="1036" spans="1:16" x14ac:dyDescent="0.25">
      <c r="A1036" s="6" t="s">
        <v>3920</v>
      </c>
      <c r="B1036" s="7">
        <f t="shared" si="49"/>
        <v>46114</v>
      </c>
      <c r="C1036" s="7">
        <f t="shared" si="50"/>
        <v>46120</v>
      </c>
      <c r="D1036" s="6">
        <v>3280</v>
      </c>
      <c r="E1036" s="6">
        <v>337</v>
      </c>
      <c r="F1036" s="6">
        <v>4</v>
      </c>
      <c r="G1036" s="15">
        <v>1</v>
      </c>
      <c r="H1036" s="15"/>
      <c r="I1036" s="15" t="s">
        <v>1505</v>
      </c>
      <c r="J1036" s="15">
        <v>24693156</v>
      </c>
      <c r="K1036" s="15" t="s">
        <v>1227</v>
      </c>
      <c r="L1036" s="15" t="s">
        <v>1229</v>
      </c>
      <c r="M1036" s="16">
        <v>209900</v>
      </c>
      <c r="N1036" s="9">
        <v>0.95</v>
      </c>
      <c r="O1036" s="8">
        <f t="shared" si="48"/>
        <v>10495</v>
      </c>
      <c r="P1036" s="6" t="s">
        <v>15</v>
      </c>
    </row>
    <row r="1037" spans="1:16" x14ac:dyDescent="0.25">
      <c r="A1037" s="6" t="s">
        <v>3920</v>
      </c>
      <c r="B1037" s="7">
        <f t="shared" si="49"/>
        <v>46114</v>
      </c>
      <c r="C1037" s="7">
        <f t="shared" si="50"/>
        <v>46120</v>
      </c>
      <c r="D1037" s="6">
        <v>3280</v>
      </c>
      <c r="E1037" s="6">
        <v>337</v>
      </c>
      <c r="F1037" s="6">
        <v>4</v>
      </c>
      <c r="G1037" s="15">
        <v>1</v>
      </c>
      <c r="H1037" s="15"/>
      <c r="I1037" s="15" t="s">
        <v>1505</v>
      </c>
      <c r="J1037" s="15">
        <v>24693165</v>
      </c>
      <c r="K1037" s="15" t="s">
        <v>1227</v>
      </c>
      <c r="L1037" s="15" t="s">
        <v>1230</v>
      </c>
      <c r="M1037" s="16">
        <v>209900</v>
      </c>
      <c r="N1037" s="9">
        <v>0.95</v>
      </c>
      <c r="O1037" s="8">
        <f t="shared" si="48"/>
        <v>10495</v>
      </c>
      <c r="P1037" s="6" t="s">
        <v>15</v>
      </c>
    </row>
    <row r="1038" spans="1:16" x14ac:dyDescent="0.25">
      <c r="A1038" s="6" t="s">
        <v>3920</v>
      </c>
      <c r="B1038" s="7">
        <f t="shared" si="49"/>
        <v>46114</v>
      </c>
      <c r="C1038" s="7">
        <f t="shared" si="50"/>
        <v>46120</v>
      </c>
      <c r="D1038" s="6">
        <v>3280</v>
      </c>
      <c r="E1038" s="6">
        <v>337</v>
      </c>
      <c r="F1038" s="6">
        <v>4</v>
      </c>
      <c r="G1038" s="15">
        <v>1</v>
      </c>
      <c r="H1038" s="15"/>
      <c r="I1038" s="15" t="s">
        <v>1505</v>
      </c>
      <c r="J1038" s="15">
        <v>24693174</v>
      </c>
      <c r="K1038" s="15" t="s">
        <v>1227</v>
      </c>
      <c r="L1038" s="15" t="s">
        <v>1231</v>
      </c>
      <c r="M1038" s="16">
        <v>219900</v>
      </c>
      <c r="N1038" s="9">
        <v>0.95</v>
      </c>
      <c r="O1038" s="8">
        <f t="shared" si="48"/>
        <v>10995</v>
      </c>
      <c r="P1038" s="6" t="s">
        <v>15</v>
      </c>
    </row>
    <row r="1039" spans="1:16" x14ac:dyDescent="0.25">
      <c r="A1039" s="6" t="s">
        <v>3920</v>
      </c>
      <c r="B1039" s="7">
        <f t="shared" si="49"/>
        <v>46114</v>
      </c>
      <c r="C1039" s="7">
        <f t="shared" si="50"/>
        <v>46120</v>
      </c>
      <c r="D1039" s="6">
        <v>3280</v>
      </c>
      <c r="E1039" s="6">
        <v>337</v>
      </c>
      <c r="F1039" s="6">
        <v>4</v>
      </c>
      <c r="G1039" s="15">
        <v>1</v>
      </c>
      <c r="H1039" s="15"/>
      <c r="I1039" s="15" t="s">
        <v>1505</v>
      </c>
      <c r="J1039" s="15">
        <v>24693183</v>
      </c>
      <c r="K1039" s="15" t="s">
        <v>1227</v>
      </c>
      <c r="L1039" s="15" t="s">
        <v>1232</v>
      </c>
      <c r="M1039" s="16">
        <v>219900</v>
      </c>
      <c r="N1039" s="9">
        <v>0.95</v>
      </c>
      <c r="O1039" s="8">
        <f t="shared" si="48"/>
        <v>10995</v>
      </c>
      <c r="P1039" s="6" t="s">
        <v>15</v>
      </c>
    </row>
    <row r="1040" spans="1:16" x14ac:dyDescent="0.25">
      <c r="A1040" s="6" t="s">
        <v>3920</v>
      </c>
      <c r="B1040" s="7">
        <f t="shared" si="49"/>
        <v>46114</v>
      </c>
      <c r="C1040" s="7">
        <f t="shared" si="50"/>
        <v>46120</v>
      </c>
      <c r="D1040" s="6">
        <v>3280</v>
      </c>
      <c r="E1040" s="6">
        <v>337</v>
      </c>
      <c r="F1040" s="6">
        <v>4</v>
      </c>
      <c r="G1040" s="15">
        <v>1</v>
      </c>
      <c r="H1040" s="15"/>
      <c r="I1040" s="15" t="s">
        <v>1505</v>
      </c>
      <c r="J1040" s="15">
        <v>24693398</v>
      </c>
      <c r="K1040" s="15" t="s">
        <v>1233</v>
      </c>
      <c r="L1040" s="15" t="s">
        <v>1234</v>
      </c>
      <c r="M1040" s="16">
        <v>229900</v>
      </c>
      <c r="N1040" s="9">
        <v>0.95</v>
      </c>
      <c r="O1040" s="8">
        <f t="shared" si="48"/>
        <v>11495</v>
      </c>
      <c r="P1040" s="6" t="s">
        <v>15</v>
      </c>
    </row>
    <row r="1041" spans="1:16" x14ac:dyDescent="0.25">
      <c r="A1041" s="6" t="s">
        <v>3920</v>
      </c>
      <c r="B1041" s="7">
        <f t="shared" si="49"/>
        <v>46114</v>
      </c>
      <c r="C1041" s="7">
        <f t="shared" si="50"/>
        <v>46120</v>
      </c>
      <c r="D1041" s="6">
        <v>3280</v>
      </c>
      <c r="E1041" s="6">
        <v>337</v>
      </c>
      <c r="F1041" s="6">
        <v>4</v>
      </c>
      <c r="G1041" s="15">
        <v>1</v>
      </c>
      <c r="H1041" s="15"/>
      <c r="I1041" s="15" t="s">
        <v>1505</v>
      </c>
      <c r="J1041" s="15">
        <v>24693405</v>
      </c>
      <c r="K1041" s="15" t="s">
        <v>1233</v>
      </c>
      <c r="L1041" s="15" t="s">
        <v>1235</v>
      </c>
      <c r="M1041" s="16">
        <v>229900</v>
      </c>
      <c r="N1041" s="9">
        <v>0.95</v>
      </c>
      <c r="O1041" s="8">
        <f t="shared" si="48"/>
        <v>11495</v>
      </c>
      <c r="P1041" s="6" t="s">
        <v>15</v>
      </c>
    </row>
    <row r="1042" spans="1:16" x14ac:dyDescent="0.25">
      <c r="A1042" s="6" t="s">
        <v>3920</v>
      </c>
      <c r="B1042" s="7">
        <f t="shared" si="49"/>
        <v>46114</v>
      </c>
      <c r="C1042" s="7">
        <f t="shared" si="50"/>
        <v>46120</v>
      </c>
      <c r="D1042" s="6">
        <v>3280</v>
      </c>
      <c r="E1042" s="6">
        <v>337</v>
      </c>
      <c r="F1042" s="6">
        <v>4</v>
      </c>
      <c r="G1042" s="15">
        <v>1</v>
      </c>
      <c r="H1042" s="15"/>
      <c r="I1042" s="15" t="s">
        <v>1505</v>
      </c>
      <c r="J1042" s="15">
        <v>24693414</v>
      </c>
      <c r="K1042" s="15" t="s">
        <v>1233</v>
      </c>
      <c r="L1042" s="15" t="s">
        <v>1236</v>
      </c>
      <c r="M1042" s="16">
        <v>229900</v>
      </c>
      <c r="N1042" s="9">
        <v>0.95</v>
      </c>
      <c r="O1042" s="8">
        <f t="shared" si="48"/>
        <v>11495</v>
      </c>
      <c r="P1042" s="6" t="s">
        <v>15</v>
      </c>
    </row>
    <row r="1043" spans="1:16" x14ac:dyDescent="0.25">
      <c r="A1043" s="6" t="s">
        <v>3920</v>
      </c>
      <c r="B1043" s="7">
        <f t="shared" si="49"/>
        <v>46114</v>
      </c>
      <c r="C1043" s="7">
        <f t="shared" si="50"/>
        <v>46120</v>
      </c>
      <c r="D1043" s="6">
        <v>3280</v>
      </c>
      <c r="E1043" s="6">
        <v>337</v>
      </c>
      <c r="F1043" s="6">
        <v>4</v>
      </c>
      <c r="G1043" s="15">
        <v>1</v>
      </c>
      <c r="H1043" s="15"/>
      <c r="I1043" s="15" t="s">
        <v>1505</v>
      </c>
      <c r="J1043" s="15">
        <v>24693423</v>
      </c>
      <c r="K1043" s="15" t="s">
        <v>1233</v>
      </c>
      <c r="L1043" s="15" t="s">
        <v>1237</v>
      </c>
      <c r="M1043" s="16">
        <v>239900</v>
      </c>
      <c r="N1043" s="9">
        <v>0.95</v>
      </c>
      <c r="O1043" s="8">
        <f t="shared" si="48"/>
        <v>11995</v>
      </c>
      <c r="P1043" s="6" t="s">
        <v>15</v>
      </c>
    </row>
    <row r="1044" spans="1:16" x14ac:dyDescent="0.25">
      <c r="A1044" s="6" t="s">
        <v>3920</v>
      </c>
      <c r="B1044" s="7">
        <f t="shared" si="49"/>
        <v>46114</v>
      </c>
      <c r="C1044" s="7">
        <f t="shared" si="50"/>
        <v>46120</v>
      </c>
      <c r="D1044" s="6">
        <v>3280</v>
      </c>
      <c r="E1044" s="6">
        <v>337</v>
      </c>
      <c r="F1044" s="6">
        <v>4</v>
      </c>
      <c r="G1044" s="15">
        <v>1</v>
      </c>
      <c r="H1044" s="15"/>
      <c r="I1044" s="15" t="s">
        <v>1505</v>
      </c>
      <c r="J1044" s="15">
        <v>24695494</v>
      </c>
      <c r="K1044" s="15" t="s">
        <v>1238</v>
      </c>
      <c r="L1044" s="15" t="s">
        <v>1239</v>
      </c>
      <c r="M1044" s="16">
        <v>249900</v>
      </c>
      <c r="N1044" s="9">
        <v>0.95</v>
      </c>
      <c r="O1044" s="8">
        <f t="shared" si="48"/>
        <v>12495</v>
      </c>
      <c r="P1044" s="6" t="s">
        <v>15</v>
      </c>
    </row>
    <row r="1045" spans="1:16" x14ac:dyDescent="0.25">
      <c r="A1045" s="6" t="s">
        <v>3920</v>
      </c>
      <c r="B1045" s="7">
        <f t="shared" si="49"/>
        <v>46114</v>
      </c>
      <c r="C1045" s="7">
        <f t="shared" si="50"/>
        <v>46120</v>
      </c>
      <c r="D1045" s="6">
        <v>3280</v>
      </c>
      <c r="E1045" s="6">
        <v>337</v>
      </c>
      <c r="F1045" s="6">
        <v>4</v>
      </c>
      <c r="G1045" s="15">
        <v>1</v>
      </c>
      <c r="H1045" s="15"/>
      <c r="I1045" s="15" t="s">
        <v>1505</v>
      </c>
      <c r="J1045" s="15">
        <v>24695458</v>
      </c>
      <c r="K1045" s="15" t="s">
        <v>1238</v>
      </c>
      <c r="L1045" s="15" t="s">
        <v>1240</v>
      </c>
      <c r="M1045" s="16">
        <v>239900</v>
      </c>
      <c r="N1045" s="9">
        <v>0.95</v>
      </c>
      <c r="O1045" s="8">
        <f t="shared" si="48"/>
        <v>11995</v>
      </c>
      <c r="P1045" s="6" t="s">
        <v>15</v>
      </c>
    </row>
    <row r="1046" spans="1:16" x14ac:dyDescent="0.25">
      <c r="A1046" s="6" t="s">
        <v>3920</v>
      </c>
      <c r="B1046" s="7">
        <f t="shared" si="49"/>
        <v>46114</v>
      </c>
      <c r="C1046" s="7">
        <f t="shared" si="50"/>
        <v>46120</v>
      </c>
      <c r="D1046" s="6">
        <v>3280</v>
      </c>
      <c r="E1046" s="6">
        <v>337</v>
      </c>
      <c r="F1046" s="6">
        <v>4</v>
      </c>
      <c r="G1046" s="15">
        <v>1</v>
      </c>
      <c r="H1046" s="15"/>
      <c r="I1046" s="15" t="s">
        <v>1505</v>
      </c>
      <c r="J1046" s="15">
        <v>24695467</v>
      </c>
      <c r="K1046" s="15" t="s">
        <v>1238</v>
      </c>
      <c r="L1046" s="15" t="s">
        <v>1241</v>
      </c>
      <c r="M1046" s="16">
        <v>239900</v>
      </c>
      <c r="N1046" s="9">
        <v>0.95</v>
      </c>
      <c r="O1046" s="8">
        <f t="shared" si="48"/>
        <v>11995</v>
      </c>
      <c r="P1046" s="6" t="s">
        <v>15</v>
      </c>
    </row>
    <row r="1047" spans="1:16" x14ac:dyDescent="0.25">
      <c r="A1047" s="6" t="s">
        <v>3920</v>
      </c>
      <c r="B1047" s="7">
        <f t="shared" si="49"/>
        <v>46114</v>
      </c>
      <c r="C1047" s="7">
        <f t="shared" si="50"/>
        <v>46120</v>
      </c>
      <c r="D1047" s="6">
        <v>3280</v>
      </c>
      <c r="E1047" s="6">
        <v>337</v>
      </c>
      <c r="F1047" s="6">
        <v>4</v>
      </c>
      <c r="G1047" s="15">
        <v>1</v>
      </c>
      <c r="H1047" s="15"/>
      <c r="I1047" s="15" t="s">
        <v>1505</v>
      </c>
      <c r="J1047" s="15">
        <v>24695476</v>
      </c>
      <c r="K1047" s="15" t="s">
        <v>1238</v>
      </c>
      <c r="L1047" s="15" t="s">
        <v>1242</v>
      </c>
      <c r="M1047" s="16">
        <v>249900</v>
      </c>
      <c r="N1047" s="9">
        <v>0.95</v>
      </c>
      <c r="O1047" s="8">
        <f t="shared" si="48"/>
        <v>12495</v>
      </c>
      <c r="P1047" s="6" t="s">
        <v>15</v>
      </c>
    </row>
    <row r="1048" spans="1:16" x14ac:dyDescent="0.25">
      <c r="A1048" s="6" t="s">
        <v>3920</v>
      </c>
      <c r="B1048" s="7">
        <f t="shared" si="49"/>
        <v>46114</v>
      </c>
      <c r="C1048" s="7">
        <f t="shared" si="50"/>
        <v>46120</v>
      </c>
      <c r="D1048" s="6">
        <v>3280</v>
      </c>
      <c r="E1048" s="6">
        <v>337</v>
      </c>
      <c r="F1048" s="6">
        <v>4</v>
      </c>
      <c r="G1048" s="15">
        <v>1</v>
      </c>
      <c r="H1048" s="15"/>
      <c r="I1048" s="15" t="s">
        <v>1505</v>
      </c>
      <c r="J1048" s="15">
        <v>24695449</v>
      </c>
      <c r="K1048" s="15" t="s">
        <v>1238</v>
      </c>
      <c r="L1048" s="15" t="s">
        <v>1243</v>
      </c>
      <c r="M1048" s="16">
        <v>239900</v>
      </c>
      <c r="N1048" s="9">
        <v>0.95</v>
      </c>
      <c r="O1048" s="8">
        <f t="shared" si="48"/>
        <v>11995</v>
      </c>
      <c r="P1048" s="6" t="s">
        <v>15</v>
      </c>
    </row>
    <row r="1049" spans="1:16" x14ac:dyDescent="0.25">
      <c r="A1049" s="6" t="s">
        <v>3920</v>
      </c>
      <c r="B1049" s="7">
        <f t="shared" si="49"/>
        <v>46114</v>
      </c>
      <c r="C1049" s="7">
        <f t="shared" si="50"/>
        <v>46120</v>
      </c>
      <c r="D1049" s="6">
        <v>3280</v>
      </c>
      <c r="E1049" s="6">
        <v>337</v>
      </c>
      <c r="F1049" s="6">
        <v>4</v>
      </c>
      <c r="G1049" s="15">
        <v>1</v>
      </c>
      <c r="H1049" s="15"/>
      <c r="I1049" s="15" t="s">
        <v>1505</v>
      </c>
      <c r="J1049" s="15">
        <v>24695485</v>
      </c>
      <c r="K1049" s="15" t="s">
        <v>1238</v>
      </c>
      <c r="L1049" s="15" t="s">
        <v>1244</v>
      </c>
      <c r="M1049" s="16">
        <v>249900</v>
      </c>
      <c r="N1049" s="9">
        <v>0.95</v>
      </c>
      <c r="O1049" s="8">
        <f t="shared" si="48"/>
        <v>12495</v>
      </c>
      <c r="P1049" s="6" t="s">
        <v>15</v>
      </c>
    </row>
    <row r="1050" spans="1:16" x14ac:dyDescent="0.25">
      <c r="A1050" s="6" t="s">
        <v>3920</v>
      </c>
      <c r="B1050" s="7">
        <f t="shared" si="49"/>
        <v>46114</v>
      </c>
      <c r="C1050" s="7">
        <f t="shared" si="50"/>
        <v>46120</v>
      </c>
      <c r="D1050" s="6">
        <v>3280</v>
      </c>
      <c r="E1050" s="6">
        <v>337</v>
      </c>
      <c r="F1050" s="6">
        <v>4</v>
      </c>
      <c r="G1050" s="15">
        <v>1</v>
      </c>
      <c r="H1050" s="15"/>
      <c r="I1050" s="15" t="s">
        <v>1505</v>
      </c>
      <c r="J1050" s="15">
        <v>24720036</v>
      </c>
      <c r="K1050" s="15" t="s">
        <v>1245</v>
      </c>
      <c r="L1050" s="15" t="s">
        <v>1246</v>
      </c>
      <c r="M1050" s="16">
        <v>199900</v>
      </c>
      <c r="N1050" s="9">
        <v>0.95</v>
      </c>
      <c r="O1050" s="8">
        <f t="shared" si="48"/>
        <v>9995</v>
      </c>
      <c r="P1050" s="6" t="s">
        <v>15</v>
      </c>
    </row>
    <row r="1051" spans="1:16" x14ac:dyDescent="0.25">
      <c r="A1051" s="6" t="s">
        <v>3920</v>
      </c>
      <c r="B1051" s="7">
        <f t="shared" si="49"/>
        <v>46114</v>
      </c>
      <c r="C1051" s="7">
        <f t="shared" si="50"/>
        <v>46120</v>
      </c>
      <c r="D1051" s="6">
        <v>3280</v>
      </c>
      <c r="E1051" s="6">
        <v>337</v>
      </c>
      <c r="F1051" s="6">
        <v>4</v>
      </c>
      <c r="G1051" s="15">
        <v>1</v>
      </c>
      <c r="H1051" s="15"/>
      <c r="I1051" s="15" t="s">
        <v>1505</v>
      </c>
      <c r="J1051" s="15">
        <v>24718629</v>
      </c>
      <c r="K1051" s="15" t="s">
        <v>1247</v>
      </c>
      <c r="L1051" s="15" t="s">
        <v>1248</v>
      </c>
      <c r="M1051" s="16">
        <v>229900</v>
      </c>
      <c r="N1051" s="9">
        <v>0.95</v>
      </c>
      <c r="O1051" s="8">
        <f t="shared" si="48"/>
        <v>11495</v>
      </c>
      <c r="P1051" s="6" t="s">
        <v>15</v>
      </c>
    </row>
    <row r="1052" spans="1:16" x14ac:dyDescent="0.25">
      <c r="A1052" s="6" t="s">
        <v>3920</v>
      </c>
      <c r="B1052" s="7">
        <f t="shared" si="49"/>
        <v>46114</v>
      </c>
      <c r="C1052" s="7">
        <f t="shared" si="50"/>
        <v>46120</v>
      </c>
      <c r="D1052" s="6">
        <v>3280</v>
      </c>
      <c r="E1052" s="6">
        <v>337</v>
      </c>
      <c r="F1052" s="6">
        <v>4</v>
      </c>
      <c r="G1052" s="15">
        <v>1</v>
      </c>
      <c r="H1052" s="15"/>
      <c r="I1052" s="15" t="s">
        <v>1505</v>
      </c>
      <c r="J1052" s="15">
        <v>24719173</v>
      </c>
      <c r="K1052" s="15" t="s">
        <v>1249</v>
      </c>
      <c r="L1052" s="15" t="s">
        <v>1250</v>
      </c>
      <c r="M1052" s="16">
        <v>229900</v>
      </c>
      <c r="N1052" s="9">
        <v>0.95</v>
      </c>
      <c r="O1052" s="8">
        <f t="shared" si="48"/>
        <v>11495</v>
      </c>
      <c r="P1052" s="6" t="s">
        <v>15</v>
      </c>
    </row>
    <row r="1053" spans="1:16" x14ac:dyDescent="0.25">
      <c r="A1053" s="6" t="s">
        <v>3920</v>
      </c>
      <c r="B1053" s="7">
        <f t="shared" si="49"/>
        <v>46114</v>
      </c>
      <c r="C1053" s="7">
        <f t="shared" si="50"/>
        <v>46120</v>
      </c>
      <c r="D1053" s="6">
        <v>3280</v>
      </c>
      <c r="E1053" s="6">
        <v>337</v>
      </c>
      <c r="F1053" s="6">
        <v>4</v>
      </c>
      <c r="G1053" s="15">
        <v>1</v>
      </c>
      <c r="H1053" s="15"/>
      <c r="I1053" s="15" t="s">
        <v>1505</v>
      </c>
      <c r="J1053" s="15">
        <v>24720027</v>
      </c>
      <c r="K1053" s="15" t="s">
        <v>1245</v>
      </c>
      <c r="L1053" s="15" t="s">
        <v>1251</v>
      </c>
      <c r="M1053" s="16">
        <v>199900</v>
      </c>
      <c r="N1053" s="9">
        <v>0.95</v>
      </c>
      <c r="O1053" s="8">
        <f t="shared" si="48"/>
        <v>9995</v>
      </c>
      <c r="P1053" s="6" t="s">
        <v>15</v>
      </c>
    </row>
    <row r="1054" spans="1:16" x14ac:dyDescent="0.25">
      <c r="A1054" s="6" t="s">
        <v>3920</v>
      </c>
      <c r="B1054" s="7">
        <f t="shared" si="49"/>
        <v>46114</v>
      </c>
      <c r="C1054" s="7">
        <f t="shared" si="50"/>
        <v>46120</v>
      </c>
      <c r="D1054" s="6">
        <v>3280</v>
      </c>
      <c r="E1054" s="6">
        <v>337</v>
      </c>
      <c r="F1054" s="6">
        <v>4</v>
      </c>
      <c r="G1054" s="15">
        <v>1</v>
      </c>
      <c r="H1054" s="15"/>
      <c r="I1054" s="15" t="s">
        <v>1505</v>
      </c>
      <c r="J1054" s="15">
        <v>24718638</v>
      </c>
      <c r="K1054" s="15" t="s">
        <v>1247</v>
      </c>
      <c r="L1054" s="15" t="s">
        <v>1252</v>
      </c>
      <c r="M1054" s="16">
        <v>229900</v>
      </c>
      <c r="N1054" s="9">
        <v>0.95</v>
      </c>
      <c r="O1054" s="8">
        <f t="shared" si="48"/>
        <v>11495</v>
      </c>
      <c r="P1054" s="6" t="s">
        <v>15</v>
      </c>
    </row>
    <row r="1055" spans="1:16" x14ac:dyDescent="0.25">
      <c r="A1055" s="6" t="s">
        <v>3920</v>
      </c>
      <c r="B1055" s="7">
        <f t="shared" si="49"/>
        <v>46114</v>
      </c>
      <c r="C1055" s="7">
        <f t="shared" si="50"/>
        <v>46120</v>
      </c>
      <c r="D1055" s="6">
        <v>3280</v>
      </c>
      <c r="E1055" s="6">
        <v>337</v>
      </c>
      <c r="F1055" s="6">
        <v>4</v>
      </c>
      <c r="G1055" s="15">
        <v>1</v>
      </c>
      <c r="H1055" s="15"/>
      <c r="I1055" s="15" t="s">
        <v>1505</v>
      </c>
      <c r="J1055" s="15">
        <v>24720018</v>
      </c>
      <c r="K1055" s="15" t="s">
        <v>1245</v>
      </c>
      <c r="L1055" s="15" t="s">
        <v>1253</v>
      </c>
      <c r="M1055" s="16">
        <v>199900</v>
      </c>
      <c r="N1055" s="9">
        <v>0.95</v>
      </c>
      <c r="O1055" s="8">
        <f t="shared" si="48"/>
        <v>9995</v>
      </c>
      <c r="P1055" s="6" t="s">
        <v>15</v>
      </c>
    </row>
    <row r="1056" spans="1:16" x14ac:dyDescent="0.25">
      <c r="A1056" s="6" t="s">
        <v>3920</v>
      </c>
      <c r="B1056" s="7">
        <f t="shared" si="49"/>
        <v>46114</v>
      </c>
      <c r="C1056" s="7">
        <f t="shared" si="50"/>
        <v>46120</v>
      </c>
      <c r="D1056" s="6">
        <v>3280</v>
      </c>
      <c r="E1056" s="6">
        <v>337</v>
      </c>
      <c r="F1056" s="6">
        <v>4</v>
      </c>
      <c r="G1056" s="15">
        <v>1</v>
      </c>
      <c r="H1056" s="15"/>
      <c r="I1056" s="15" t="s">
        <v>1505</v>
      </c>
      <c r="J1056" s="15">
        <v>24718601</v>
      </c>
      <c r="K1056" s="15" t="s">
        <v>1247</v>
      </c>
      <c r="L1056" s="15" t="s">
        <v>1254</v>
      </c>
      <c r="M1056" s="16">
        <v>219900</v>
      </c>
      <c r="N1056" s="9">
        <v>0.95</v>
      </c>
      <c r="O1056" s="8">
        <f t="shared" si="48"/>
        <v>10995</v>
      </c>
      <c r="P1056" s="6" t="s">
        <v>15</v>
      </c>
    </row>
    <row r="1057" spans="1:16" x14ac:dyDescent="0.25">
      <c r="A1057" s="6" t="s">
        <v>3920</v>
      </c>
      <c r="B1057" s="7">
        <f t="shared" si="49"/>
        <v>46114</v>
      </c>
      <c r="C1057" s="7">
        <f t="shared" si="50"/>
        <v>46120</v>
      </c>
      <c r="D1057" s="6">
        <v>3280</v>
      </c>
      <c r="E1057" s="6">
        <v>337</v>
      </c>
      <c r="F1057" s="6">
        <v>4</v>
      </c>
      <c r="G1057" s="15">
        <v>1</v>
      </c>
      <c r="H1057" s="15"/>
      <c r="I1057" s="15" t="s">
        <v>1505</v>
      </c>
      <c r="J1057" s="15">
        <v>24718594</v>
      </c>
      <c r="K1057" s="15" t="s">
        <v>1247</v>
      </c>
      <c r="L1057" s="15" t="s">
        <v>1255</v>
      </c>
      <c r="M1057" s="16">
        <v>219900</v>
      </c>
      <c r="N1057" s="9">
        <v>0.95</v>
      </c>
      <c r="O1057" s="8">
        <f t="shared" si="48"/>
        <v>10995</v>
      </c>
      <c r="P1057" s="6" t="s">
        <v>15</v>
      </c>
    </row>
    <row r="1058" spans="1:16" x14ac:dyDescent="0.25">
      <c r="A1058" s="6" t="s">
        <v>3920</v>
      </c>
      <c r="B1058" s="7">
        <f t="shared" si="49"/>
        <v>46114</v>
      </c>
      <c r="C1058" s="7">
        <f t="shared" si="50"/>
        <v>46120</v>
      </c>
      <c r="D1058" s="6">
        <v>3280</v>
      </c>
      <c r="E1058" s="6">
        <v>337</v>
      </c>
      <c r="F1058" s="6">
        <v>4</v>
      </c>
      <c r="G1058" s="15">
        <v>1</v>
      </c>
      <c r="H1058" s="15"/>
      <c r="I1058" s="15" t="s">
        <v>1505</v>
      </c>
      <c r="J1058" s="15">
        <v>24718647</v>
      </c>
      <c r="K1058" s="15" t="s">
        <v>1247</v>
      </c>
      <c r="L1058" s="15" t="s">
        <v>1256</v>
      </c>
      <c r="M1058" s="16">
        <v>229900</v>
      </c>
      <c r="N1058" s="9">
        <v>0.95</v>
      </c>
      <c r="O1058" s="8">
        <f t="shared" si="48"/>
        <v>11495</v>
      </c>
      <c r="P1058" s="6" t="s">
        <v>15</v>
      </c>
    </row>
    <row r="1059" spans="1:16" x14ac:dyDescent="0.25">
      <c r="A1059" s="6" t="s">
        <v>3920</v>
      </c>
      <c r="B1059" s="7">
        <f t="shared" si="49"/>
        <v>46114</v>
      </c>
      <c r="C1059" s="7">
        <f t="shared" si="50"/>
        <v>46120</v>
      </c>
      <c r="D1059" s="6">
        <v>3280</v>
      </c>
      <c r="E1059" s="6">
        <v>337</v>
      </c>
      <c r="F1059" s="6">
        <v>4</v>
      </c>
      <c r="G1059" s="15">
        <v>1</v>
      </c>
      <c r="H1059" s="15"/>
      <c r="I1059" s="15" t="s">
        <v>1505</v>
      </c>
      <c r="J1059" s="15">
        <v>24718610</v>
      </c>
      <c r="K1059" s="15" t="s">
        <v>1247</v>
      </c>
      <c r="L1059" s="15" t="s">
        <v>1257</v>
      </c>
      <c r="M1059" s="16">
        <v>219900</v>
      </c>
      <c r="N1059" s="9">
        <v>0.95</v>
      </c>
      <c r="O1059" s="8">
        <f t="shared" si="48"/>
        <v>10995</v>
      </c>
      <c r="P1059" s="6" t="s">
        <v>15</v>
      </c>
    </row>
    <row r="1060" spans="1:16" x14ac:dyDescent="0.25">
      <c r="A1060" s="6" t="s">
        <v>3920</v>
      </c>
      <c r="B1060" s="7">
        <f t="shared" si="49"/>
        <v>46114</v>
      </c>
      <c r="C1060" s="7">
        <f t="shared" si="50"/>
        <v>46120</v>
      </c>
      <c r="D1060" s="6">
        <v>3280</v>
      </c>
      <c r="E1060" s="6">
        <v>337</v>
      </c>
      <c r="F1060" s="6">
        <v>4</v>
      </c>
      <c r="G1060" s="15">
        <v>1</v>
      </c>
      <c r="H1060" s="15"/>
      <c r="I1060" s="15" t="s">
        <v>1505</v>
      </c>
      <c r="J1060" s="15">
        <v>24720045</v>
      </c>
      <c r="K1060" s="15" t="s">
        <v>1245</v>
      </c>
      <c r="L1060" s="15" t="s">
        <v>1258</v>
      </c>
      <c r="M1060" s="16">
        <v>209900</v>
      </c>
      <c r="N1060" s="9">
        <v>0.95</v>
      </c>
      <c r="O1060" s="8">
        <f t="shared" si="48"/>
        <v>10495</v>
      </c>
      <c r="P1060" s="6" t="s">
        <v>15</v>
      </c>
    </row>
    <row r="1061" spans="1:16" x14ac:dyDescent="0.25">
      <c r="A1061" s="6" t="s">
        <v>3920</v>
      </c>
      <c r="B1061" s="7">
        <f t="shared" si="49"/>
        <v>46114</v>
      </c>
      <c r="C1061" s="7">
        <f t="shared" si="50"/>
        <v>46120</v>
      </c>
      <c r="D1061" s="6">
        <v>3280</v>
      </c>
      <c r="E1061" s="6">
        <v>337</v>
      </c>
      <c r="F1061" s="6">
        <v>4</v>
      </c>
      <c r="G1061" s="15">
        <v>1</v>
      </c>
      <c r="H1061" s="15"/>
      <c r="I1061" s="15" t="s">
        <v>1505</v>
      </c>
      <c r="J1061" s="15">
        <v>24960278</v>
      </c>
      <c r="K1061" s="15" t="s">
        <v>1259</v>
      </c>
      <c r="L1061" s="15" t="s">
        <v>1260</v>
      </c>
      <c r="M1061" s="16">
        <v>209900</v>
      </c>
      <c r="N1061" s="9">
        <v>0.95</v>
      </c>
      <c r="O1061" s="8">
        <f t="shared" si="48"/>
        <v>10495</v>
      </c>
      <c r="P1061" s="6" t="s">
        <v>15</v>
      </c>
    </row>
    <row r="1062" spans="1:16" x14ac:dyDescent="0.25">
      <c r="A1062" s="6" t="s">
        <v>3920</v>
      </c>
      <c r="B1062" s="7">
        <f t="shared" si="49"/>
        <v>46114</v>
      </c>
      <c r="C1062" s="7">
        <f t="shared" si="50"/>
        <v>46120</v>
      </c>
      <c r="D1062" s="6">
        <v>3280</v>
      </c>
      <c r="E1062" s="6">
        <v>337</v>
      </c>
      <c r="F1062" s="6">
        <v>4</v>
      </c>
      <c r="G1062" s="15">
        <v>1</v>
      </c>
      <c r="H1062" s="15"/>
      <c r="I1062" s="15" t="s">
        <v>1505</v>
      </c>
      <c r="J1062" s="15">
        <v>24960223</v>
      </c>
      <c r="K1062" s="15" t="s">
        <v>1259</v>
      </c>
      <c r="L1062" s="15" t="s">
        <v>1261</v>
      </c>
      <c r="M1062" s="16">
        <v>199900</v>
      </c>
      <c r="N1062" s="9">
        <v>0.95</v>
      </c>
      <c r="O1062" s="8">
        <f t="shared" si="48"/>
        <v>9995</v>
      </c>
      <c r="P1062" s="6" t="s">
        <v>15</v>
      </c>
    </row>
    <row r="1063" spans="1:16" x14ac:dyDescent="0.25">
      <c r="A1063" s="6" t="s">
        <v>3920</v>
      </c>
      <c r="B1063" s="7">
        <f t="shared" si="49"/>
        <v>46114</v>
      </c>
      <c r="C1063" s="7">
        <f t="shared" si="50"/>
        <v>46120</v>
      </c>
      <c r="D1063" s="6">
        <v>3280</v>
      </c>
      <c r="E1063" s="6">
        <v>337</v>
      </c>
      <c r="F1063" s="6">
        <v>4</v>
      </c>
      <c r="G1063" s="15">
        <v>1</v>
      </c>
      <c r="H1063" s="15"/>
      <c r="I1063" s="15" t="s">
        <v>1505</v>
      </c>
      <c r="J1063" s="15">
        <v>24901037</v>
      </c>
      <c r="K1063" s="15" t="s">
        <v>1262</v>
      </c>
      <c r="L1063" s="15" t="s">
        <v>1263</v>
      </c>
      <c r="M1063" s="16">
        <v>209900</v>
      </c>
      <c r="N1063" s="9">
        <v>0.95</v>
      </c>
      <c r="O1063" s="8">
        <f t="shared" si="48"/>
        <v>10495</v>
      </c>
      <c r="P1063" s="6" t="s">
        <v>15</v>
      </c>
    </row>
    <row r="1064" spans="1:16" x14ac:dyDescent="0.25">
      <c r="A1064" s="6" t="s">
        <v>3920</v>
      </c>
      <c r="B1064" s="7">
        <f t="shared" si="49"/>
        <v>46114</v>
      </c>
      <c r="C1064" s="7">
        <f t="shared" si="50"/>
        <v>46120</v>
      </c>
      <c r="D1064" s="6">
        <v>3280</v>
      </c>
      <c r="E1064" s="6">
        <v>337</v>
      </c>
      <c r="F1064" s="6">
        <v>4</v>
      </c>
      <c r="G1064" s="15">
        <v>1</v>
      </c>
      <c r="H1064" s="15"/>
      <c r="I1064" s="15" t="s">
        <v>1505</v>
      </c>
      <c r="J1064" s="15">
        <v>24901019</v>
      </c>
      <c r="K1064" s="15" t="s">
        <v>1262</v>
      </c>
      <c r="L1064" s="15" t="s">
        <v>1264</v>
      </c>
      <c r="M1064" s="16">
        <v>199900</v>
      </c>
      <c r="N1064" s="9">
        <v>0.95</v>
      </c>
      <c r="O1064" s="8">
        <f t="shared" si="48"/>
        <v>9995</v>
      </c>
      <c r="P1064" s="6" t="s">
        <v>15</v>
      </c>
    </row>
    <row r="1065" spans="1:16" x14ac:dyDescent="0.25">
      <c r="A1065" s="6" t="s">
        <v>3920</v>
      </c>
      <c r="B1065" s="7">
        <f t="shared" si="49"/>
        <v>46114</v>
      </c>
      <c r="C1065" s="7">
        <f t="shared" si="50"/>
        <v>46120</v>
      </c>
      <c r="D1065" s="6">
        <v>3280</v>
      </c>
      <c r="E1065" s="6">
        <v>337</v>
      </c>
      <c r="F1065" s="6">
        <v>4</v>
      </c>
      <c r="G1065" s="15">
        <v>1</v>
      </c>
      <c r="H1065" s="15"/>
      <c r="I1065" s="15" t="s">
        <v>1505</v>
      </c>
      <c r="J1065" s="15">
        <v>24960232</v>
      </c>
      <c r="K1065" s="15" t="s">
        <v>1259</v>
      </c>
      <c r="L1065" s="15" t="s">
        <v>1265</v>
      </c>
      <c r="M1065" s="16">
        <v>199900</v>
      </c>
      <c r="N1065" s="9">
        <v>0.95</v>
      </c>
      <c r="O1065" s="8">
        <f t="shared" si="48"/>
        <v>9995</v>
      </c>
      <c r="P1065" s="6" t="s">
        <v>15</v>
      </c>
    </row>
    <row r="1066" spans="1:16" x14ac:dyDescent="0.25">
      <c r="A1066" s="6" t="s">
        <v>3920</v>
      </c>
      <c r="B1066" s="7">
        <f t="shared" si="49"/>
        <v>46114</v>
      </c>
      <c r="C1066" s="7">
        <f t="shared" si="50"/>
        <v>46120</v>
      </c>
      <c r="D1066" s="6">
        <v>3280</v>
      </c>
      <c r="E1066" s="6">
        <v>337</v>
      </c>
      <c r="F1066" s="6">
        <v>4</v>
      </c>
      <c r="G1066" s="15">
        <v>1</v>
      </c>
      <c r="H1066" s="15"/>
      <c r="I1066" s="15" t="s">
        <v>1505</v>
      </c>
      <c r="J1066" s="15">
        <v>24960241</v>
      </c>
      <c r="K1066" s="15" t="s">
        <v>1259</v>
      </c>
      <c r="L1066" s="15" t="s">
        <v>1266</v>
      </c>
      <c r="M1066" s="16">
        <v>199900</v>
      </c>
      <c r="N1066" s="9">
        <v>0.95</v>
      </c>
      <c r="O1066" s="8">
        <f t="shared" si="48"/>
        <v>9995</v>
      </c>
      <c r="P1066" s="6" t="s">
        <v>15</v>
      </c>
    </row>
    <row r="1067" spans="1:16" x14ac:dyDescent="0.25">
      <c r="A1067" s="6" t="s">
        <v>3920</v>
      </c>
      <c r="B1067" s="7">
        <f t="shared" si="49"/>
        <v>46114</v>
      </c>
      <c r="C1067" s="7">
        <f t="shared" si="50"/>
        <v>46120</v>
      </c>
      <c r="D1067" s="6">
        <v>3280</v>
      </c>
      <c r="E1067" s="6">
        <v>337</v>
      </c>
      <c r="F1067" s="6">
        <v>4</v>
      </c>
      <c r="G1067" s="15">
        <v>1</v>
      </c>
      <c r="H1067" s="15"/>
      <c r="I1067" s="15" t="s">
        <v>1505</v>
      </c>
      <c r="J1067" s="15">
        <v>24960250</v>
      </c>
      <c r="K1067" s="15" t="s">
        <v>1259</v>
      </c>
      <c r="L1067" s="15" t="s">
        <v>1267</v>
      </c>
      <c r="M1067" s="16">
        <v>209900</v>
      </c>
      <c r="N1067" s="9">
        <v>0.95</v>
      </c>
      <c r="O1067" s="8">
        <f t="shared" si="48"/>
        <v>10495</v>
      </c>
      <c r="P1067" s="6" t="s">
        <v>15</v>
      </c>
    </row>
    <row r="1068" spans="1:16" x14ac:dyDescent="0.25">
      <c r="A1068" s="6" t="s">
        <v>3920</v>
      </c>
      <c r="B1068" s="7">
        <f t="shared" si="49"/>
        <v>46114</v>
      </c>
      <c r="C1068" s="7">
        <f t="shared" si="50"/>
        <v>46120</v>
      </c>
      <c r="D1068" s="6">
        <v>3280</v>
      </c>
      <c r="E1068" s="6">
        <v>337</v>
      </c>
      <c r="F1068" s="6">
        <v>4</v>
      </c>
      <c r="G1068" s="15">
        <v>1</v>
      </c>
      <c r="H1068" s="15"/>
      <c r="I1068" s="15" t="s">
        <v>1505</v>
      </c>
      <c r="J1068" s="15">
        <v>24901028</v>
      </c>
      <c r="K1068" s="15" t="s">
        <v>1262</v>
      </c>
      <c r="L1068" s="15" t="s">
        <v>1268</v>
      </c>
      <c r="M1068" s="16">
        <v>199900</v>
      </c>
      <c r="N1068" s="9">
        <v>0.95</v>
      </c>
      <c r="O1068" s="8">
        <f t="shared" si="48"/>
        <v>9995</v>
      </c>
      <c r="P1068" s="6" t="s">
        <v>15</v>
      </c>
    </row>
    <row r="1069" spans="1:16" x14ac:dyDescent="0.25">
      <c r="A1069" s="6" t="s">
        <v>3920</v>
      </c>
      <c r="B1069" s="7">
        <f t="shared" si="49"/>
        <v>46114</v>
      </c>
      <c r="C1069" s="7">
        <f t="shared" si="50"/>
        <v>46120</v>
      </c>
      <c r="D1069" s="6">
        <v>3280</v>
      </c>
      <c r="E1069" s="6">
        <v>337</v>
      </c>
      <c r="F1069" s="6">
        <v>4</v>
      </c>
      <c r="G1069" s="15">
        <v>1</v>
      </c>
      <c r="H1069" s="15"/>
      <c r="I1069" s="15" t="s">
        <v>1505</v>
      </c>
      <c r="J1069" s="15">
        <v>24711395</v>
      </c>
      <c r="K1069" s="15" t="s">
        <v>1269</v>
      </c>
      <c r="L1069" s="15" t="s">
        <v>1270</v>
      </c>
      <c r="M1069" s="16">
        <v>229900</v>
      </c>
      <c r="N1069" s="9">
        <v>0.95</v>
      </c>
      <c r="O1069" s="8">
        <f t="shared" si="48"/>
        <v>11495</v>
      </c>
      <c r="P1069" s="6" t="s">
        <v>15</v>
      </c>
    </row>
    <row r="1070" spans="1:16" x14ac:dyDescent="0.25">
      <c r="A1070" s="6" t="s">
        <v>3920</v>
      </c>
      <c r="B1070" s="7">
        <f t="shared" si="49"/>
        <v>46114</v>
      </c>
      <c r="C1070" s="7">
        <f t="shared" si="50"/>
        <v>46120</v>
      </c>
      <c r="D1070" s="6">
        <v>3280</v>
      </c>
      <c r="E1070" s="6">
        <v>337</v>
      </c>
      <c r="F1070" s="6">
        <v>4</v>
      </c>
      <c r="G1070" s="15">
        <v>1</v>
      </c>
      <c r="H1070" s="15"/>
      <c r="I1070" s="15" t="s">
        <v>1505</v>
      </c>
      <c r="J1070" s="15">
        <v>24711377</v>
      </c>
      <c r="K1070" s="15" t="s">
        <v>1269</v>
      </c>
      <c r="L1070" s="15" t="s">
        <v>1271</v>
      </c>
      <c r="M1070" s="16">
        <v>219900</v>
      </c>
      <c r="N1070" s="9">
        <v>0.95</v>
      </c>
      <c r="O1070" s="8">
        <f t="shared" si="48"/>
        <v>10995</v>
      </c>
      <c r="P1070" s="6" t="s">
        <v>15</v>
      </c>
    </row>
    <row r="1071" spans="1:16" x14ac:dyDescent="0.25">
      <c r="A1071" s="6" t="s">
        <v>3920</v>
      </c>
      <c r="B1071" s="7">
        <f t="shared" si="49"/>
        <v>46114</v>
      </c>
      <c r="C1071" s="7">
        <f t="shared" si="50"/>
        <v>46120</v>
      </c>
      <c r="D1071" s="6">
        <v>3280</v>
      </c>
      <c r="E1071" s="6">
        <v>337</v>
      </c>
      <c r="F1071" s="6">
        <v>4</v>
      </c>
      <c r="G1071" s="15">
        <v>1</v>
      </c>
      <c r="H1071" s="15"/>
      <c r="I1071" s="15" t="s">
        <v>1505</v>
      </c>
      <c r="J1071" s="15">
        <v>24693432</v>
      </c>
      <c r="K1071" s="15" t="s">
        <v>1233</v>
      </c>
      <c r="L1071" s="15" t="s">
        <v>1272</v>
      </c>
      <c r="M1071" s="16">
        <v>239900</v>
      </c>
      <c r="N1071" s="9">
        <v>0.95</v>
      </c>
      <c r="O1071" s="8">
        <f t="shared" si="48"/>
        <v>11995</v>
      </c>
      <c r="P1071" s="6" t="s">
        <v>15</v>
      </c>
    </row>
    <row r="1072" spans="1:16" x14ac:dyDescent="0.25">
      <c r="A1072" s="6" t="s">
        <v>3920</v>
      </c>
      <c r="B1072" s="7">
        <f t="shared" si="49"/>
        <v>46114</v>
      </c>
      <c r="C1072" s="7">
        <f t="shared" si="50"/>
        <v>46120</v>
      </c>
      <c r="D1072" s="6">
        <v>3280</v>
      </c>
      <c r="E1072" s="6">
        <v>337</v>
      </c>
      <c r="F1072" s="6">
        <v>4</v>
      </c>
      <c r="G1072" s="15">
        <v>1</v>
      </c>
      <c r="H1072" s="15"/>
      <c r="I1072" s="15" t="s">
        <v>1505</v>
      </c>
      <c r="J1072" s="15">
        <v>24711368</v>
      </c>
      <c r="K1072" s="15" t="s">
        <v>1269</v>
      </c>
      <c r="L1072" s="15" t="s">
        <v>1273</v>
      </c>
      <c r="M1072" s="16">
        <v>219900</v>
      </c>
      <c r="N1072" s="9">
        <v>0.95</v>
      </c>
      <c r="O1072" s="8">
        <f t="shared" si="48"/>
        <v>10995</v>
      </c>
      <c r="P1072" s="6" t="s">
        <v>15</v>
      </c>
    </row>
    <row r="1073" spans="1:16" x14ac:dyDescent="0.25">
      <c r="A1073" s="6" t="s">
        <v>3920</v>
      </c>
      <c r="B1073" s="7">
        <f t="shared" si="49"/>
        <v>46114</v>
      </c>
      <c r="C1073" s="7">
        <f t="shared" si="50"/>
        <v>46120</v>
      </c>
      <c r="D1073" s="6">
        <v>3280</v>
      </c>
      <c r="E1073" s="6">
        <v>337</v>
      </c>
      <c r="F1073" s="6">
        <v>4</v>
      </c>
      <c r="G1073" s="15">
        <v>1</v>
      </c>
      <c r="H1073" s="15"/>
      <c r="I1073" s="15" t="s">
        <v>1505</v>
      </c>
      <c r="J1073" s="15">
        <v>24719155</v>
      </c>
      <c r="K1073" s="15" t="s">
        <v>1249</v>
      </c>
      <c r="L1073" s="15" t="s">
        <v>1274</v>
      </c>
      <c r="M1073" s="16">
        <v>229900</v>
      </c>
      <c r="N1073" s="9">
        <v>0.95</v>
      </c>
      <c r="O1073" s="8">
        <f t="shared" si="48"/>
        <v>11495</v>
      </c>
      <c r="P1073" s="6" t="s">
        <v>15</v>
      </c>
    </row>
    <row r="1074" spans="1:16" x14ac:dyDescent="0.25">
      <c r="A1074" s="6" t="s">
        <v>3920</v>
      </c>
      <c r="B1074" s="7">
        <f t="shared" si="49"/>
        <v>46114</v>
      </c>
      <c r="C1074" s="7">
        <f t="shared" si="50"/>
        <v>46120</v>
      </c>
      <c r="D1074" s="6">
        <v>3280</v>
      </c>
      <c r="E1074" s="6">
        <v>337</v>
      </c>
      <c r="F1074" s="6">
        <v>4</v>
      </c>
      <c r="G1074" s="15">
        <v>1</v>
      </c>
      <c r="H1074" s="15"/>
      <c r="I1074" s="15" t="s">
        <v>1505</v>
      </c>
      <c r="J1074" s="15">
        <v>24719128</v>
      </c>
      <c r="K1074" s="15" t="s">
        <v>1249</v>
      </c>
      <c r="L1074" s="15" t="s">
        <v>1275</v>
      </c>
      <c r="M1074" s="16">
        <v>219900</v>
      </c>
      <c r="N1074" s="9">
        <v>0.95</v>
      </c>
      <c r="O1074" s="8">
        <f t="shared" si="48"/>
        <v>10995</v>
      </c>
      <c r="P1074" s="6" t="s">
        <v>15</v>
      </c>
    </row>
    <row r="1075" spans="1:16" x14ac:dyDescent="0.25">
      <c r="A1075" s="6" t="s">
        <v>3920</v>
      </c>
      <c r="B1075" s="7">
        <f t="shared" si="49"/>
        <v>46114</v>
      </c>
      <c r="C1075" s="7">
        <f t="shared" si="50"/>
        <v>46120</v>
      </c>
      <c r="D1075" s="6">
        <v>3280</v>
      </c>
      <c r="E1075" s="6">
        <v>337</v>
      </c>
      <c r="F1075" s="6">
        <v>4</v>
      </c>
      <c r="G1075" s="15">
        <v>1</v>
      </c>
      <c r="H1075" s="15"/>
      <c r="I1075" s="15" t="s">
        <v>1505</v>
      </c>
      <c r="J1075" s="15">
        <v>24692942</v>
      </c>
      <c r="K1075" s="15" t="s">
        <v>1225</v>
      </c>
      <c r="L1075" s="15" t="s">
        <v>1276</v>
      </c>
      <c r="M1075" s="16">
        <v>249900</v>
      </c>
      <c r="N1075" s="9">
        <v>0.95</v>
      </c>
      <c r="O1075" s="8">
        <f t="shared" si="48"/>
        <v>12495</v>
      </c>
      <c r="P1075" s="6" t="s">
        <v>15</v>
      </c>
    </row>
    <row r="1076" spans="1:16" x14ac:dyDescent="0.25">
      <c r="A1076" s="6" t="s">
        <v>3920</v>
      </c>
      <c r="B1076" s="7">
        <f t="shared" si="49"/>
        <v>46114</v>
      </c>
      <c r="C1076" s="7">
        <f t="shared" si="50"/>
        <v>46120</v>
      </c>
      <c r="D1076" s="6">
        <v>3280</v>
      </c>
      <c r="E1076" s="6">
        <v>337</v>
      </c>
      <c r="F1076" s="6">
        <v>4</v>
      </c>
      <c r="G1076" s="15">
        <v>1</v>
      </c>
      <c r="H1076" s="15"/>
      <c r="I1076" s="15" t="s">
        <v>1505</v>
      </c>
      <c r="J1076" s="15">
        <v>24711411</v>
      </c>
      <c r="K1076" s="15" t="s">
        <v>1269</v>
      </c>
      <c r="L1076" s="15" t="s">
        <v>1277</v>
      </c>
      <c r="M1076" s="16">
        <v>229900</v>
      </c>
      <c r="N1076" s="9">
        <v>0.95</v>
      </c>
      <c r="O1076" s="8">
        <f t="shared" si="48"/>
        <v>11495</v>
      </c>
      <c r="P1076" s="6" t="s">
        <v>15</v>
      </c>
    </row>
    <row r="1077" spans="1:16" x14ac:dyDescent="0.25">
      <c r="A1077" s="6" t="s">
        <v>3920</v>
      </c>
      <c r="B1077" s="7">
        <f t="shared" si="49"/>
        <v>46114</v>
      </c>
      <c r="C1077" s="7">
        <f t="shared" si="50"/>
        <v>46120</v>
      </c>
      <c r="D1077" s="6">
        <v>3280</v>
      </c>
      <c r="E1077" s="6">
        <v>337</v>
      </c>
      <c r="F1077" s="6">
        <v>4</v>
      </c>
      <c r="G1077" s="15">
        <v>1</v>
      </c>
      <c r="H1077" s="15"/>
      <c r="I1077" s="15" t="s">
        <v>1505</v>
      </c>
      <c r="J1077" s="15">
        <v>24962034</v>
      </c>
      <c r="K1077" s="15" t="s">
        <v>1278</v>
      </c>
      <c r="L1077" s="15" t="s">
        <v>1279</v>
      </c>
      <c r="M1077" s="16">
        <v>219900</v>
      </c>
      <c r="N1077" s="9">
        <v>0.95</v>
      </c>
      <c r="O1077" s="8">
        <f t="shared" si="48"/>
        <v>10995</v>
      </c>
      <c r="P1077" s="6" t="s">
        <v>15</v>
      </c>
    </row>
    <row r="1078" spans="1:16" x14ac:dyDescent="0.25">
      <c r="A1078" s="6" t="s">
        <v>3920</v>
      </c>
      <c r="B1078" s="7">
        <f t="shared" si="49"/>
        <v>46114</v>
      </c>
      <c r="C1078" s="7">
        <f t="shared" si="50"/>
        <v>46120</v>
      </c>
      <c r="D1078" s="6">
        <v>3280</v>
      </c>
      <c r="E1078" s="6">
        <v>337</v>
      </c>
      <c r="F1078" s="6">
        <v>4</v>
      </c>
      <c r="G1078" s="15">
        <v>1</v>
      </c>
      <c r="H1078" s="15"/>
      <c r="I1078" s="15" t="s">
        <v>1505</v>
      </c>
      <c r="J1078" s="15">
        <v>24719137</v>
      </c>
      <c r="K1078" s="15" t="s">
        <v>1249</v>
      </c>
      <c r="L1078" s="15" t="s">
        <v>1280</v>
      </c>
      <c r="M1078" s="16">
        <v>219900</v>
      </c>
      <c r="N1078" s="9">
        <v>0.95</v>
      </c>
      <c r="O1078" s="8">
        <f t="shared" si="48"/>
        <v>10995</v>
      </c>
      <c r="P1078" s="6" t="s">
        <v>15</v>
      </c>
    </row>
    <row r="1079" spans="1:16" x14ac:dyDescent="0.25">
      <c r="A1079" s="6" t="s">
        <v>3920</v>
      </c>
      <c r="B1079" s="7">
        <f t="shared" si="49"/>
        <v>46114</v>
      </c>
      <c r="C1079" s="7">
        <f t="shared" si="50"/>
        <v>46120</v>
      </c>
      <c r="D1079" s="6">
        <v>3280</v>
      </c>
      <c r="E1079" s="6">
        <v>337</v>
      </c>
      <c r="F1079" s="6">
        <v>4</v>
      </c>
      <c r="G1079" s="15">
        <v>1</v>
      </c>
      <c r="H1079" s="15"/>
      <c r="I1079" s="15" t="s">
        <v>1505</v>
      </c>
      <c r="J1079" s="15">
        <v>24719164</v>
      </c>
      <c r="K1079" s="15" t="s">
        <v>1249</v>
      </c>
      <c r="L1079" s="15" t="s">
        <v>1281</v>
      </c>
      <c r="M1079" s="16">
        <v>229900</v>
      </c>
      <c r="N1079" s="9">
        <v>0.95</v>
      </c>
      <c r="O1079" s="8">
        <f t="shared" si="48"/>
        <v>11495</v>
      </c>
      <c r="P1079" s="6" t="s">
        <v>15</v>
      </c>
    </row>
    <row r="1080" spans="1:16" x14ac:dyDescent="0.25">
      <c r="A1080" s="6" t="s">
        <v>3920</v>
      </c>
      <c r="B1080" s="7">
        <f t="shared" si="49"/>
        <v>46114</v>
      </c>
      <c r="C1080" s="7">
        <f t="shared" si="50"/>
        <v>46120</v>
      </c>
      <c r="D1080" s="6">
        <v>3280</v>
      </c>
      <c r="E1080" s="6">
        <v>337</v>
      </c>
      <c r="F1080" s="6">
        <v>4</v>
      </c>
      <c r="G1080" s="15">
        <v>1</v>
      </c>
      <c r="H1080" s="15"/>
      <c r="I1080" s="15" t="s">
        <v>1505</v>
      </c>
      <c r="J1080" s="15">
        <v>24692906</v>
      </c>
      <c r="K1080" s="15" t="s">
        <v>1225</v>
      </c>
      <c r="L1080" s="15" t="s">
        <v>1282</v>
      </c>
      <c r="M1080" s="16">
        <v>239900</v>
      </c>
      <c r="N1080" s="9">
        <v>0.95</v>
      </c>
      <c r="O1080" s="8">
        <f t="shared" si="48"/>
        <v>11995</v>
      </c>
      <c r="P1080" s="6" t="s">
        <v>15</v>
      </c>
    </row>
    <row r="1081" spans="1:16" x14ac:dyDescent="0.25">
      <c r="A1081" s="6" t="s">
        <v>3920</v>
      </c>
      <c r="B1081" s="7">
        <f t="shared" si="49"/>
        <v>46114</v>
      </c>
      <c r="C1081" s="7">
        <f t="shared" si="50"/>
        <v>46120</v>
      </c>
      <c r="D1081" s="6">
        <v>3280</v>
      </c>
      <c r="E1081" s="6">
        <v>337</v>
      </c>
      <c r="F1081" s="6">
        <v>4</v>
      </c>
      <c r="G1081" s="15">
        <v>1</v>
      </c>
      <c r="H1081" s="15"/>
      <c r="I1081" s="15" t="s">
        <v>1505</v>
      </c>
      <c r="J1081" s="15">
        <v>24960269</v>
      </c>
      <c r="K1081" s="15" t="s">
        <v>1259</v>
      </c>
      <c r="L1081" s="15" t="s">
        <v>1283</v>
      </c>
      <c r="M1081" s="16">
        <v>209900</v>
      </c>
      <c r="N1081" s="9">
        <v>0.95</v>
      </c>
      <c r="O1081" s="8">
        <f t="shared" si="48"/>
        <v>10495</v>
      </c>
      <c r="P1081" s="6" t="s">
        <v>15</v>
      </c>
    </row>
    <row r="1082" spans="1:16" x14ac:dyDescent="0.25">
      <c r="A1082" s="6" t="s">
        <v>3920</v>
      </c>
      <c r="B1082" s="7">
        <f t="shared" si="49"/>
        <v>46114</v>
      </c>
      <c r="C1082" s="7">
        <f t="shared" si="50"/>
        <v>46120</v>
      </c>
      <c r="D1082" s="6">
        <v>3280</v>
      </c>
      <c r="E1082" s="6">
        <v>337</v>
      </c>
      <c r="F1082" s="6">
        <v>4</v>
      </c>
      <c r="G1082" s="15">
        <v>1</v>
      </c>
      <c r="H1082" s="15"/>
      <c r="I1082" s="15" t="s">
        <v>1505</v>
      </c>
      <c r="J1082" s="15">
        <v>24720054</v>
      </c>
      <c r="K1082" s="15" t="s">
        <v>1245</v>
      </c>
      <c r="L1082" s="15" t="s">
        <v>1284</v>
      </c>
      <c r="M1082" s="16">
        <v>209900</v>
      </c>
      <c r="N1082" s="9">
        <v>0.95</v>
      </c>
      <c r="O1082" s="8">
        <f t="shared" si="48"/>
        <v>10495</v>
      </c>
      <c r="P1082" s="6" t="s">
        <v>15</v>
      </c>
    </row>
    <row r="1083" spans="1:16" x14ac:dyDescent="0.25">
      <c r="A1083" s="6" t="s">
        <v>3920</v>
      </c>
      <c r="B1083" s="7">
        <f t="shared" si="49"/>
        <v>46114</v>
      </c>
      <c r="C1083" s="7">
        <f t="shared" si="50"/>
        <v>46120</v>
      </c>
      <c r="D1083" s="6">
        <v>3280</v>
      </c>
      <c r="E1083" s="6">
        <v>337</v>
      </c>
      <c r="F1083" s="6">
        <v>4</v>
      </c>
      <c r="G1083" s="15">
        <v>1</v>
      </c>
      <c r="H1083" s="15"/>
      <c r="I1083" s="15" t="s">
        <v>1505</v>
      </c>
      <c r="J1083" s="15">
        <v>24901046</v>
      </c>
      <c r="K1083" s="15" t="s">
        <v>1262</v>
      </c>
      <c r="L1083" s="15" t="s">
        <v>1285</v>
      </c>
      <c r="M1083" s="16">
        <v>209900</v>
      </c>
      <c r="N1083" s="9">
        <v>0.95</v>
      </c>
      <c r="O1083" s="8">
        <f t="shared" si="48"/>
        <v>10495</v>
      </c>
      <c r="P1083" s="6" t="s">
        <v>15</v>
      </c>
    </row>
    <row r="1084" spans="1:16" x14ac:dyDescent="0.25">
      <c r="A1084" s="6" t="s">
        <v>3920</v>
      </c>
      <c r="B1084" s="7">
        <f t="shared" si="49"/>
        <v>46114</v>
      </c>
      <c r="C1084" s="7">
        <f t="shared" si="50"/>
        <v>46120</v>
      </c>
      <c r="D1084" s="6">
        <v>3280</v>
      </c>
      <c r="E1084" s="6">
        <v>337</v>
      </c>
      <c r="F1084" s="6">
        <v>4</v>
      </c>
      <c r="G1084" s="15">
        <v>1</v>
      </c>
      <c r="H1084" s="15"/>
      <c r="I1084" s="15" t="s">
        <v>1505</v>
      </c>
      <c r="J1084" s="15">
        <v>24901055</v>
      </c>
      <c r="K1084" s="15" t="s">
        <v>1262</v>
      </c>
      <c r="L1084" s="15" t="s">
        <v>1286</v>
      </c>
      <c r="M1084" s="16">
        <v>209900</v>
      </c>
      <c r="N1084" s="9">
        <v>0.95</v>
      </c>
      <c r="O1084" s="8">
        <f t="shared" si="48"/>
        <v>10495</v>
      </c>
      <c r="P1084" s="6" t="s">
        <v>15</v>
      </c>
    </row>
    <row r="1085" spans="1:16" x14ac:dyDescent="0.25">
      <c r="A1085" s="6" t="s">
        <v>3920</v>
      </c>
      <c r="B1085" s="7">
        <f t="shared" si="49"/>
        <v>46114</v>
      </c>
      <c r="C1085" s="7">
        <f t="shared" si="50"/>
        <v>46120</v>
      </c>
      <c r="D1085" s="6">
        <v>3280</v>
      </c>
      <c r="E1085" s="6">
        <v>337</v>
      </c>
      <c r="F1085" s="6">
        <v>4</v>
      </c>
      <c r="G1085" s="15">
        <v>1</v>
      </c>
      <c r="H1085" s="15"/>
      <c r="I1085" s="15" t="s">
        <v>1505</v>
      </c>
      <c r="J1085" s="15">
        <v>24692933</v>
      </c>
      <c r="K1085" s="15" t="s">
        <v>1225</v>
      </c>
      <c r="L1085" s="15" t="s">
        <v>1287</v>
      </c>
      <c r="M1085" s="16">
        <v>249900</v>
      </c>
      <c r="N1085" s="9">
        <v>0.95</v>
      </c>
      <c r="O1085" s="8">
        <f t="shared" si="48"/>
        <v>12495</v>
      </c>
      <c r="P1085" s="6" t="s">
        <v>15</v>
      </c>
    </row>
    <row r="1086" spans="1:16" x14ac:dyDescent="0.25">
      <c r="A1086" s="6" t="s">
        <v>3920</v>
      </c>
      <c r="B1086" s="7">
        <f t="shared" si="49"/>
        <v>46114</v>
      </c>
      <c r="C1086" s="7">
        <f t="shared" si="50"/>
        <v>46120</v>
      </c>
      <c r="D1086" s="6">
        <v>3280</v>
      </c>
      <c r="E1086" s="6">
        <v>337</v>
      </c>
      <c r="F1086" s="6">
        <v>4</v>
      </c>
      <c r="G1086" s="15">
        <v>1</v>
      </c>
      <c r="H1086" s="15"/>
      <c r="I1086" s="15" t="s">
        <v>1505</v>
      </c>
      <c r="J1086" s="15">
        <v>24692924</v>
      </c>
      <c r="K1086" s="15" t="s">
        <v>1225</v>
      </c>
      <c r="L1086" s="15" t="s">
        <v>1288</v>
      </c>
      <c r="M1086" s="16">
        <v>239900</v>
      </c>
      <c r="N1086" s="9">
        <v>0.95</v>
      </c>
      <c r="O1086" s="8">
        <f t="shared" si="48"/>
        <v>11995</v>
      </c>
      <c r="P1086" s="6" t="s">
        <v>15</v>
      </c>
    </row>
    <row r="1087" spans="1:16" x14ac:dyDescent="0.25">
      <c r="A1087" s="6" t="s">
        <v>3920</v>
      </c>
      <c r="B1087" s="7">
        <f t="shared" si="49"/>
        <v>46114</v>
      </c>
      <c r="C1087" s="7">
        <f t="shared" si="50"/>
        <v>46120</v>
      </c>
      <c r="D1087" s="6">
        <v>3280</v>
      </c>
      <c r="E1087" s="6">
        <v>337</v>
      </c>
      <c r="F1087" s="6">
        <v>4</v>
      </c>
      <c r="G1087" s="15">
        <v>1</v>
      </c>
      <c r="H1087" s="15"/>
      <c r="I1087" s="15" t="s">
        <v>1505</v>
      </c>
      <c r="J1087" s="15">
        <v>24962043</v>
      </c>
      <c r="K1087" s="15" t="s">
        <v>1278</v>
      </c>
      <c r="L1087" s="15" t="s">
        <v>1289</v>
      </c>
      <c r="M1087" s="16">
        <v>229900</v>
      </c>
      <c r="N1087" s="9">
        <v>0.95</v>
      </c>
      <c r="O1087" s="8">
        <f t="shared" si="48"/>
        <v>11495</v>
      </c>
      <c r="P1087" s="6" t="s">
        <v>15</v>
      </c>
    </row>
    <row r="1088" spans="1:16" x14ac:dyDescent="0.25">
      <c r="A1088" s="6" t="s">
        <v>3920</v>
      </c>
      <c r="B1088" s="7">
        <f t="shared" si="49"/>
        <v>46114</v>
      </c>
      <c r="C1088" s="7">
        <f t="shared" si="50"/>
        <v>46120</v>
      </c>
      <c r="D1088" s="6">
        <v>3280</v>
      </c>
      <c r="E1088" s="6">
        <v>337</v>
      </c>
      <c r="F1088" s="6">
        <v>4</v>
      </c>
      <c r="G1088" s="15">
        <v>1</v>
      </c>
      <c r="H1088" s="15"/>
      <c r="I1088" s="15" t="s">
        <v>1505</v>
      </c>
      <c r="J1088" s="15">
        <v>24901000</v>
      </c>
      <c r="K1088" s="15" t="s">
        <v>1262</v>
      </c>
      <c r="L1088" s="15" t="s">
        <v>1290</v>
      </c>
      <c r="M1088" s="16">
        <v>199900</v>
      </c>
      <c r="N1088" s="9">
        <v>0.95</v>
      </c>
      <c r="O1088" s="8">
        <f t="shared" si="48"/>
        <v>9995</v>
      </c>
      <c r="P1088" s="6" t="s">
        <v>15</v>
      </c>
    </row>
    <row r="1089" spans="1:16" x14ac:dyDescent="0.25">
      <c r="A1089" s="6" t="s">
        <v>3920</v>
      </c>
      <c r="B1089" s="7">
        <f t="shared" si="49"/>
        <v>46114</v>
      </c>
      <c r="C1089" s="7">
        <f t="shared" si="50"/>
        <v>46120</v>
      </c>
      <c r="D1089" s="6">
        <v>3280</v>
      </c>
      <c r="E1089" s="6">
        <v>337</v>
      </c>
      <c r="F1089" s="6">
        <v>4</v>
      </c>
      <c r="G1089" s="15">
        <v>1</v>
      </c>
      <c r="H1089" s="15"/>
      <c r="I1089" s="15" t="s">
        <v>1505</v>
      </c>
      <c r="J1089" s="15">
        <v>24962025</v>
      </c>
      <c r="K1089" s="15" t="s">
        <v>1278</v>
      </c>
      <c r="L1089" s="15" t="s">
        <v>1291</v>
      </c>
      <c r="M1089" s="16">
        <v>219900</v>
      </c>
      <c r="N1089" s="9">
        <v>0.95</v>
      </c>
      <c r="O1089" s="8">
        <f t="shared" si="48"/>
        <v>10995</v>
      </c>
      <c r="P1089" s="6" t="s">
        <v>15</v>
      </c>
    </row>
    <row r="1090" spans="1:16" x14ac:dyDescent="0.25">
      <c r="A1090" s="6" t="s">
        <v>3920</v>
      </c>
      <c r="B1090" s="7">
        <f t="shared" si="49"/>
        <v>46114</v>
      </c>
      <c r="C1090" s="7">
        <f t="shared" si="50"/>
        <v>46120</v>
      </c>
      <c r="D1090" s="6">
        <v>3280</v>
      </c>
      <c r="E1090" s="6">
        <v>337</v>
      </c>
      <c r="F1090" s="6">
        <v>4</v>
      </c>
      <c r="G1090" s="15">
        <v>1</v>
      </c>
      <c r="H1090" s="15"/>
      <c r="I1090" s="15" t="s">
        <v>1505</v>
      </c>
      <c r="J1090" s="15">
        <v>24711386</v>
      </c>
      <c r="K1090" s="15" t="s">
        <v>1269</v>
      </c>
      <c r="L1090" s="15" t="s">
        <v>1292</v>
      </c>
      <c r="M1090" s="16">
        <v>219900</v>
      </c>
      <c r="N1090" s="9">
        <v>0.95</v>
      </c>
      <c r="O1090" s="8">
        <f t="shared" ref="O1090:O1153" si="51">M1090-((95*M1090)/100)</f>
        <v>10995</v>
      </c>
      <c r="P1090" s="6" t="s">
        <v>15</v>
      </c>
    </row>
    <row r="1091" spans="1:16" x14ac:dyDescent="0.25">
      <c r="A1091" s="6" t="s">
        <v>3920</v>
      </c>
      <c r="B1091" s="7">
        <f t="shared" si="49"/>
        <v>46114</v>
      </c>
      <c r="C1091" s="7">
        <f t="shared" si="50"/>
        <v>46120</v>
      </c>
      <c r="D1091" s="6">
        <v>3280</v>
      </c>
      <c r="E1091" s="6">
        <v>337</v>
      </c>
      <c r="F1091" s="6">
        <v>4</v>
      </c>
      <c r="G1091" s="15">
        <v>1</v>
      </c>
      <c r="H1091" s="15"/>
      <c r="I1091" s="15" t="s">
        <v>1505</v>
      </c>
      <c r="J1091" s="15">
        <v>24711402</v>
      </c>
      <c r="K1091" s="15" t="s">
        <v>1269</v>
      </c>
      <c r="L1091" s="15" t="s">
        <v>1293</v>
      </c>
      <c r="M1091" s="16">
        <v>229900</v>
      </c>
      <c r="N1091" s="9">
        <v>0.95</v>
      </c>
      <c r="O1091" s="8">
        <f t="shared" si="51"/>
        <v>11495</v>
      </c>
      <c r="P1091" s="6" t="s">
        <v>15</v>
      </c>
    </row>
    <row r="1092" spans="1:16" x14ac:dyDescent="0.25">
      <c r="A1092" s="6" t="s">
        <v>3920</v>
      </c>
      <c r="B1092" s="7">
        <f t="shared" ref="B1092:B1155" si="52">B1091</f>
        <v>46114</v>
      </c>
      <c r="C1092" s="7">
        <f t="shared" ref="C1092:C1155" si="53">C1091</f>
        <v>46120</v>
      </c>
      <c r="D1092" s="6">
        <v>3280</v>
      </c>
      <c r="E1092" s="6">
        <v>337</v>
      </c>
      <c r="F1092" s="6">
        <v>4</v>
      </c>
      <c r="G1092" s="15">
        <v>1</v>
      </c>
      <c r="H1092" s="15"/>
      <c r="I1092" s="15" t="s">
        <v>1505</v>
      </c>
      <c r="J1092" s="15">
        <v>24693441</v>
      </c>
      <c r="K1092" s="15" t="s">
        <v>1233</v>
      </c>
      <c r="L1092" s="15" t="s">
        <v>1294</v>
      </c>
      <c r="M1092" s="16">
        <v>239900</v>
      </c>
      <c r="N1092" s="9">
        <v>0.95</v>
      </c>
      <c r="O1092" s="8">
        <f t="shared" si="51"/>
        <v>11995</v>
      </c>
      <c r="P1092" s="6" t="s">
        <v>15</v>
      </c>
    </row>
    <row r="1093" spans="1:16" x14ac:dyDescent="0.25">
      <c r="A1093" s="6" t="s">
        <v>3920</v>
      </c>
      <c r="B1093" s="7">
        <f t="shared" si="52"/>
        <v>46114</v>
      </c>
      <c r="C1093" s="7">
        <f t="shared" si="53"/>
        <v>46120</v>
      </c>
      <c r="D1093" s="6">
        <v>3280</v>
      </c>
      <c r="E1093" s="6">
        <v>337</v>
      </c>
      <c r="F1093" s="6">
        <v>4</v>
      </c>
      <c r="G1093" s="15">
        <v>1</v>
      </c>
      <c r="H1093" s="15"/>
      <c r="I1093" s="15" t="s">
        <v>1505</v>
      </c>
      <c r="J1093" s="15">
        <v>24692915</v>
      </c>
      <c r="K1093" s="15" t="s">
        <v>1225</v>
      </c>
      <c r="L1093" s="15" t="s">
        <v>1295</v>
      </c>
      <c r="M1093" s="16">
        <v>239900</v>
      </c>
      <c r="N1093" s="9">
        <v>0.95</v>
      </c>
      <c r="O1093" s="8">
        <f t="shared" si="51"/>
        <v>11995</v>
      </c>
      <c r="P1093" s="6" t="s">
        <v>15</v>
      </c>
    </row>
    <row r="1094" spans="1:16" x14ac:dyDescent="0.25">
      <c r="A1094" s="6" t="s">
        <v>3920</v>
      </c>
      <c r="B1094" s="7">
        <f t="shared" si="52"/>
        <v>46114</v>
      </c>
      <c r="C1094" s="7">
        <f t="shared" si="53"/>
        <v>46120</v>
      </c>
      <c r="D1094" s="6">
        <v>3280</v>
      </c>
      <c r="E1094" s="6">
        <v>337</v>
      </c>
      <c r="F1094" s="6">
        <v>4</v>
      </c>
      <c r="G1094" s="15">
        <v>1</v>
      </c>
      <c r="H1094" s="15"/>
      <c r="I1094" s="15" t="s">
        <v>1505</v>
      </c>
      <c r="J1094" s="15">
        <v>24693192</v>
      </c>
      <c r="K1094" s="15" t="s">
        <v>1227</v>
      </c>
      <c r="L1094" s="15" t="s">
        <v>1296</v>
      </c>
      <c r="M1094" s="16">
        <v>219900</v>
      </c>
      <c r="N1094" s="9">
        <v>0.95</v>
      </c>
      <c r="O1094" s="8">
        <f t="shared" si="51"/>
        <v>10995</v>
      </c>
      <c r="P1094" s="6" t="s">
        <v>15</v>
      </c>
    </row>
    <row r="1095" spans="1:16" x14ac:dyDescent="0.25">
      <c r="A1095" s="6" t="s">
        <v>3920</v>
      </c>
      <c r="B1095" s="7">
        <f t="shared" si="52"/>
        <v>46114</v>
      </c>
      <c r="C1095" s="7">
        <f t="shared" si="53"/>
        <v>46120</v>
      </c>
      <c r="D1095" s="6">
        <v>3280</v>
      </c>
      <c r="E1095" s="6">
        <v>337</v>
      </c>
      <c r="F1095" s="6">
        <v>4</v>
      </c>
      <c r="G1095" s="15">
        <v>1</v>
      </c>
      <c r="H1095" s="15"/>
      <c r="I1095" s="15" t="s">
        <v>1505</v>
      </c>
      <c r="J1095" s="15">
        <v>24720063</v>
      </c>
      <c r="K1095" s="15" t="s">
        <v>1245</v>
      </c>
      <c r="L1095" s="15" t="s">
        <v>1297</v>
      </c>
      <c r="M1095" s="16">
        <v>209900</v>
      </c>
      <c r="N1095" s="9">
        <v>0.95</v>
      </c>
      <c r="O1095" s="8">
        <f t="shared" si="51"/>
        <v>10495</v>
      </c>
      <c r="P1095" s="6" t="s">
        <v>15</v>
      </c>
    </row>
    <row r="1096" spans="1:16" x14ac:dyDescent="0.25">
      <c r="A1096" s="6" t="s">
        <v>3920</v>
      </c>
      <c r="B1096" s="7">
        <f t="shared" si="52"/>
        <v>46114</v>
      </c>
      <c r="C1096" s="7">
        <f t="shared" si="53"/>
        <v>46120</v>
      </c>
      <c r="D1096" s="6">
        <v>3280</v>
      </c>
      <c r="E1096" s="6">
        <v>337</v>
      </c>
      <c r="F1096" s="6">
        <v>4</v>
      </c>
      <c r="G1096" s="15">
        <v>1</v>
      </c>
      <c r="H1096" s="15"/>
      <c r="I1096" s="15" t="s">
        <v>1505</v>
      </c>
      <c r="J1096" s="15">
        <v>24962052</v>
      </c>
      <c r="K1096" s="15" t="s">
        <v>1278</v>
      </c>
      <c r="L1096" s="15" t="s">
        <v>1298</v>
      </c>
      <c r="M1096" s="16">
        <v>229900</v>
      </c>
      <c r="N1096" s="9">
        <v>0.95</v>
      </c>
      <c r="O1096" s="8">
        <f t="shared" si="51"/>
        <v>11495</v>
      </c>
      <c r="P1096" s="6" t="s">
        <v>15</v>
      </c>
    </row>
    <row r="1097" spans="1:16" x14ac:dyDescent="0.25">
      <c r="A1097" s="6" t="s">
        <v>3920</v>
      </c>
      <c r="B1097" s="7">
        <f t="shared" si="52"/>
        <v>46114</v>
      </c>
      <c r="C1097" s="7">
        <f t="shared" si="53"/>
        <v>46120</v>
      </c>
      <c r="D1097" s="6">
        <v>3280</v>
      </c>
      <c r="E1097" s="6">
        <v>337</v>
      </c>
      <c r="F1097" s="6">
        <v>4</v>
      </c>
      <c r="G1097" s="15">
        <v>1</v>
      </c>
      <c r="H1097" s="15"/>
      <c r="I1097" s="15" t="s">
        <v>1505</v>
      </c>
      <c r="J1097" s="15">
        <v>24719146</v>
      </c>
      <c r="K1097" s="15" t="s">
        <v>1249</v>
      </c>
      <c r="L1097" s="15" t="s">
        <v>1299</v>
      </c>
      <c r="M1097" s="16">
        <v>219900</v>
      </c>
      <c r="N1097" s="9">
        <v>0.95</v>
      </c>
      <c r="O1097" s="8">
        <f t="shared" si="51"/>
        <v>10995</v>
      </c>
      <c r="P1097" s="6" t="s">
        <v>15</v>
      </c>
    </row>
    <row r="1098" spans="1:16" x14ac:dyDescent="0.25">
      <c r="A1098" s="6" t="s">
        <v>3920</v>
      </c>
      <c r="B1098" s="7">
        <f t="shared" si="52"/>
        <v>46114</v>
      </c>
      <c r="C1098" s="7">
        <f t="shared" si="53"/>
        <v>46120</v>
      </c>
      <c r="D1098" s="6">
        <v>3280</v>
      </c>
      <c r="E1098" s="6">
        <v>337</v>
      </c>
      <c r="F1098" s="6">
        <v>4</v>
      </c>
      <c r="G1098" s="15">
        <v>1</v>
      </c>
      <c r="H1098" s="15"/>
      <c r="I1098" s="15" t="s">
        <v>1505</v>
      </c>
      <c r="J1098" s="15">
        <v>24962016</v>
      </c>
      <c r="K1098" s="15" t="s">
        <v>1278</v>
      </c>
      <c r="L1098" s="15" t="s">
        <v>1300</v>
      </c>
      <c r="M1098" s="16">
        <v>219900</v>
      </c>
      <c r="N1098" s="9">
        <v>0.95</v>
      </c>
      <c r="O1098" s="8">
        <f t="shared" si="51"/>
        <v>10995</v>
      </c>
      <c r="P1098" s="6" t="s">
        <v>15</v>
      </c>
    </row>
    <row r="1099" spans="1:16" x14ac:dyDescent="0.25">
      <c r="A1099" s="6" t="s">
        <v>3920</v>
      </c>
      <c r="B1099" s="7">
        <f t="shared" si="52"/>
        <v>46114</v>
      </c>
      <c r="C1099" s="7">
        <f t="shared" si="53"/>
        <v>46120</v>
      </c>
      <c r="D1099" s="6">
        <v>3280</v>
      </c>
      <c r="E1099" s="6">
        <v>337</v>
      </c>
      <c r="F1099" s="6">
        <v>4</v>
      </c>
      <c r="G1099" s="15">
        <v>1</v>
      </c>
      <c r="H1099" s="15"/>
      <c r="I1099" s="15" t="s">
        <v>1505</v>
      </c>
      <c r="J1099" s="15">
        <v>24962061</v>
      </c>
      <c r="K1099" s="15" t="s">
        <v>1278</v>
      </c>
      <c r="L1099" s="15" t="s">
        <v>1301</v>
      </c>
      <c r="M1099" s="16">
        <v>229900</v>
      </c>
      <c r="N1099" s="9">
        <v>0.95</v>
      </c>
      <c r="O1099" s="8">
        <f t="shared" si="51"/>
        <v>11495</v>
      </c>
      <c r="P1099" s="6" t="s">
        <v>15</v>
      </c>
    </row>
    <row r="1100" spans="1:16" x14ac:dyDescent="0.25">
      <c r="A1100" s="6" t="s">
        <v>3920</v>
      </c>
      <c r="B1100" s="7">
        <f t="shared" si="52"/>
        <v>46114</v>
      </c>
      <c r="C1100" s="7">
        <f t="shared" si="53"/>
        <v>46120</v>
      </c>
      <c r="D1100" s="6">
        <v>3280</v>
      </c>
      <c r="E1100" s="6">
        <v>337</v>
      </c>
      <c r="F1100" s="6">
        <v>4</v>
      </c>
      <c r="G1100" s="15">
        <v>1</v>
      </c>
      <c r="H1100" s="15"/>
      <c r="I1100" s="15" t="s">
        <v>1505</v>
      </c>
      <c r="J1100" s="15">
        <v>24692308</v>
      </c>
      <c r="K1100" s="15" t="s">
        <v>1302</v>
      </c>
      <c r="L1100" s="15" t="s">
        <v>1303</v>
      </c>
      <c r="M1100" s="16">
        <v>199900</v>
      </c>
      <c r="N1100" s="9">
        <v>0.95</v>
      </c>
      <c r="O1100" s="8">
        <f t="shared" si="51"/>
        <v>9995</v>
      </c>
      <c r="P1100" s="6" t="s">
        <v>15</v>
      </c>
    </row>
    <row r="1101" spans="1:16" x14ac:dyDescent="0.25">
      <c r="A1101" s="6" t="s">
        <v>3920</v>
      </c>
      <c r="B1101" s="7">
        <f t="shared" si="52"/>
        <v>46114</v>
      </c>
      <c r="C1101" s="7">
        <f t="shared" si="53"/>
        <v>46120</v>
      </c>
      <c r="D1101" s="6">
        <v>3280</v>
      </c>
      <c r="E1101" s="6">
        <v>337</v>
      </c>
      <c r="F1101" s="6">
        <v>4</v>
      </c>
      <c r="G1101" s="15">
        <v>1</v>
      </c>
      <c r="H1101" s="15"/>
      <c r="I1101" s="15" t="s">
        <v>1505</v>
      </c>
      <c r="J1101" s="15">
        <v>24692317</v>
      </c>
      <c r="K1101" s="15" t="s">
        <v>1302</v>
      </c>
      <c r="L1101" s="15" t="s">
        <v>1304</v>
      </c>
      <c r="M1101" s="16">
        <v>209900</v>
      </c>
      <c r="N1101" s="9">
        <v>0.95</v>
      </c>
      <c r="O1101" s="8">
        <f t="shared" si="51"/>
        <v>10495</v>
      </c>
      <c r="P1101" s="6" t="s">
        <v>15</v>
      </c>
    </row>
    <row r="1102" spans="1:16" x14ac:dyDescent="0.25">
      <c r="A1102" s="6" t="s">
        <v>3920</v>
      </c>
      <c r="B1102" s="7">
        <f t="shared" si="52"/>
        <v>46114</v>
      </c>
      <c r="C1102" s="7">
        <f t="shared" si="53"/>
        <v>46120</v>
      </c>
      <c r="D1102" s="6">
        <v>3280</v>
      </c>
      <c r="E1102" s="6">
        <v>337</v>
      </c>
      <c r="F1102" s="6">
        <v>4</v>
      </c>
      <c r="G1102" s="15">
        <v>1</v>
      </c>
      <c r="H1102" s="15"/>
      <c r="I1102" s="15" t="s">
        <v>1505</v>
      </c>
      <c r="J1102" s="15">
        <v>24692326</v>
      </c>
      <c r="K1102" s="15" t="s">
        <v>1302</v>
      </c>
      <c r="L1102" s="15" t="s">
        <v>1305</v>
      </c>
      <c r="M1102" s="16">
        <v>209900</v>
      </c>
      <c r="N1102" s="9">
        <v>0.95</v>
      </c>
      <c r="O1102" s="8">
        <f t="shared" si="51"/>
        <v>10495</v>
      </c>
      <c r="P1102" s="6" t="s">
        <v>15</v>
      </c>
    </row>
    <row r="1103" spans="1:16" x14ac:dyDescent="0.25">
      <c r="A1103" s="6" t="s">
        <v>3920</v>
      </c>
      <c r="B1103" s="7">
        <f t="shared" si="52"/>
        <v>46114</v>
      </c>
      <c r="C1103" s="7">
        <f t="shared" si="53"/>
        <v>46120</v>
      </c>
      <c r="D1103" s="6">
        <v>3280</v>
      </c>
      <c r="E1103" s="6">
        <v>337</v>
      </c>
      <c r="F1103" s="6">
        <v>4</v>
      </c>
      <c r="G1103" s="15">
        <v>1</v>
      </c>
      <c r="H1103" s="15"/>
      <c r="I1103" s="15" t="s">
        <v>1505</v>
      </c>
      <c r="J1103" s="15">
        <v>24692335</v>
      </c>
      <c r="K1103" s="15" t="s">
        <v>1302</v>
      </c>
      <c r="L1103" s="15" t="s">
        <v>1306</v>
      </c>
      <c r="M1103" s="16">
        <v>209900</v>
      </c>
      <c r="N1103" s="9">
        <v>0.95</v>
      </c>
      <c r="O1103" s="8">
        <f t="shared" si="51"/>
        <v>10495</v>
      </c>
      <c r="P1103" s="6" t="s">
        <v>15</v>
      </c>
    </row>
    <row r="1104" spans="1:16" x14ac:dyDescent="0.25">
      <c r="A1104" s="6" t="s">
        <v>3920</v>
      </c>
      <c r="B1104" s="7">
        <f t="shared" si="52"/>
        <v>46114</v>
      </c>
      <c r="C1104" s="7">
        <f t="shared" si="53"/>
        <v>46120</v>
      </c>
      <c r="D1104" s="6">
        <v>3280</v>
      </c>
      <c r="E1104" s="6">
        <v>337</v>
      </c>
      <c r="F1104" s="6">
        <v>4</v>
      </c>
      <c r="G1104" s="15">
        <v>1</v>
      </c>
      <c r="H1104" s="15"/>
      <c r="I1104" s="15" t="s">
        <v>1505</v>
      </c>
      <c r="J1104" s="15">
        <v>24693030</v>
      </c>
      <c r="K1104" s="15" t="s">
        <v>1307</v>
      </c>
      <c r="L1104" s="15" t="s">
        <v>1308</v>
      </c>
      <c r="M1104" s="16">
        <v>189900</v>
      </c>
      <c r="N1104" s="9">
        <v>0.95</v>
      </c>
      <c r="O1104" s="8">
        <f t="shared" si="51"/>
        <v>9495</v>
      </c>
      <c r="P1104" s="6" t="s">
        <v>15</v>
      </c>
    </row>
    <row r="1105" spans="1:16" x14ac:dyDescent="0.25">
      <c r="A1105" s="6" t="s">
        <v>3920</v>
      </c>
      <c r="B1105" s="7">
        <f t="shared" si="52"/>
        <v>46114</v>
      </c>
      <c r="C1105" s="7">
        <f t="shared" si="53"/>
        <v>46120</v>
      </c>
      <c r="D1105" s="6">
        <v>3280</v>
      </c>
      <c r="E1105" s="6">
        <v>337</v>
      </c>
      <c r="F1105" s="6">
        <v>4</v>
      </c>
      <c r="G1105" s="15">
        <v>1</v>
      </c>
      <c r="H1105" s="15"/>
      <c r="I1105" s="15" t="s">
        <v>1505</v>
      </c>
      <c r="J1105" s="15">
        <v>24693049</v>
      </c>
      <c r="K1105" s="15" t="s">
        <v>1307</v>
      </c>
      <c r="L1105" s="15" t="s">
        <v>1309</v>
      </c>
      <c r="M1105" s="16">
        <v>189900</v>
      </c>
      <c r="N1105" s="9">
        <v>0.95</v>
      </c>
      <c r="O1105" s="8">
        <f t="shared" si="51"/>
        <v>9495</v>
      </c>
      <c r="P1105" s="6" t="s">
        <v>15</v>
      </c>
    </row>
    <row r="1106" spans="1:16" x14ac:dyDescent="0.25">
      <c r="A1106" s="6" t="s">
        <v>3920</v>
      </c>
      <c r="B1106" s="7">
        <f t="shared" si="52"/>
        <v>46114</v>
      </c>
      <c r="C1106" s="7">
        <f t="shared" si="53"/>
        <v>46120</v>
      </c>
      <c r="D1106" s="6">
        <v>3280</v>
      </c>
      <c r="E1106" s="6">
        <v>337</v>
      </c>
      <c r="F1106" s="6">
        <v>4</v>
      </c>
      <c r="G1106" s="15">
        <v>1</v>
      </c>
      <c r="H1106" s="15"/>
      <c r="I1106" s="15" t="s">
        <v>1505</v>
      </c>
      <c r="J1106" s="15">
        <v>24693058</v>
      </c>
      <c r="K1106" s="15" t="s">
        <v>1307</v>
      </c>
      <c r="L1106" s="15" t="s">
        <v>1310</v>
      </c>
      <c r="M1106" s="16">
        <v>189900</v>
      </c>
      <c r="N1106" s="9">
        <v>0.95</v>
      </c>
      <c r="O1106" s="8">
        <f t="shared" si="51"/>
        <v>9495</v>
      </c>
      <c r="P1106" s="6" t="s">
        <v>15</v>
      </c>
    </row>
    <row r="1107" spans="1:16" x14ac:dyDescent="0.25">
      <c r="A1107" s="6" t="s">
        <v>3920</v>
      </c>
      <c r="B1107" s="7">
        <f t="shared" si="52"/>
        <v>46114</v>
      </c>
      <c r="C1107" s="7">
        <f t="shared" si="53"/>
        <v>46120</v>
      </c>
      <c r="D1107" s="6">
        <v>3280</v>
      </c>
      <c r="E1107" s="6">
        <v>337</v>
      </c>
      <c r="F1107" s="6">
        <v>4</v>
      </c>
      <c r="G1107" s="15">
        <v>1</v>
      </c>
      <c r="H1107" s="15"/>
      <c r="I1107" s="15" t="s">
        <v>1505</v>
      </c>
      <c r="J1107" s="15">
        <v>24693067</v>
      </c>
      <c r="K1107" s="15" t="s">
        <v>1307</v>
      </c>
      <c r="L1107" s="15" t="s">
        <v>1311</v>
      </c>
      <c r="M1107" s="16">
        <v>199900</v>
      </c>
      <c r="N1107" s="9">
        <v>0.95</v>
      </c>
      <c r="O1107" s="8">
        <f t="shared" si="51"/>
        <v>9995</v>
      </c>
      <c r="P1107" s="6" t="s">
        <v>15</v>
      </c>
    </row>
    <row r="1108" spans="1:16" x14ac:dyDescent="0.25">
      <c r="A1108" s="6" t="s">
        <v>3920</v>
      </c>
      <c r="B1108" s="7">
        <f t="shared" si="52"/>
        <v>46114</v>
      </c>
      <c r="C1108" s="7">
        <f t="shared" si="53"/>
        <v>46120</v>
      </c>
      <c r="D1108" s="6">
        <v>3280</v>
      </c>
      <c r="E1108" s="6">
        <v>337</v>
      </c>
      <c r="F1108" s="6">
        <v>4</v>
      </c>
      <c r="G1108" s="15">
        <v>1</v>
      </c>
      <c r="H1108" s="15"/>
      <c r="I1108" s="15" t="s">
        <v>1505</v>
      </c>
      <c r="J1108" s="15">
        <v>24693076</v>
      </c>
      <c r="K1108" s="15" t="s">
        <v>1307</v>
      </c>
      <c r="L1108" s="15" t="s">
        <v>1312</v>
      </c>
      <c r="M1108" s="16">
        <v>199900</v>
      </c>
      <c r="N1108" s="9">
        <v>0.95</v>
      </c>
      <c r="O1108" s="8">
        <f t="shared" si="51"/>
        <v>9995</v>
      </c>
      <c r="P1108" s="6" t="s">
        <v>15</v>
      </c>
    </row>
    <row r="1109" spans="1:16" x14ac:dyDescent="0.25">
      <c r="A1109" s="6" t="s">
        <v>3920</v>
      </c>
      <c r="B1109" s="7">
        <f t="shared" si="52"/>
        <v>46114</v>
      </c>
      <c r="C1109" s="7">
        <f t="shared" si="53"/>
        <v>46120</v>
      </c>
      <c r="D1109" s="6">
        <v>3280</v>
      </c>
      <c r="E1109" s="6">
        <v>337</v>
      </c>
      <c r="F1109" s="6">
        <v>4</v>
      </c>
      <c r="G1109" s="15">
        <v>1</v>
      </c>
      <c r="H1109" s="15"/>
      <c r="I1109" s="15" t="s">
        <v>1505</v>
      </c>
      <c r="J1109" s="15">
        <v>24693085</v>
      </c>
      <c r="K1109" s="15" t="s">
        <v>1307</v>
      </c>
      <c r="L1109" s="15" t="s">
        <v>1313</v>
      </c>
      <c r="M1109" s="16">
        <v>199900</v>
      </c>
      <c r="N1109" s="9">
        <v>0.95</v>
      </c>
      <c r="O1109" s="8">
        <f t="shared" si="51"/>
        <v>9995</v>
      </c>
      <c r="P1109" s="6" t="s">
        <v>15</v>
      </c>
    </row>
    <row r="1110" spans="1:16" x14ac:dyDescent="0.25">
      <c r="A1110" s="6" t="s">
        <v>3920</v>
      </c>
      <c r="B1110" s="7">
        <f t="shared" si="52"/>
        <v>46114</v>
      </c>
      <c r="C1110" s="7">
        <f t="shared" si="53"/>
        <v>46120</v>
      </c>
      <c r="D1110" s="6">
        <v>3280</v>
      </c>
      <c r="E1110" s="6">
        <v>337</v>
      </c>
      <c r="F1110" s="6">
        <v>4</v>
      </c>
      <c r="G1110" s="15">
        <v>1</v>
      </c>
      <c r="H1110" s="15"/>
      <c r="I1110" s="15" t="s">
        <v>1505</v>
      </c>
      <c r="J1110" s="15">
        <v>24724827</v>
      </c>
      <c r="K1110" s="15" t="s">
        <v>1314</v>
      </c>
      <c r="L1110" s="15" t="s">
        <v>1315</v>
      </c>
      <c r="M1110" s="16">
        <v>219900</v>
      </c>
      <c r="N1110" s="9">
        <v>0.95</v>
      </c>
      <c r="O1110" s="8">
        <f t="shared" si="51"/>
        <v>10995</v>
      </c>
      <c r="P1110" s="6" t="s">
        <v>15</v>
      </c>
    </row>
    <row r="1111" spans="1:16" x14ac:dyDescent="0.25">
      <c r="A1111" s="6" t="s">
        <v>3920</v>
      </c>
      <c r="B1111" s="7">
        <f t="shared" si="52"/>
        <v>46114</v>
      </c>
      <c r="C1111" s="7">
        <f t="shared" si="53"/>
        <v>46120</v>
      </c>
      <c r="D1111" s="6">
        <v>3280</v>
      </c>
      <c r="E1111" s="6">
        <v>337</v>
      </c>
      <c r="F1111" s="6">
        <v>4</v>
      </c>
      <c r="G1111" s="15">
        <v>1</v>
      </c>
      <c r="H1111" s="15"/>
      <c r="I1111" s="15" t="s">
        <v>1505</v>
      </c>
      <c r="J1111" s="15">
        <v>24724809</v>
      </c>
      <c r="K1111" s="15" t="s">
        <v>1314</v>
      </c>
      <c r="L1111" s="15" t="s">
        <v>1316</v>
      </c>
      <c r="M1111" s="16">
        <v>209900</v>
      </c>
      <c r="N1111" s="9">
        <v>0.95</v>
      </c>
      <c r="O1111" s="8">
        <f t="shared" si="51"/>
        <v>10495</v>
      </c>
      <c r="P1111" s="6" t="s">
        <v>15</v>
      </c>
    </row>
    <row r="1112" spans="1:16" x14ac:dyDescent="0.25">
      <c r="A1112" s="6" t="s">
        <v>3920</v>
      </c>
      <c r="B1112" s="7">
        <f t="shared" si="52"/>
        <v>46114</v>
      </c>
      <c r="C1112" s="7">
        <f t="shared" si="53"/>
        <v>46120</v>
      </c>
      <c r="D1112" s="6">
        <v>3280</v>
      </c>
      <c r="E1112" s="6">
        <v>337</v>
      </c>
      <c r="F1112" s="6">
        <v>4</v>
      </c>
      <c r="G1112" s="15">
        <v>1</v>
      </c>
      <c r="H1112" s="15"/>
      <c r="I1112" s="15" t="s">
        <v>1505</v>
      </c>
      <c r="J1112" s="15">
        <v>24724818</v>
      </c>
      <c r="K1112" s="15" t="s">
        <v>1314</v>
      </c>
      <c r="L1112" s="15" t="s">
        <v>1317</v>
      </c>
      <c r="M1112" s="16">
        <v>209900</v>
      </c>
      <c r="N1112" s="9">
        <v>0.95</v>
      </c>
      <c r="O1112" s="8">
        <f t="shared" si="51"/>
        <v>10495</v>
      </c>
      <c r="P1112" s="6" t="s">
        <v>15</v>
      </c>
    </row>
    <row r="1113" spans="1:16" x14ac:dyDescent="0.25">
      <c r="A1113" s="6" t="s">
        <v>3920</v>
      </c>
      <c r="B1113" s="7">
        <f t="shared" si="52"/>
        <v>46114</v>
      </c>
      <c r="C1113" s="7">
        <f t="shared" si="53"/>
        <v>46120</v>
      </c>
      <c r="D1113" s="6">
        <v>3280</v>
      </c>
      <c r="E1113" s="6">
        <v>337</v>
      </c>
      <c r="F1113" s="6">
        <v>4</v>
      </c>
      <c r="G1113" s="15">
        <v>1</v>
      </c>
      <c r="H1113" s="15"/>
      <c r="I1113" s="15" t="s">
        <v>1505</v>
      </c>
      <c r="J1113" s="15">
        <v>24724845</v>
      </c>
      <c r="K1113" s="15" t="s">
        <v>1314</v>
      </c>
      <c r="L1113" s="15" t="s">
        <v>1318</v>
      </c>
      <c r="M1113" s="16">
        <v>219900</v>
      </c>
      <c r="N1113" s="9">
        <v>0.95</v>
      </c>
      <c r="O1113" s="8">
        <f t="shared" si="51"/>
        <v>10995</v>
      </c>
      <c r="P1113" s="6" t="s">
        <v>15</v>
      </c>
    </row>
    <row r="1114" spans="1:16" x14ac:dyDescent="0.25">
      <c r="A1114" s="6" t="s">
        <v>3920</v>
      </c>
      <c r="B1114" s="7">
        <f t="shared" si="52"/>
        <v>46114</v>
      </c>
      <c r="C1114" s="7">
        <f t="shared" si="53"/>
        <v>46120</v>
      </c>
      <c r="D1114" s="6">
        <v>3280</v>
      </c>
      <c r="E1114" s="6">
        <v>337</v>
      </c>
      <c r="F1114" s="6">
        <v>4</v>
      </c>
      <c r="G1114" s="15">
        <v>1</v>
      </c>
      <c r="H1114" s="15"/>
      <c r="I1114" s="15" t="s">
        <v>1505</v>
      </c>
      <c r="J1114" s="15">
        <v>24724836</v>
      </c>
      <c r="K1114" s="15" t="s">
        <v>1314</v>
      </c>
      <c r="L1114" s="15" t="s">
        <v>1319</v>
      </c>
      <c r="M1114" s="16">
        <v>219900</v>
      </c>
      <c r="N1114" s="9">
        <v>0.95</v>
      </c>
      <c r="O1114" s="8">
        <f t="shared" si="51"/>
        <v>10995</v>
      </c>
      <c r="P1114" s="6" t="s">
        <v>15</v>
      </c>
    </row>
    <row r="1115" spans="1:16" x14ac:dyDescent="0.25">
      <c r="A1115" s="6" t="s">
        <v>3920</v>
      </c>
      <c r="B1115" s="7">
        <f t="shared" si="52"/>
        <v>46114</v>
      </c>
      <c r="C1115" s="7">
        <f t="shared" si="53"/>
        <v>46120</v>
      </c>
      <c r="D1115" s="6">
        <v>3280</v>
      </c>
      <c r="E1115" s="6">
        <v>337</v>
      </c>
      <c r="F1115" s="6">
        <v>4</v>
      </c>
      <c r="G1115" s="15">
        <v>1</v>
      </c>
      <c r="H1115" s="15"/>
      <c r="I1115" s="15" t="s">
        <v>1505</v>
      </c>
      <c r="J1115" s="15">
        <v>24719771</v>
      </c>
      <c r="K1115" s="15" t="s">
        <v>1320</v>
      </c>
      <c r="L1115" s="15" t="s">
        <v>1321</v>
      </c>
      <c r="M1115" s="16">
        <v>209900</v>
      </c>
      <c r="N1115" s="9">
        <v>0.95</v>
      </c>
      <c r="O1115" s="8">
        <f t="shared" si="51"/>
        <v>10495</v>
      </c>
      <c r="P1115" s="6" t="s">
        <v>15</v>
      </c>
    </row>
    <row r="1116" spans="1:16" x14ac:dyDescent="0.25">
      <c r="A1116" s="6" t="s">
        <v>3920</v>
      </c>
      <c r="B1116" s="7">
        <f t="shared" si="52"/>
        <v>46114</v>
      </c>
      <c r="C1116" s="7">
        <f t="shared" si="53"/>
        <v>46120</v>
      </c>
      <c r="D1116" s="6">
        <v>3280</v>
      </c>
      <c r="E1116" s="6">
        <v>337</v>
      </c>
      <c r="F1116" s="6">
        <v>4</v>
      </c>
      <c r="G1116" s="15">
        <v>1</v>
      </c>
      <c r="H1116" s="15"/>
      <c r="I1116" s="15" t="s">
        <v>1505</v>
      </c>
      <c r="J1116" s="15">
        <v>24719753</v>
      </c>
      <c r="K1116" s="15" t="s">
        <v>1320</v>
      </c>
      <c r="L1116" s="15" t="s">
        <v>1322</v>
      </c>
      <c r="M1116" s="16">
        <v>199900</v>
      </c>
      <c r="N1116" s="9">
        <v>0.95</v>
      </c>
      <c r="O1116" s="8">
        <f t="shared" si="51"/>
        <v>9995</v>
      </c>
      <c r="P1116" s="6" t="s">
        <v>15</v>
      </c>
    </row>
    <row r="1117" spans="1:16" x14ac:dyDescent="0.25">
      <c r="A1117" s="6" t="s">
        <v>3920</v>
      </c>
      <c r="B1117" s="7">
        <f t="shared" si="52"/>
        <v>46114</v>
      </c>
      <c r="C1117" s="7">
        <f t="shared" si="53"/>
        <v>46120</v>
      </c>
      <c r="D1117" s="6">
        <v>3280</v>
      </c>
      <c r="E1117" s="6">
        <v>337</v>
      </c>
      <c r="F1117" s="6">
        <v>4</v>
      </c>
      <c r="G1117" s="15">
        <v>1</v>
      </c>
      <c r="H1117" s="15"/>
      <c r="I1117" s="15" t="s">
        <v>1505</v>
      </c>
      <c r="J1117" s="15">
        <v>24719780</v>
      </c>
      <c r="K1117" s="15" t="s">
        <v>1320</v>
      </c>
      <c r="L1117" s="15" t="s">
        <v>1323</v>
      </c>
      <c r="M1117" s="16">
        <v>209900</v>
      </c>
      <c r="N1117" s="9">
        <v>0.95</v>
      </c>
      <c r="O1117" s="8">
        <f t="shared" si="51"/>
        <v>10495</v>
      </c>
      <c r="P1117" s="6" t="s">
        <v>15</v>
      </c>
    </row>
    <row r="1118" spans="1:16" x14ac:dyDescent="0.25">
      <c r="A1118" s="6" t="s">
        <v>3920</v>
      </c>
      <c r="B1118" s="7">
        <f t="shared" si="52"/>
        <v>46114</v>
      </c>
      <c r="C1118" s="7">
        <f t="shared" si="53"/>
        <v>46120</v>
      </c>
      <c r="D1118" s="6">
        <v>3280</v>
      </c>
      <c r="E1118" s="6">
        <v>337</v>
      </c>
      <c r="F1118" s="6">
        <v>4</v>
      </c>
      <c r="G1118" s="15">
        <v>1</v>
      </c>
      <c r="H1118" s="15"/>
      <c r="I1118" s="15" t="s">
        <v>1505</v>
      </c>
      <c r="J1118" s="15">
        <v>24719762</v>
      </c>
      <c r="K1118" s="15" t="s">
        <v>1320</v>
      </c>
      <c r="L1118" s="15" t="s">
        <v>1324</v>
      </c>
      <c r="M1118" s="16">
        <v>209900</v>
      </c>
      <c r="N1118" s="9">
        <v>0.95</v>
      </c>
      <c r="O1118" s="8">
        <f t="shared" si="51"/>
        <v>10495</v>
      </c>
      <c r="P1118" s="6" t="s">
        <v>15</v>
      </c>
    </row>
    <row r="1119" spans="1:16" x14ac:dyDescent="0.25">
      <c r="A1119" s="6" t="s">
        <v>3920</v>
      </c>
      <c r="B1119" s="7">
        <f t="shared" si="52"/>
        <v>46114</v>
      </c>
      <c r="C1119" s="7">
        <f t="shared" si="53"/>
        <v>46120</v>
      </c>
      <c r="D1119" s="6">
        <v>3280</v>
      </c>
      <c r="E1119" s="6">
        <v>337</v>
      </c>
      <c r="F1119" s="6">
        <v>4</v>
      </c>
      <c r="G1119" s="15">
        <v>1</v>
      </c>
      <c r="H1119" s="15"/>
      <c r="I1119" s="15" t="s">
        <v>1505</v>
      </c>
      <c r="J1119" s="15">
        <v>24719744</v>
      </c>
      <c r="K1119" s="15" t="s">
        <v>1320</v>
      </c>
      <c r="L1119" s="15" t="s">
        <v>1325</v>
      </c>
      <c r="M1119" s="16">
        <v>199900</v>
      </c>
      <c r="N1119" s="9">
        <v>0.95</v>
      </c>
      <c r="O1119" s="8">
        <f t="shared" si="51"/>
        <v>9995</v>
      </c>
      <c r="P1119" s="6" t="s">
        <v>15</v>
      </c>
    </row>
    <row r="1120" spans="1:16" x14ac:dyDescent="0.25">
      <c r="A1120" s="6" t="s">
        <v>3920</v>
      </c>
      <c r="B1120" s="7">
        <f t="shared" si="52"/>
        <v>46114</v>
      </c>
      <c r="C1120" s="7">
        <f t="shared" si="53"/>
        <v>46120</v>
      </c>
      <c r="D1120" s="6">
        <v>3280</v>
      </c>
      <c r="E1120" s="6">
        <v>337</v>
      </c>
      <c r="F1120" s="6">
        <v>4</v>
      </c>
      <c r="G1120" s="15">
        <v>1</v>
      </c>
      <c r="H1120" s="15"/>
      <c r="I1120" s="15" t="s">
        <v>1505</v>
      </c>
      <c r="J1120" s="15">
        <v>24719735</v>
      </c>
      <c r="K1120" s="15" t="s">
        <v>1320</v>
      </c>
      <c r="L1120" s="15" t="s">
        <v>1326</v>
      </c>
      <c r="M1120" s="16">
        <v>199900</v>
      </c>
      <c r="N1120" s="9">
        <v>0.95</v>
      </c>
      <c r="O1120" s="8">
        <f t="shared" si="51"/>
        <v>9995</v>
      </c>
      <c r="P1120" s="6" t="s">
        <v>15</v>
      </c>
    </row>
    <row r="1121" spans="1:16" x14ac:dyDescent="0.25">
      <c r="A1121" s="6" t="s">
        <v>3920</v>
      </c>
      <c r="B1121" s="7">
        <f t="shared" si="52"/>
        <v>46114</v>
      </c>
      <c r="C1121" s="7">
        <f t="shared" si="53"/>
        <v>46120</v>
      </c>
      <c r="D1121" s="6">
        <v>3280</v>
      </c>
      <c r="E1121" s="6">
        <v>337</v>
      </c>
      <c r="F1121" s="6">
        <v>4</v>
      </c>
      <c r="G1121" s="15">
        <v>1</v>
      </c>
      <c r="H1121" s="15"/>
      <c r="I1121" s="15" t="s">
        <v>1505</v>
      </c>
      <c r="J1121" s="15">
        <v>24960394</v>
      </c>
      <c r="K1121" s="15" t="s">
        <v>1327</v>
      </c>
      <c r="L1121" s="15" t="s">
        <v>1328</v>
      </c>
      <c r="M1121" s="16">
        <v>209900</v>
      </c>
      <c r="N1121" s="9">
        <v>0.95</v>
      </c>
      <c r="O1121" s="8">
        <f t="shared" si="51"/>
        <v>10495</v>
      </c>
      <c r="P1121" s="6" t="s">
        <v>15</v>
      </c>
    </row>
    <row r="1122" spans="1:16" x14ac:dyDescent="0.25">
      <c r="A1122" s="6" t="s">
        <v>3920</v>
      </c>
      <c r="B1122" s="7">
        <f t="shared" si="52"/>
        <v>46114</v>
      </c>
      <c r="C1122" s="7">
        <f t="shared" si="53"/>
        <v>46120</v>
      </c>
      <c r="D1122" s="6">
        <v>3280</v>
      </c>
      <c r="E1122" s="6">
        <v>337</v>
      </c>
      <c r="F1122" s="6">
        <v>4</v>
      </c>
      <c r="G1122" s="15">
        <v>1</v>
      </c>
      <c r="H1122" s="15"/>
      <c r="I1122" s="15" t="s">
        <v>1505</v>
      </c>
      <c r="J1122" s="15">
        <v>24960385</v>
      </c>
      <c r="K1122" s="15" t="s">
        <v>1327</v>
      </c>
      <c r="L1122" s="15" t="s">
        <v>1329</v>
      </c>
      <c r="M1122" s="16">
        <v>209900</v>
      </c>
      <c r="N1122" s="9">
        <v>0.95</v>
      </c>
      <c r="O1122" s="8">
        <f t="shared" si="51"/>
        <v>10495</v>
      </c>
      <c r="P1122" s="6" t="s">
        <v>15</v>
      </c>
    </row>
    <row r="1123" spans="1:16" x14ac:dyDescent="0.25">
      <c r="A1123" s="6" t="s">
        <v>3920</v>
      </c>
      <c r="B1123" s="7">
        <f t="shared" si="52"/>
        <v>46114</v>
      </c>
      <c r="C1123" s="7">
        <f t="shared" si="53"/>
        <v>46120</v>
      </c>
      <c r="D1123" s="6">
        <v>3280</v>
      </c>
      <c r="E1123" s="6">
        <v>337</v>
      </c>
      <c r="F1123" s="6">
        <v>4</v>
      </c>
      <c r="G1123" s="15">
        <v>1</v>
      </c>
      <c r="H1123" s="15"/>
      <c r="I1123" s="15" t="s">
        <v>1505</v>
      </c>
      <c r="J1123" s="15">
        <v>24960376</v>
      </c>
      <c r="K1123" s="15" t="s">
        <v>1327</v>
      </c>
      <c r="L1123" s="15" t="s">
        <v>1330</v>
      </c>
      <c r="M1123" s="16">
        <v>199900</v>
      </c>
      <c r="N1123" s="9">
        <v>0.95</v>
      </c>
      <c r="O1123" s="8">
        <f t="shared" si="51"/>
        <v>9995</v>
      </c>
      <c r="P1123" s="6" t="s">
        <v>15</v>
      </c>
    </row>
    <row r="1124" spans="1:16" x14ac:dyDescent="0.25">
      <c r="A1124" s="6" t="s">
        <v>3920</v>
      </c>
      <c r="B1124" s="7">
        <f t="shared" si="52"/>
        <v>46114</v>
      </c>
      <c r="C1124" s="7">
        <f t="shared" si="53"/>
        <v>46120</v>
      </c>
      <c r="D1124" s="6">
        <v>3280</v>
      </c>
      <c r="E1124" s="6">
        <v>337</v>
      </c>
      <c r="F1124" s="6">
        <v>4</v>
      </c>
      <c r="G1124" s="15">
        <v>1</v>
      </c>
      <c r="H1124" s="15"/>
      <c r="I1124" s="15" t="s">
        <v>1505</v>
      </c>
      <c r="J1124" s="15">
        <v>24903482</v>
      </c>
      <c r="K1124" s="15" t="s">
        <v>1331</v>
      </c>
      <c r="L1124" s="15" t="s">
        <v>1332</v>
      </c>
      <c r="M1124" s="16">
        <v>209900</v>
      </c>
      <c r="N1124" s="9">
        <v>0.95</v>
      </c>
      <c r="O1124" s="8">
        <f t="shared" si="51"/>
        <v>10495</v>
      </c>
      <c r="P1124" s="6" t="s">
        <v>15</v>
      </c>
    </row>
    <row r="1125" spans="1:16" x14ac:dyDescent="0.25">
      <c r="A1125" s="6" t="s">
        <v>3920</v>
      </c>
      <c r="B1125" s="7">
        <f t="shared" si="52"/>
        <v>46114</v>
      </c>
      <c r="C1125" s="7">
        <f t="shared" si="53"/>
        <v>46120</v>
      </c>
      <c r="D1125" s="6">
        <v>3280</v>
      </c>
      <c r="E1125" s="6">
        <v>337</v>
      </c>
      <c r="F1125" s="6">
        <v>4</v>
      </c>
      <c r="G1125" s="15">
        <v>1</v>
      </c>
      <c r="H1125" s="15"/>
      <c r="I1125" s="15" t="s">
        <v>1505</v>
      </c>
      <c r="J1125" s="15">
        <v>24960401</v>
      </c>
      <c r="K1125" s="15" t="s">
        <v>1327</v>
      </c>
      <c r="L1125" s="15" t="s">
        <v>1333</v>
      </c>
      <c r="M1125" s="16">
        <v>209900</v>
      </c>
      <c r="N1125" s="9">
        <v>0.95</v>
      </c>
      <c r="O1125" s="8">
        <f t="shared" si="51"/>
        <v>10495</v>
      </c>
      <c r="P1125" s="6" t="s">
        <v>15</v>
      </c>
    </row>
    <row r="1126" spans="1:16" x14ac:dyDescent="0.25">
      <c r="A1126" s="6" t="s">
        <v>3920</v>
      </c>
      <c r="B1126" s="7">
        <f t="shared" si="52"/>
        <v>46114</v>
      </c>
      <c r="C1126" s="7">
        <f t="shared" si="53"/>
        <v>46120</v>
      </c>
      <c r="D1126" s="6">
        <v>3280</v>
      </c>
      <c r="E1126" s="6">
        <v>337</v>
      </c>
      <c r="F1126" s="6">
        <v>4</v>
      </c>
      <c r="G1126" s="15">
        <v>1</v>
      </c>
      <c r="H1126" s="15"/>
      <c r="I1126" s="15" t="s">
        <v>1505</v>
      </c>
      <c r="J1126" s="15">
        <v>24903491</v>
      </c>
      <c r="K1126" s="15" t="s">
        <v>1331</v>
      </c>
      <c r="L1126" s="15" t="s">
        <v>1334</v>
      </c>
      <c r="M1126" s="16">
        <v>209900</v>
      </c>
      <c r="N1126" s="9">
        <v>0.95</v>
      </c>
      <c r="O1126" s="8">
        <f t="shared" si="51"/>
        <v>10495</v>
      </c>
      <c r="P1126" s="6" t="s">
        <v>15</v>
      </c>
    </row>
    <row r="1127" spans="1:16" x14ac:dyDescent="0.25">
      <c r="A1127" s="6" t="s">
        <v>3920</v>
      </c>
      <c r="B1127" s="7">
        <f t="shared" si="52"/>
        <v>46114</v>
      </c>
      <c r="C1127" s="7">
        <f t="shared" si="53"/>
        <v>46120</v>
      </c>
      <c r="D1127" s="6">
        <v>3280</v>
      </c>
      <c r="E1127" s="6">
        <v>337</v>
      </c>
      <c r="F1127" s="6">
        <v>4</v>
      </c>
      <c r="G1127" s="15">
        <v>1</v>
      </c>
      <c r="H1127" s="15"/>
      <c r="I1127" s="15" t="s">
        <v>1505</v>
      </c>
      <c r="J1127" s="15">
        <v>24960358</v>
      </c>
      <c r="K1127" s="15" t="s">
        <v>1327</v>
      </c>
      <c r="L1127" s="15" t="s">
        <v>1335</v>
      </c>
      <c r="M1127" s="16">
        <v>199900</v>
      </c>
      <c r="N1127" s="9">
        <v>0.95</v>
      </c>
      <c r="O1127" s="8">
        <f t="shared" si="51"/>
        <v>9995</v>
      </c>
      <c r="P1127" s="6" t="s">
        <v>15</v>
      </c>
    </row>
    <row r="1128" spans="1:16" x14ac:dyDescent="0.25">
      <c r="A1128" s="6" t="s">
        <v>3920</v>
      </c>
      <c r="B1128" s="7">
        <f t="shared" si="52"/>
        <v>46114</v>
      </c>
      <c r="C1128" s="7">
        <f t="shared" si="53"/>
        <v>46120</v>
      </c>
      <c r="D1128" s="6">
        <v>3280</v>
      </c>
      <c r="E1128" s="6">
        <v>337</v>
      </c>
      <c r="F1128" s="6">
        <v>4</v>
      </c>
      <c r="G1128" s="15">
        <v>1</v>
      </c>
      <c r="H1128" s="15"/>
      <c r="I1128" s="15" t="s">
        <v>1505</v>
      </c>
      <c r="J1128" s="15">
        <v>24960367</v>
      </c>
      <c r="K1128" s="15" t="s">
        <v>1327</v>
      </c>
      <c r="L1128" s="15" t="s">
        <v>1336</v>
      </c>
      <c r="M1128" s="16">
        <v>199900</v>
      </c>
      <c r="N1128" s="9">
        <v>0.95</v>
      </c>
      <c r="O1128" s="8">
        <f t="shared" si="51"/>
        <v>9995</v>
      </c>
      <c r="P1128" s="6" t="s">
        <v>15</v>
      </c>
    </row>
    <row r="1129" spans="1:16" x14ac:dyDescent="0.25">
      <c r="A1129" s="6" t="s">
        <v>3920</v>
      </c>
      <c r="B1129" s="7">
        <f t="shared" si="52"/>
        <v>46114</v>
      </c>
      <c r="C1129" s="7">
        <f t="shared" si="53"/>
        <v>46120</v>
      </c>
      <c r="D1129" s="6">
        <v>3280</v>
      </c>
      <c r="E1129" s="6">
        <v>337</v>
      </c>
      <c r="F1129" s="6">
        <v>4</v>
      </c>
      <c r="G1129" s="15">
        <v>1</v>
      </c>
      <c r="H1129" s="15"/>
      <c r="I1129" s="15" t="s">
        <v>1505</v>
      </c>
      <c r="J1129" s="15">
        <v>24903455</v>
      </c>
      <c r="K1129" s="15" t="s">
        <v>1331</v>
      </c>
      <c r="L1129" s="15" t="s">
        <v>1337</v>
      </c>
      <c r="M1129" s="16">
        <v>199900</v>
      </c>
      <c r="N1129" s="9">
        <v>0.95</v>
      </c>
      <c r="O1129" s="8">
        <f t="shared" si="51"/>
        <v>9995</v>
      </c>
      <c r="P1129" s="6" t="s">
        <v>15</v>
      </c>
    </row>
    <row r="1130" spans="1:16" x14ac:dyDescent="0.25">
      <c r="A1130" s="6" t="s">
        <v>3920</v>
      </c>
      <c r="B1130" s="7">
        <f t="shared" si="52"/>
        <v>46114</v>
      </c>
      <c r="C1130" s="7">
        <f t="shared" si="53"/>
        <v>46120</v>
      </c>
      <c r="D1130" s="6">
        <v>3280</v>
      </c>
      <c r="E1130" s="6">
        <v>337</v>
      </c>
      <c r="F1130" s="6">
        <v>4</v>
      </c>
      <c r="G1130" s="15">
        <v>1</v>
      </c>
      <c r="H1130" s="15"/>
      <c r="I1130" s="15" t="s">
        <v>1505</v>
      </c>
      <c r="J1130" s="15">
        <v>24903446</v>
      </c>
      <c r="K1130" s="15" t="s">
        <v>1331</v>
      </c>
      <c r="L1130" s="15" t="s">
        <v>1338</v>
      </c>
      <c r="M1130" s="16">
        <v>199900</v>
      </c>
      <c r="N1130" s="9">
        <v>0.95</v>
      </c>
      <c r="O1130" s="8">
        <f t="shared" si="51"/>
        <v>9995</v>
      </c>
      <c r="P1130" s="6" t="s">
        <v>15</v>
      </c>
    </row>
    <row r="1131" spans="1:16" x14ac:dyDescent="0.25">
      <c r="A1131" s="6" t="s">
        <v>3920</v>
      </c>
      <c r="B1131" s="7">
        <f t="shared" si="52"/>
        <v>46114</v>
      </c>
      <c r="C1131" s="7">
        <f t="shared" si="53"/>
        <v>46120</v>
      </c>
      <c r="D1131" s="6">
        <v>3280</v>
      </c>
      <c r="E1131" s="6">
        <v>337</v>
      </c>
      <c r="F1131" s="6">
        <v>4</v>
      </c>
      <c r="G1131" s="15">
        <v>1</v>
      </c>
      <c r="H1131" s="15"/>
      <c r="I1131" s="15" t="s">
        <v>1505</v>
      </c>
      <c r="J1131" s="15">
        <v>24903473</v>
      </c>
      <c r="K1131" s="15" t="s">
        <v>1331</v>
      </c>
      <c r="L1131" s="15" t="s">
        <v>1339</v>
      </c>
      <c r="M1131" s="16">
        <v>209900</v>
      </c>
      <c r="N1131" s="9">
        <v>0.95</v>
      </c>
      <c r="O1131" s="8">
        <f t="shared" si="51"/>
        <v>10495</v>
      </c>
      <c r="P1131" s="6" t="s">
        <v>15</v>
      </c>
    </row>
    <row r="1132" spans="1:16" x14ac:dyDescent="0.25">
      <c r="A1132" s="6" t="s">
        <v>3920</v>
      </c>
      <c r="B1132" s="7">
        <f t="shared" si="52"/>
        <v>46114</v>
      </c>
      <c r="C1132" s="7">
        <f t="shared" si="53"/>
        <v>46120</v>
      </c>
      <c r="D1132" s="6">
        <v>3280</v>
      </c>
      <c r="E1132" s="6">
        <v>337</v>
      </c>
      <c r="F1132" s="6">
        <v>4</v>
      </c>
      <c r="G1132" s="15">
        <v>1</v>
      </c>
      <c r="H1132" s="15"/>
      <c r="I1132" s="15" t="s">
        <v>1505</v>
      </c>
      <c r="J1132" s="15">
        <v>24692282</v>
      </c>
      <c r="K1132" s="15" t="s">
        <v>1302</v>
      </c>
      <c r="L1132" s="15" t="s">
        <v>1340</v>
      </c>
      <c r="M1132" s="16">
        <v>199900</v>
      </c>
      <c r="N1132" s="9">
        <v>0.95</v>
      </c>
      <c r="O1132" s="8">
        <f t="shared" si="51"/>
        <v>9995</v>
      </c>
      <c r="P1132" s="6" t="s">
        <v>15</v>
      </c>
    </row>
    <row r="1133" spans="1:16" x14ac:dyDescent="0.25">
      <c r="A1133" s="6" t="s">
        <v>3920</v>
      </c>
      <c r="B1133" s="7">
        <f t="shared" si="52"/>
        <v>46114</v>
      </c>
      <c r="C1133" s="7">
        <f t="shared" si="53"/>
        <v>46120</v>
      </c>
      <c r="D1133" s="6">
        <v>3280</v>
      </c>
      <c r="E1133" s="6">
        <v>337</v>
      </c>
      <c r="F1133" s="6">
        <v>4</v>
      </c>
      <c r="G1133" s="15">
        <v>1</v>
      </c>
      <c r="H1133" s="15"/>
      <c r="I1133" s="15" t="s">
        <v>1505</v>
      </c>
      <c r="J1133" s="15">
        <v>24903464</v>
      </c>
      <c r="K1133" s="15" t="s">
        <v>1331</v>
      </c>
      <c r="L1133" s="15" t="s">
        <v>1341</v>
      </c>
      <c r="M1133" s="16">
        <v>199900</v>
      </c>
      <c r="N1133" s="9">
        <v>0.95</v>
      </c>
      <c r="O1133" s="8">
        <f t="shared" si="51"/>
        <v>9995</v>
      </c>
      <c r="P1133" s="6" t="s">
        <v>15</v>
      </c>
    </row>
    <row r="1134" spans="1:16" x14ac:dyDescent="0.25">
      <c r="A1134" s="6" t="s">
        <v>3920</v>
      </c>
      <c r="B1134" s="7">
        <f t="shared" si="52"/>
        <v>46114</v>
      </c>
      <c r="C1134" s="7">
        <f t="shared" si="53"/>
        <v>46120</v>
      </c>
      <c r="D1134" s="6">
        <v>3280</v>
      </c>
      <c r="E1134" s="6">
        <v>337</v>
      </c>
      <c r="F1134" s="6">
        <v>4</v>
      </c>
      <c r="G1134" s="15">
        <v>1</v>
      </c>
      <c r="H1134" s="15"/>
      <c r="I1134" s="15" t="s">
        <v>1505</v>
      </c>
      <c r="J1134" s="15">
        <v>24724792</v>
      </c>
      <c r="K1134" s="15" t="s">
        <v>1314</v>
      </c>
      <c r="L1134" s="15" t="s">
        <v>1342</v>
      </c>
      <c r="M1134" s="16">
        <v>209900</v>
      </c>
      <c r="N1134" s="9">
        <v>0.95</v>
      </c>
      <c r="O1134" s="8">
        <f t="shared" si="51"/>
        <v>10495</v>
      </c>
      <c r="P1134" s="6" t="s">
        <v>15</v>
      </c>
    </row>
    <row r="1135" spans="1:16" x14ac:dyDescent="0.25">
      <c r="A1135" s="6" t="s">
        <v>3920</v>
      </c>
      <c r="B1135" s="7">
        <f t="shared" si="52"/>
        <v>46114</v>
      </c>
      <c r="C1135" s="7">
        <f t="shared" si="53"/>
        <v>46120</v>
      </c>
      <c r="D1135" s="6">
        <v>3280</v>
      </c>
      <c r="E1135" s="6">
        <v>337</v>
      </c>
      <c r="F1135" s="6">
        <v>4</v>
      </c>
      <c r="G1135" s="15">
        <v>1</v>
      </c>
      <c r="H1135" s="15"/>
      <c r="I1135" s="15" t="s">
        <v>1505</v>
      </c>
      <c r="J1135" s="15">
        <v>24692291</v>
      </c>
      <c r="K1135" s="15" t="s">
        <v>1302</v>
      </c>
      <c r="L1135" s="15" t="s">
        <v>1343</v>
      </c>
      <c r="M1135" s="16">
        <v>199900</v>
      </c>
      <c r="N1135" s="9">
        <v>0.95</v>
      </c>
      <c r="O1135" s="8">
        <f t="shared" si="51"/>
        <v>9995</v>
      </c>
      <c r="P1135" s="6" t="s">
        <v>15</v>
      </c>
    </row>
    <row r="1136" spans="1:16" x14ac:dyDescent="0.25">
      <c r="A1136" s="6" t="s">
        <v>3920</v>
      </c>
      <c r="B1136" s="7">
        <f t="shared" si="52"/>
        <v>46114</v>
      </c>
      <c r="C1136" s="7">
        <f t="shared" si="53"/>
        <v>46120</v>
      </c>
      <c r="D1136" s="6">
        <v>3280</v>
      </c>
      <c r="E1136" s="6">
        <v>337</v>
      </c>
      <c r="F1136" s="6">
        <v>4</v>
      </c>
      <c r="G1136" s="15">
        <v>1</v>
      </c>
      <c r="H1136" s="15"/>
      <c r="I1136" s="15" t="s">
        <v>1505</v>
      </c>
      <c r="J1136" s="15">
        <v>24532258</v>
      </c>
      <c r="K1136" s="15" t="s">
        <v>1344</v>
      </c>
      <c r="L1136" s="15" t="s">
        <v>1345</v>
      </c>
      <c r="M1136" s="16">
        <v>239900</v>
      </c>
      <c r="N1136" s="9">
        <v>0.95</v>
      </c>
      <c r="O1136" s="8">
        <f t="shared" si="51"/>
        <v>11995</v>
      </c>
      <c r="P1136" s="6" t="s">
        <v>15</v>
      </c>
    </row>
    <row r="1137" spans="1:16" x14ac:dyDescent="0.25">
      <c r="A1137" s="6" t="s">
        <v>3920</v>
      </c>
      <c r="B1137" s="7">
        <f t="shared" si="52"/>
        <v>46114</v>
      </c>
      <c r="C1137" s="7">
        <f t="shared" si="53"/>
        <v>46120</v>
      </c>
      <c r="D1137" s="6">
        <v>3280</v>
      </c>
      <c r="E1137" s="6">
        <v>337</v>
      </c>
      <c r="F1137" s="6">
        <v>4</v>
      </c>
      <c r="G1137" s="15">
        <v>1</v>
      </c>
      <c r="H1137" s="15"/>
      <c r="I1137" s="15" t="s">
        <v>1505</v>
      </c>
      <c r="J1137" s="15">
        <v>24532267</v>
      </c>
      <c r="K1137" s="15" t="s">
        <v>1344</v>
      </c>
      <c r="L1137" s="15" t="s">
        <v>1346</v>
      </c>
      <c r="M1137" s="16">
        <v>239900</v>
      </c>
      <c r="N1137" s="9">
        <v>0.95</v>
      </c>
      <c r="O1137" s="8">
        <f t="shared" si="51"/>
        <v>11995</v>
      </c>
      <c r="P1137" s="6" t="s">
        <v>15</v>
      </c>
    </row>
    <row r="1138" spans="1:16" x14ac:dyDescent="0.25">
      <c r="A1138" s="6" t="s">
        <v>3920</v>
      </c>
      <c r="B1138" s="7">
        <f t="shared" si="52"/>
        <v>46114</v>
      </c>
      <c r="C1138" s="7">
        <f t="shared" si="53"/>
        <v>46120</v>
      </c>
      <c r="D1138" s="6">
        <v>3280</v>
      </c>
      <c r="E1138" s="6">
        <v>337</v>
      </c>
      <c r="F1138" s="6">
        <v>4</v>
      </c>
      <c r="G1138" s="15">
        <v>1</v>
      </c>
      <c r="H1138" s="15"/>
      <c r="I1138" s="15" t="s">
        <v>1505</v>
      </c>
      <c r="J1138" s="15">
        <v>24532276</v>
      </c>
      <c r="K1138" s="15" t="s">
        <v>1344</v>
      </c>
      <c r="L1138" s="15" t="s">
        <v>1347</v>
      </c>
      <c r="M1138" s="16">
        <v>239900</v>
      </c>
      <c r="N1138" s="9">
        <v>0.95</v>
      </c>
      <c r="O1138" s="8">
        <f t="shared" si="51"/>
        <v>11995</v>
      </c>
      <c r="P1138" s="6" t="s">
        <v>15</v>
      </c>
    </row>
    <row r="1139" spans="1:16" x14ac:dyDescent="0.25">
      <c r="A1139" s="6" t="s">
        <v>3920</v>
      </c>
      <c r="B1139" s="7">
        <f t="shared" si="52"/>
        <v>46114</v>
      </c>
      <c r="C1139" s="7">
        <f t="shared" si="53"/>
        <v>46120</v>
      </c>
      <c r="D1139" s="6">
        <v>3280</v>
      </c>
      <c r="E1139" s="6">
        <v>337</v>
      </c>
      <c r="F1139" s="6">
        <v>4</v>
      </c>
      <c r="G1139" s="15">
        <v>1</v>
      </c>
      <c r="H1139" s="15"/>
      <c r="I1139" s="15" t="s">
        <v>1505</v>
      </c>
      <c r="J1139" s="15">
        <v>24532285</v>
      </c>
      <c r="K1139" s="15" t="s">
        <v>1344</v>
      </c>
      <c r="L1139" s="15" t="s">
        <v>1348</v>
      </c>
      <c r="M1139" s="16">
        <v>249900</v>
      </c>
      <c r="N1139" s="9">
        <v>0.95</v>
      </c>
      <c r="O1139" s="8">
        <f t="shared" si="51"/>
        <v>12495</v>
      </c>
      <c r="P1139" s="6" t="s">
        <v>15</v>
      </c>
    </row>
    <row r="1140" spans="1:16" x14ac:dyDescent="0.25">
      <c r="A1140" s="6" t="s">
        <v>3920</v>
      </c>
      <c r="B1140" s="7">
        <f t="shared" si="52"/>
        <v>46114</v>
      </c>
      <c r="C1140" s="7">
        <f t="shared" si="53"/>
        <v>46120</v>
      </c>
      <c r="D1140" s="6">
        <v>3280</v>
      </c>
      <c r="E1140" s="6">
        <v>337</v>
      </c>
      <c r="F1140" s="6">
        <v>4</v>
      </c>
      <c r="G1140" s="15">
        <v>1</v>
      </c>
      <c r="H1140" s="15"/>
      <c r="I1140" s="15" t="s">
        <v>1505</v>
      </c>
      <c r="J1140" s="15">
        <v>24532294</v>
      </c>
      <c r="K1140" s="15" t="s">
        <v>1344</v>
      </c>
      <c r="L1140" s="15" t="s">
        <v>1349</v>
      </c>
      <c r="M1140" s="16">
        <v>249900</v>
      </c>
      <c r="N1140" s="9">
        <v>0.95</v>
      </c>
      <c r="O1140" s="8">
        <f t="shared" si="51"/>
        <v>12495</v>
      </c>
      <c r="P1140" s="6" t="s">
        <v>15</v>
      </c>
    </row>
    <row r="1141" spans="1:16" x14ac:dyDescent="0.25">
      <c r="A1141" s="6" t="s">
        <v>3920</v>
      </c>
      <c r="B1141" s="7">
        <f t="shared" si="52"/>
        <v>46114</v>
      </c>
      <c r="C1141" s="7">
        <f t="shared" si="53"/>
        <v>46120</v>
      </c>
      <c r="D1141" s="6">
        <v>3280</v>
      </c>
      <c r="E1141" s="6">
        <v>337</v>
      </c>
      <c r="F1141" s="6">
        <v>4</v>
      </c>
      <c r="G1141" s="15">
        <v>1</v>
      </c>
      <c r="H1141" s="15"/>
      <c r="I1141" s="15" t="s">
        <v>1505</v>
      </c>
      <c r="J1141" s="15">
        <v>24532301</v>
      </c>
      <c r="K1141" s="15" t="s">
        <v>1344</v>
      </c>
      <c r="L1141" s="15" t="s">
        <v>1350</v>
      </c>
      <c r="M1141" s="16">
        <v>249900</v>
      </c>
      <c r="N1141" s="9">
        <v>0.95</v>
      </c>
      <c r="O1141" s="8">
        <f t="shared" si="51"/>
        <v>12495</v>
      </c>
      <c r="P1141" s="6" t="s">
        <v>15</v>
      </c>
    </row>
    <row r="1142" spans="1:16" x14ac:dyDescent="0.25">
      <c r="A1142" s="6" t="s">
        <v>3920</v>
      </c>
      <c r="B1142" s="7">
        <f t="shared" si="52"/>
        <v>46114</v>
      </c>
      <c r="C1142" s="7">
        <f t="shared" si="53"/>
        <v>46120</v>
      </c>
      <c r="D1142" s="6">
        <v>3280</v>
      </c>
      <c r="E1142" s="6">
        <v>337</v>
      </c>
      <c r="F1142" s="6">
        <v>4</v>
      </c>
      <c r="G1142" s="15">
        <v>1</v>
      </c>
      <c r="H1142" s="15"/>
      <c r="I1142" s="15" t="s">
        <v>1505</v>
      </c>
      <c r="J1142" s="15">
        <v>24583408</v>
      </c>
      <c r="K1142" s="15" t="s">
        <v>1351</v>
      </c>
      <c r="L1142" s="15" t="s">
        <v>1352</v>
      </c>
      <c r="M1142" s="16">
        <v>239900</v>
      </c>
      <c r="N1142" s="9">
        <v>0.95</v>
      </c>
      <c r="O1142" s="8">
        <f t="shared" si="51"/>
        <v>11995</v>
      </c>
      <c r="P1142" s="6" t="s">
        <v>15</v>
      </c>
    </row>
    <row r="1143" spans="1:16" x14ac:dyDescent="0.25">
      <c r="A1143" s="6" t="s">
        <v>3920</v>
      </c>
      <c r="B1143" s="7">
        <f t="shared" si="52"/>
        <v>46114</v>
      </c>
      <c r="C1143" s="7">
        <f t="shared" si="53"/>
        <v>46120</v>
      </c>
      <c r="D1143" s="6">
        <v>3280</v>
      </c>
      <c r="E1143" s="6">
        <v>337</v>
      </c>
      <c r="F1143" s="6">
        <v>4</v>
      </c>
      <c r="G1143" s="15">
        <v>1</v>
      </c>
      <c r="H1143" s="15"/>
      <c r="I1143" s="15" t="s">
        <v>1505</v>
      </c>
      <c r="J1143" s="15">
        <v>24583640</v>
      </c>
      <c r="K1143" s="15" t="s">
        <v>1353</v>
      </c>
      <c r="L1143" s="15" t="s">
        <v>1354</v>
      </c>
      <c r="M1143" s="16">
        <v>239900</v>
      </c>
      <c r="N1143" s="9">
        <v>0.95</v>
      </c>
      <c r="O1143" s="8">
        <f t="shared" si="51"/>
        <v>11995</v>
      </c>
      <c r="P1143" s="6" t="s">
        <v>15</v>
      </c>
    </row>
    <row r="1144" spans="1:16" x14ac:dyDescent="0.25">
      <c r="A1144" s="6" t="s">
        <v>3920</v>
      </c>
      <c r="B1144" s="7">
        <f t="shared" si="52"/>
        <v>46114</v>
      </c>
      <c r="C1144" s="7">
        <f t="shared" si="53"/>
        <v>46120</v>
      </c>
      <c r="D1144" s="6">
        <v>3280</v>
      </c>
      <c r="E1144" s="6">
        <v>337</v>
      </c>
      <c r="F1144" s="6">
        <v>4</v>
      </c>
      <c r="G1144" s="15">
        <v>1</v>
      </c>
      <c r="H1144" s="15"/>
      <c r="I1144" s="15" t="s">
        <v>1505</v>
      </c>
      <c r="J1144" s="15">
        <v>24583864</v>
      </c>
      <c r="K1144" s="15" t="s">
        <v>1355</v>
      </c>
      <c r="L1144" s="15" t="s">
        <v>1356</v>
      </c>
      <c r="M1144" s="16">
        <v>249900</v>
      </c>
      <c r="N1144" s="9">
        <v>0.95</v>
      </c>
      <c r="O1144" s="8">
        <f t="shared" si="51"/>
        <v>12495</v>
      </c>
      <c r="P1144" s="6" t="s">
        <v>15</v>
      </c>
    </row>
    <row r="1145" spans="1:16" x14ac:dyDescent="0.25">
      <c r="A1145" s="6" t="s">
        <v>3920</v>
      </c>
      <c r="B1145" s="7">
        <f t="shared" si="52"/>
        <v>46114</v>
      </c>
      <c r="C1145" s="7">
        <f t="shared" si="53"/>
        <v>46120</v>
      </c>
      <c r="D1145" s="6">
        <v>3280</v>
      </c>
      <c r="E1145" s="6">
        <v>337</v>
      </c>
      <c r="F1145" s="6">
        <v>4</v>
      </c>
      <c r="G1145" s="15">
        <v>1</v>
      </c>
      <c r="H1145" s="15"/>
      <c r="I1145" s="15" t="s">
        <v>1505</v>
      </c>
      <c r="J1145" s="15">
        <v>24583944</v>
      </c>
      <c r="K1145" s="15" t="s">
        <v>1357</v>
      </c>
      <c r="L1145" s="15" t="s">
        <v>1358</v>
      </c>
      <c r="M1145" s="16">
        <v>209900</v>
      </c>
      <c r="N1145" s="9">
        <v>0.95</v>
      </c>
      <c r="O1145" s="8">
        <f t="shared" si="51"/>
        <v>10495</v>
      </c>
      <c r="P1145" s="6" t="s">
        <v>15</v>
      </c>
    </row>
    <row r="1146" spans="1:16" x14ac:dyDescent="0.25">
      <c r="A1146" s="6" t="s">
        <v>3920</v>
      </c>
      <c r="B1146" s="7">
        <f t="shared" si="52"/>
        <v>46114</v>
      </c>
      <c r="C1146" s="7">
        <f t="shared" si="53"/>
        <v>46120</v>
      </c>
      <c r="D1146" s="6">
        <v>3280</v>
      </c>
      <c r="E1146" s="6">
        <v>337</v>
      </c>
      <c r="F1146" s="6">
        <v>4</v>
      </c>
      <c r="G1146" s="15">
        <v>1</v>
      </c>
      <c r="H1146" s="15"/>
      <c r="I1146" s="15" t="s">
        <v>1505</v>
      </c>
      <c r="J1146" s="15">
        <v>24583953</v>
      </c>
      <c r="K1146" s="15" t="s">
        <v>1357</v>
      </c>
      <c r="L1146" s="15" t="s">
        <v>1359</v>
      </c>
      <c r="M1146" s="16">
        <v>209900</v>
      </c>
      <c r="N1146" s="9">
        <v>0.95</v>
      </c>
      <c r="O1146" s="8">
        <f t="shared" si="51"/>
        <v>10495</v>
      </c>
      <c r="P1146" s="6" t="s">
        <v>15</v>
      </c>
    </row>
    <row r="1147" spans="1:16" x14ac:dyDescent="0.25">
      <c r="A1147" s="6" t="s">
        <v>3920</v>
      </c>
      <c r="B1147" s="7">
        <f t="shared" si="52"/>
        <v>46114</v>
      </c>
      <c r="C1147" s="7">
        <f t="shared" si="53"/>
        <v>46120</v>
      </c>
      <c r="D1147" s="6">
        <v>3280</v>
      </c>
      <c r="E1147" s="6">
        <v>337</v>
      </c>
      <c r="F1147" s="6">
        <v>4</v>
      </c>
      <c r="G1147" s="15">
        <v>1</v>
      </c>
      <c r="H1147" s="15"/>
      <c r="I1147" s="15" t="s">
        <v>1505</v>
      </c>
      <c r="J1147" s="15">
        <v>24583962</v>
      </c>
      <c r="K1147" s="15" t="s">
        <v>1357</v>
      </c>
      <c r="L1147" s="15" t="s">
        <v>1360</v>
      </c>
      <c r="M1147" s="16">
        <v>209900</v>
      </c>
      <c r="N1147" s="9">
        <v>0.95</v>
      </c>
      <c r="O1147" s="8">
        <f t="shared" si="51"/>
        <v>10495</v>
      </c>
      <c r="P1147" s="6" t="s">
        <v>15</v>
      </c>
    </row>
    <row r="1148" spans="1:16" x14ac:dyDescent="0.25">
      <c r="A1148" s="6" t="s">
        <v>3920</v>
      </c>
      <c r="B1148" s="7">
        <f t="shared" si="52"/>
        <v>46114</v>
      </c>
      <c r="C1148" s="7">
        <f t="shared" si="53"/>
        <v>46120</v>
      </c>
      <c r="D1148" s="6">
        <v>3280</v>
      </c>
      <c r="E1148" s="6">
        <v>337</v>
      </c>
      <c r="F1148" s="6">
        <v>4</v>
      </c>
      <c r="G1148" s="15">
        <v>1</v>
      </c>
      <c r="H1148" s="15"/>
      <c r="I1148" s="15" t="s">
        <v>1505</v>
      </c>
      <c r="J1148" s="15">
        <v>24664795</v>
      </c>
      <c r="K1148" s="15" t="s">
        <v>1361</v>
      </c>
      <c r="L1148" s="15" t="s">
        <v>1362</v>
      </c>
      <c r="M1148" s="16">
        <v>199900</v>
      </c>
      <c r="N1148" s="9">
        <v>0.95</v>
      </c>
      <c r="O1148" s="8">
        <f t="shared" si="51"/>
        <v>9995</v>
      </c>
      <c r="P1148" s="6" t="s">
        <v>15</v>
      </c>
    </row>
    <row r="1149" spans="1:16" x14ac:dyDescent="0.25">
      <c r="A1149" s="6" t="s">
        <v>3920</v>
      </c>
      <c r="B1149" s="7">
        <f t="shared" si="52"/>
        <v>46114</v>
      </c>
      <c r="C1149" s="7">
        <f t="shared" si="53"/>
        <v>46120</v>
      </c>
      <c r="D1149" s="6">
        <v>3280</v>
      </c>
      <c r="E1149" s="6">
        <v>337</v>
      </c>
      <c r="F1149" s="6">
        <v>4</v>
      </c>
      <c r="G1149" s="15">
        <v>1</v>
      </c>
      <c r="H1149" s="15"/>
      <c r="I1149" s="15" t="s">
        <v>1505</v>
      </c>
      <c r="J1149" s="15">
        <v>24664802</v>
      </c>
      <c r="K1149" s="15" t="s">
        <v>1361</v>
      </c>
      <c r="L1149" s="15" t="s">
        <v>1363</v>
      </c>
      <c r="M1149" s="16">
        <v>199900</v>
      </c>
      <c r="N1149" s="9">
        <v>0.95</v>
      </c>
      <c r="O1149" s="8">
        <f t="shared" si="51"/>
        <v>9995</v>
      </c>
      <c r="P1149" s="6" t="s">
        <v>15</v>
      </c>
    </row>
    <row r="1150" spans="1:16" x14ac:dyDescent="0.25">
      <c r="A1150" s="6" t="s">
        <v>3920</v>
      </c>
      <c r="B1150" s="7">
        <f t="shared" si="52"/>
        <v>46114</v>
      </c>
      <c r="C1150" s="7">
        <f t="shared" si="53"/>
        <v>46120</v>
      </c>
      <c r="D1150" s="6">
        <v>3280</v>
      </c>
      <c r="E1150" s="6">
        <v>337</v>
      </c>
      <c r="F1150" s="6">
        <v>4</v>
      </c>
      <c r="G1150" s="15">
        <v>1</v>
      </c>
      <c r="H1150" s="15"/>
      <c r="I1150" s="15" t="s">
        <v>1505</v>
      </c>
      <c r="J1150" s="15">
        <v>24664811</v>
      </c>
      <c r="K1150" s="15" t="s">
        <v>1361</v>
      </c>
      <c r="L1150" s="15" t="s">
        <v>1364</v>
      </c>
      <c r="M1150" s="16">
        <v>199900</v>
      </c>
      <c r="N1150" s="9">
        <v>0.95</v>
      </c>
      <c r="O1150" s="8">
        <f t="shared" si="51"/>
        <v>9995</v>
      </c>
      <c r="P1150" s="6" t="s">
        <v>15</v>
      </c>
    </row>
    <row r="1151" spans="1:16" x14ac:dyDescent="0.25">
      <c r="A1151" s="6" t="s">
        <v>3920</v>
      </c>
      <c r="B1151" s="7">
        <f t="shared" si="52"/>
        <v>46114</v>
      </c>
      <c r="C1151" s="7">
        <f t="shared" si="53"/>
        <v>46120</v>
      </c>
      <c r="D1151" s="6">
        <v>3280</v>
      </c>
      <c r="E1151" s="6">
        <v>337</v>
      </c>
      <c r="F1151" s="6">
        <v>4</v>
      </c>
      <c r="G1151" s="15">
        <v>1</v>
      </c>
      <c r="H1151" s="15"/>
      <c r="I1151" s="15" t="s">
        <v>1505</v>
      </c>
      <c r="J1151" s="15">
        <v>24664820</v>
      </c>
      <c r="K1151" s="15" t="s">
        <v>1361</v>
      </c>
      <c r="L1151" s="15" t="s">
        <v>1365</v>
      </c>
      <c r="M1151" s="16">
        <v>209900</v>
      </c>
      <c r="N1151" s="9">
        <v>0.95</v>
      </c>
      <c r="O1151" s="8">
        <f t="shared" si="51"/>
        <v>10495</v>
      </c>
      <c r="P1151" s="6" t="s">
        <v>15</v>
      </c>
    </row>
    <row r="1152" spans="1:16" x14ac:dyDescent="0.25">
      <c r="A1152" s="6" t="s">
        <v>3920</v>
      </c>
      <c r="B1152" s="7">
        <f t="shared" si="52"/>
        <v>46114</v>
      </c>
      <c r="C1152" s="7">
        <f t="shared" si="53"/>
        <v>46120</v>
      </c>
      <c r="D1152" s="6">
        <v>3280</v>
      </c>
      <c r="E1152" s="6">
        <v>337</v>
      </c>
      <c r="F1152" s="6">
        <v>4</v>
      </c>
      <c r="G1152" s="15">
        <v>1</v>
      </c>
      <c r="H1152" s="15"/>
      <c r="I1152" s="15" t="s">
        <v>1505</v>
      </c>
      <c r="J1152" s="15">
        <v>24692399</v>
      </c>
      <c r="K1152" s="15" t="s">
        <v>1366</v>
      </c>
      <c r="L1152" s="15" t="s">
        <v>1367</v>
      </c>
      <c r="M1152" s="16">
        <v>229900</v>
      </c>
      <c r="N1152" s="9">
        <v>0.95</v>
      </c>
      <c r="O1152" s="8">
        <f t="shared" si="51"/>
        <v>11495</v>
      </c>
      <c r="P1152" s="6" t="s">
        <v>15</v>
      </c>
    </row>
    <row r="1153" spans="1:16" x14ac:dyDescent="0.25">
      <c r="A1153" s="6" t="s">
        <v>3920</v>
      </c>
      <c r="B1153" s="7">
        <f t="shared" si="52"/>
        <v>46114</v>
      </c>
      <c r="C1153" s="7">
        <f t="shared" si="53"/>
        <v>46120</v>
      </c>
      <c r="D1153" s="6">
        <v>3280</v>
      </c>
      <c r="E1153" s="6">
        <v>337</v>
      </c>
      <c r="F1153" s="6">
        <v>4</v>
      </c>
      <c r="G1153" s="15">
        <v>1</v>
      </c>
      <c r="H1153" s="15"/>
      <c r="I1153" s="15" t="s">
        <v>1505</v>
      </c>
      <c r="J1153" s="15">
        <v>24693263</v>
      </c>
      <c r="K1153" s="15" t="s">
        <v>1368</v>
      </c>
      <c r="L1153" s="15" t="s">
        <v>1369</v>
      </c>
      <c r="M1153" s="16">
        <v>219900</v>
      </c>
      <c r="N1153" s="9">
        <v>0.95</v>
      </c>
      <c r="O1153" s="8">
        <f t="shared" si="51"/>
        <v>10995</v>
      </c>
      <c r="P1153" s="6" t="s">
        <v>15</v>
      </c>
    </row>
    <row r="1154" spans="1:16" x14ac:dyDescent="0.25">
      <c r="A1154" s="6" t="s">
        <v>3920</v>
      </c>
      <c r="B1154" s="7">
        <f t="shared" si="52"/>
        <v>46114</v>
      </c>
      <c r="C1154" s="7">
        <f t="shared" si="53"/>
        <v>46120</v>
      </c>
      <c r="D1154" s="6">
        <v>3280</v>
      </c>
      <c r="E1154" s="6">
        <v>337</v>
      </c>
      <c r="F1154" s="6">
        <v>4</v>
      </c>
      <c r="G1154" s="15">
        <v>1</v>
      </c>
      <c r="H1154" s="15"/>
      <c r="I1154" s="15" t="s">
        <v>1505</v>
      </c>
      <c r="J1154" s="15">
        <v>24583533</v>
      </c>
      <c r="K1154" s="15" t="s">
        <v>1370</v>
      </c>
      <c r="L1154" s="15" t="s">
        <v>1371</v>
      </c>
      <c r="M1154" s="16">
        <v>229900</v>
      </c>
      <c r="N1154" s="9">
        <v>0.95</v>
      </c>
      <c r="O1154" s="8">
        <f t="shared" ref="O1154:O1217" si="54">M1154-((95*M1154)/100)</f>
        <v>11495</v>
      </c>
      <c r="P1154" s="6" t="s">
        <v>15</v>
      </c>
    </row>
    <row r="1155" spans="1:16" x14ac:dyDescent="0.25">
      <c r="A1155" s="6" t="s">
        <v>3920</v>
      </c>
      <c r="B1155" s="7">
        <f t="shared" si="52"/>
        <v>46114</v>
      </c>
      <c r="C1155" s="7">
        <f t="shared" si="53"/>
        <v>46120</v>
      </c>
      <c r="D1155" s="6">
        <v>3280</v>
      </c>
      <c r="E1155" s="6">
        <v>337</v>
      </c>
      <c r="F1155" s="6">
        <v>4</v>
      </c>
      <c r="G1155" s="15">
        <v>1</v>
      </c>
      <c r="H1155" s="15"/>
      <c r="I1155" s="15" t="s">
        <v>1505</v>
      </c>
      <c r="J1155" s="15">
        <v>24583631</v>
      </c>
      <c r="K1155" s="15" t="s">
        <v>1353</v>
      </c>
      <c r="L1155" s="15" t="s">
        <v>1372</v>
      </c>
      <c r="M1155" s="16">
        <v>239900</v>
      </c>
      <c r="N1155" s="9">
        <v>0.95</v>
      </c>
      <c r="O1155" s="8">
        <f t="shared" si="54"/>
        <v>11995</v>
      </c>
      <c r="P1155" s="6" t="s">
        <v>15</v>
      </c>
    </row>
    <row r="1156" spans="1:16" x14ac:dyDescent="0.25">
      <c r="A1156" s="6" t="s">
        <v>3920</v>
      </c>
      <c r="B1156" s="7">
        <f t="shared" ref="B1156:B1219" si="55">B1155</f>
        <v>46114</v>
      </c>
      <c r="C1156" s="7">
        <f t="shared" ref="C1156:C1219" si="56">C1155</f>
        <v>46120</v>
      </c>
      <c r="D1156" s="6">
        <v>3280</v>
      </c>
      <c r="E1156" s="6">
        <v>337</v>
      </c>
      <c r="F1156" s="6">
        <v>4</v>
      </c>
      <c r="G1156" s="15">
        <v>1</v>
      </c>
      <c r="H1156" s="15"/>
      <c r="I1156" s="15" t="s">
        <v>1505</v>
      </c>
      <c r="J1156" s="15">
        <v>24583926</v>
      </c>
      <c r="K1156" s="15" t="s">
        <v>1357</v>
      </c>
      <c r="L1156" s="15" t="s">
        <v>1373</v>
      </c>
      <c r="M1156" s="16">
        <v>199900</v>
      </c>
      <c r="N1156" s="9">
        <v>0.95</v>
      </c>
      <c r="O1156" s="8">
        <f t="shared" si="54"/>
        <v>9995</v>
      </c>
      <c r="P1156" s="6" t="s">
        <v>15</v>
      </c>
    </row>
    <row r="1157" spans="1:16" x14ac:dyDescent="0.25">
      <c r="A1157" s="6" t="s">
        <v>3920</v>
      </c>
      <c r="B1157" s="7">
        <f t="shared" si="55"/>
        <v>46114</v>
      </c>
      <c r="C1157" s="7">
        <f t="shared" si="56"/>
        <v>46120</v>
      </c>
      <c r="D1157" s="6">
        <v>3280</v>
      </c>
      <c r="E1157" s="6">
        <v>337</v>
      </c>
      <c r="F1157" s="6">
        <v>4</v>
      </c>
      <c r="G1157" s="15">
        <v>1</v>
      </c>
      <c r="H1157" s="15"/>
      <c r="I1157" s="15" t="s">
        <v>1505</v>
      </c>
      <c r="J1157" s="15">
        <v>24583846</v>
      </c>
      <c r="K1157" s="15" t="s">
        <v>1355</v>
      </c>
      <c r="L1157" s="15" t="s">
        <v>1374</v>
      </c>
      <c r="M1157" s="16">
        <v>249900</v>
      </c>
      <c r="N1157" s="9">
        <v>0.95</v>
      </c>
      <c r="O1157" s="8">
        <f t="shared" si="54"/>
        <v>12495</v>
      </c>
      <c r="P1157" s="6" t="s">
        <v>15</v>
      </c>
    </row>
    <row r="1158" spans="1:16" x14ac:dyDescent="0.25">
      <c r="A1158" s="6" t="s">
        <v>3920</v>
      </c>
      <c r="B1158" s="7">
        <f t="shared" si="55"/>
        <v>46114</v>
      </c>
      <c r="C1158" s="7">
        <f t="shared" si="56"/>
        <v>46120</v>
      </c>
      <c r="D1158" s="6">
        <v>3280</v>
      </c>
      <c r="E1158" s="6">
        <v>337</v>
      </c>
      <c r="F1158" s="6">
        <v>4</v>
      </c>
      <c r="G1158" s="15">
        <v>1</v>
      </c>
      <c r="H1158" s="15"/>
      <c r="I1158" s="15" t="s">
        <v>1505</v>
      </c>
      <c r="J1158" s="15">
        <v>24583668</v>
      </c>
      <c r="K1158" s="15" t="s">
        <v>1353</v>
      </c>
      <c r="L1158" s="15" t="s">
        <v>1375</v>
      </c>
      <c r="M1158" s="16">
        <v>249900</v>
      </c>
      <c r="N1158" s="9">
        <v>0.95</v>
      </c>
      <c r="O1158" s="8">
        <f t="shared" si="54"/>
        <v>12495</v>
      </c>
      <c r="P1158" s="6" t="s">
        <v>15</v>
      </c>
    </row>
    <row r="1159" spans="1:16" x14ac:dyDescent="0.25">
      <c r="A1159" s="6" t="s">
        <v>3920</v>
      </c>
      <c r="B1159" s="7">
        <f t="shared" si="55"/>
        <v>46114</v>
      </c>
      <c r="C1159" s="7">
        <f t="shared" si="56"/>
        <v>46120</v>
      </c>
      <c r="D1159" s="6">
        <v>3280</v>
      </c>
      <c r="E1159" s="6">
        <v>337</v>
      </c>
      <c r="F1159" s="6">
        <v>4</v>
      </c>
      <c r="G1159" s="15">
        <v>1</v>
      </c>
      <c r="H1159" s="15"/>
      <c r="I1159" s="15" t="s">
        <v>1505</v>
      </c>
      <c r="J1159" s="15">
        <v>24583506</v>
      </c>
      <c r="K1159" s="15" t="s">
        <v>1370</v>
      </c>
      <c r="L1159" s="15" t="s">
        <v>1376</v>
      </c>
      <c r="M1159" s="16">
        <v>219900</v>
      </c>
      <c r="N1159" s="9">
        <v>0.95</v>
      </c>
      <c r="O1159" s="8">
        <f t="shared" si="54"/>
        <v>10995</v>
      </c>
      <c r="P1159" s="6" t="s">
        <v>15</v>
      </c>
    </row>
    <row r="1160" spans="1:16" x14ac:dyDescent="0.25">
      <c r="A1160" s="6" t="s">
        <v>3920</v>
      </c>
      <c r="B1160" s="7">
        <f t="shared" si="55"/>
        <v>46114</v>
      </c>
      <c r="C1160" s="7">
        <f t="shared" si="56"/>
        <v>46120</v>
      </c>
      <c r="D1160" s="6">
        <v>3280</v>
      </c>
      <c r="E1160" s="6">
        <v>337</v>
      </c>
      <c r="F1160" s="6">
        <v>4</v>
      </c>
      <c r="G1160" s="15">
        <v>1</v>
      </c>
      <c r="H1160" s="15"/>
      <c r="I1160" s="15" t="s">
        <v>1505</v>
      </c>
      <c r="J1160" s="15">
        <v>24583837</v>
      </c>
      <c r="K1160" s="15" t="s">
        <v>1355</v>
      </c>
      <c r="L1160" s="15" t="s">
        <v>1377</v>
      </c>
      <c r="M1160" s="16">
        <v>239900</v>
      </c>
      <c r="N1160" s="9">
        <v>0.95</v>
      </c>
      <c r="O1160" s="8">
        <f t="shared" si="54"/>
        <v>11995</v>
      </c>
      <c r="P1160" s="6" t="s">
        <v>15</v>
      </c>
    </row>
    <row r="1161" spans="1:16" x14ac:dyDescent="0.25">
      <c r="A1161" s="6" t="s">
        <v>3920</v>
      </c>
      <c r="B1161" s="7">
        <f t="shared" si="55"/>
        <v>46114</v>
      </c>
      <c r="C1161" s="7">
        <f t="shared" si="56"/>
        <v>46120</v>
      </c>
      <c r="D1161" s="6">
        <v>3280</v>
      </c>
      <c r="E1161" s="6">
        <v>337</v>
      </c>
      <c r="F1161" s="6">
        <v>4</v>
      </c>
      <c r="G1161" s="15">
        <v>1</v>
      </c>
      <c r="H1161" s="15"/>
      <c r="I1161" s="15" t="s">
        <v>1505</v>
      </c>
      <c r="J1161" s="15">
        <v>24692380</v>
      </c>
      <c r="K1161" s="15" t="s">
        <v>1366</v>
      </c>
      <c r="L1161" s="15" t="s">
        <v>1378</v>
      </c>
      <c r="M1161" s="16">
        <v>229900</v>
      </c>
      <c r="N1161" s="9">
        <v>0.95</v>
      </c>
      <c r="O1161" s="8">
        <f t="shared" si="54"/>
        <v>11495</v>
      </c>
      <c r="P1161" s="6" t="s">
        <v>15</v>
      </c>
    </row>
    <row r="1162" spans="1:16" x14ac:dyDescent="0.25">
      <c r="A1162" s="6" t="s">
        <v>3920</v>
      </c>
      <c r="B1162" s="7">
        <f t="shared" si="55"/>
        <v>46114</v>
      </c>
      <c r="C1162" s="7">
        <f t="shared" si="56"/>
        <v>46120</v>
      </c>
      <c r="D1162" s="6">
        <v>3280</v>
      </c>
      <c r="E1162" s="6">
        <v>337</v>
      </c>
      <c r="F1162" s="6">
        <v>4</v>
      </c>
      <c r="G1162" s="15">
        <v>1</v>
      </c>
      <c r="H1162" s="15"/>
      <c r="I1162" s="15" t="s">
        <v>1505</v>
      </c>
      <c r="J1162" s="15">
        <v>24583855</v>
      </c>
      <c r="K1162" s="15" t="s">
        <v>1355</v>
      </c>
      <c r="L1162" s="15" t="s">
        <v>1379</v>
      </c>
      <c r="M1162" s="16">
        <v>249900</v>
      </c>
      <c r="N1162" s="9">
        <v>0.95</v>
      </c>
      <c r="O1162" s="8">
        <f t="shared" si="54"/>
        <v>12495</v>
      </c>
      <c r="P1162" s="6" t="s">
        <v>15</v>
      </c>
    </row>
    <row r="1163" spans="1:16" x14ac:dyDescent="0.25">
      <c r="A1163" s="6" t="s">
        <v>3920</v>
      </c>
      <c r="B1163" s="7">
        <f t="shared" si="55"/>
        <v>46114</v>
      </c>
      <c r="C1163" s="7">
        <f t="shared" si="56"/>
        <v>46120</v>
      </c>
      <c r="D1163" s="6">
        <v>3280</v>
      </c>
      <c r="E1163" s="6">
        <v>337</v>
      </c>
      <c r="F1163" s="6">
        <v>4</v>
      </c>
      <c r="G1163" s="15">
        <v>1</v>
      </c>
      <c r="H1163" s="15"/>
      <c r="I1163" s="15" t="s">
        <v>1505</v>
      </c>
      <c r="J1163" s="15">
        <v>24583391</v>
      </c>
      <c r="K1163" s="15" t="s">
        <v>1351</v>
      </c>
      <c r="L1163" s="15" t="s">
        <v>1380</v>
      </c>
      <c r="M1163" s="16">
        <v>239900</v>
      </c>
      <c r="N1163" s="9">
        <v>0.95</v>
      </c>
      <c r="O1163" s="8">
        <f t="shared" si="54"/>
        <v>11995</v>
      </c>
      <c r="P1163" s="6" t="s">
        <v>15</v>
      </c>
    </row>
    <row r="1164" spans="1:16" x14ac:dyDescent="0.25">
      <c r="A1164" s="6" t="s">
        <v>3920</v>
      </c>
      <c r="B1164" s="7">
        <f t="shared" si="55"/>
        <v>46114</v>
      </c>
      <c r="C1164" s="7">
        <f t="shared" si="56"/>
        <v>46120</v>
      </c>
      <c r="D1164" s="6">
        <v>3280</v>
      </c>
      <c r="E1164" s="6">
        <v>337</v>
      </c>
      <c r="F1164" s="6">
        <v>4</v>
      </c>
      <c r="G1164" s="15">
        <v>1</v>
      </c>
      <c r="H1164" s="15"/>
      <c r="I1164" s="15" t="s">
        <v>1505</v>
      </c>
      <c r="J1164" s="15">
        <v>24583364</v>
      </c>
      <c r="K1164" s="15" t="s">
        <v>1351</v>
      </c>
      <c r="L1164" s="15" t="s">
        <v>1381</v>
      </c>
      <c r="M1164" s="16">
        <v>229900</v>
      </c>
      <c r="N1164" s="9">
        <v>0.95</v>
      </c>
      <c r="O1164" s="8">
        <f t="shared" si="54"/>
        <v>11495</v>
      </c>
      <c r="P1164" s="6" t="s">
        <v>15</v>
      </c>
    </row>
    <row r="1165" spans="1:16" x14ac:dyDescent="0.25">
      <c r="A1165" s="6" t="s">
        <v>3920</v>
      </c>
      <c r="B1165" s="7">
        <f t="shared" si="55"/>
        <v>46114</v>
      </c>
      <c r="C1165" s="7">
        <f t="shared" si="56"/>
        <v>46120</v>
      </c>
      <c r="D1165" s="6">
        <v>3280</v>
      </c>
      <c r="E1165" s="6">
        <v>337</v>
      </c>
      <c r="F1165" s="6">
        <v>4</v>
      </c>
      <c r="G1165" s="15">
        <v>1</v>
      </c>
      <c r="H1165" s="15"/>
      <c r="I1165" s="15" t="s">
        <v>1505</v>
      </c>
      <c r="J1165" s="15">
        <v>24583515</v>
      </c>
      <c r="K1165" s="15" t="s">
        <v>1370</v>
      </c>
      <c r="L1165" s="15" t="s">
        <v>1382</v>
      </c>
      <c r="M1165" s="16">
        <v>219900</v>
      </c>
      <c r="N1165" s="9">
        <v>0.95</v>
      </c>
      <c r="O1165" s="8">
        <f t="shared" si="54"/>
        <v>10995</v>
      </c>
      <c r="P1165" s="6" t="s">
        <v>15</v>
      </c>
    </row>
    <row r="1166" spans="1:16" x14ac:dyDescent="0.25">
      <c r="A1166" s="6" t="s">
        <v>3920</v>
      </c>
      <c r="B1166" s="7">
        <f t="shared" si="55"/>
        <v>46114</v>
      </c>
      <c r="C1166" s="7">
        <f t="shared" si="56"/>
        <v>46120</v>
      </c>
      <c r="D1166" s="6">
        <v>3280</v>
      </c>
      <c r="E1166" s="6">
        <v>337</v>
      </c>
      <c r="F1166" s="6">
        <v>4</v>
      </c>
      <c r="G1166" s="15">
        <v>1</v>
      </c>
      <c r="H1166" s="15"/>
      <c r="I1166" s="15" t="s">
        <v>1505</v>
      </c>
      <c r="J1166" s="15">
        <v>24583828</v>
      </c>
      <c r="K1166" s="15" t="s">
        <v>1355</v>
      </c>
      <c r="L1166" s="15" t="s">
        <v>1383</v>
      </c>
      <c r="M1166" s="16">
        <v>239900</v>
      </c>
      <c r="N1166" s="9">
        <v>0.95</v>
      </c>
      <c r="O1166" s="8">
        <f t="shared" si="54"/>
        <v>11995</v>
      </c>
      <c r="P1166" s="6" t="s">
        <v>15</v>
      </c>
    </row>
    <row r="1167" spans="1:16" x14ac:dyDescent="0.25">
      <c r="A1167" s="6" t="s">
        <v>3920</v>
      </c>
      <c r="B1167" s="7">
        <f t="shared" si="55"/>
        <v>46114</v>
      </c>
      <c r="C1167" s="7">
        <f t="shared" si="56"/>
        <v>46120</v>
      </c>
      <c r="D1167" s="6">
        <v>3280</v>
      </c>
      <c r="E1167" s="6">
        <v>337</v>
      </c>
      <c r="F1167" s="6">
        <v>4</v>
      </c>
      <c r="G1167" s="15">
        <v>1</v>
      </c>
      <c r="H1167" s="15"/>
      <c r="I1167" s="15" t="s">
        <v>1505</v>
      </c>
      <c r="J1167" s="15">
        <v>24692362</v>
      </c>
      <c r="K1167" s="15" t="s">
        <v>1366</v>
      </c>
      <c r="L1167" s="15" t="s">
        <v>1384</v>
      </c>
      <c r="M1167" s="16">
        <v>219900</v>
      </c>
      <c r="N1167" s="9">
        <v>0.95</v>
      </c>
      <c r="O1167" s="8">
        <f t="shared" si="54"/>
        <v>10995</v>
      </c>
      <c r="P1167" s="6" t="s">
        <v>15</v>
      </c>
    </row>
    <row r="1168" spans="1:16" x14ac:dyDescent="0.25">
      <c r="A1168" s="6" t="s">
        <v>3920</v>
      </c>
      <c r="B1168" s="7">
        <f t="shared" si="55"/>
        <v>46114</v>
      </c>
      <c r="C1168" s="7">
        <f t="shared" si="56"/>
        <v>46120</v>
      </c>
      <c r="D1168" s="6">
        <v>3280</v>
      </c>
      <c r="E1168" s="6">
        <v>337</v>
      </c>
      <c r="F1168" s="6">
        <v>4</v>
      </c>
      <c r="G1168" s="15">
        <v>1</v>
      </c>
      <c r="H1168" s="15"/>
      <c r="I1168" s="15" t="s">
        <v>1505</v>
      </c>
      <c r="J1168" s="15">
        <v>24583524</v>
      </c>
      <c r="K1168" s="15" t="s">
        <v>1370</v>
      </c>
      <c r="L1168" s="15" t="s">
        <v>1385</v>
      </c>
      <c r="M1168" s="16">
        <v>229900</v>
      </c>
      <c r="N1168" s="9">
        <v>0.95</v>
      </c>
      <c r="O1168" s="8">
        <f t="shared" si="54"/>
        <v>11495</v>
      </c>
      <c r="P1168" s="6" t="s">
        <v>15</v>
      </c>
    </row>
    <row r="1169" spans="1:16" x14ac:dyDescent="0.25">
      <c r="A1169" s="6" t="s">
        <v>3920</v>
      </c>
      <c r="B1169" s="7">
        <f t="shared" si="55"/>
        <v>46114</v>
      </c>
      <c r="C1169" s="7">
        <f t="shared" si="56"/>
        <v>46120</v>
      </c>
      <c r="D1169" s="6">
        <v>3280</v>
      </c>
      <c r="E1169" s="6">
        <v>337</v>
      </c>
      <c r="F1169" s="6">
        <v>4</v>
      </c>
      <c r="G1169" s="15">
        <v>1</v>
      </c>
      <c r="H1169" s="15"/>
      <c r="I1169" s="15" t="s">
        <v>1505</v>
      </c>
      <c r="J1169" s="15">
        <v>24664839</v>
      </c>
      <c r="K1169" s="15" t="s">
        <v>1361</v>
      </c>
      <c r="L1169" s="15" t="s">
        <v>1386</v>
      </c>
      <c r="M1169" s="16">
        <v>209900</v>
      </c>
      <c r="N1169" s="9">
        <v>0.95</v>
      </c>
      <c r="O1169" s="8">
        <f t="shared" si="54"/>
        <v>10495</v>
      </c>
      <c r="P1169" s="6" t="s">
        <v>15</v>
      </c>
    </row>
    <row r="1170" spans="1:16" x14ac:dyDescent="0.25">
      <c r="A1170" s="6" t="s">
        <v>3920</v>
      </c>
      <c r="B1170" s="7">
        <f t="shared" si="55"/>
        <v>46114</v>
      </c>
      <c r="C1170" s="7">
        <f t="shared" si="56"/>
        <v>46120</v>
      </c>
      <c r="D1170" s="6">
        <v>3280</v>
      </c>
      <c r="E1170" s="6">
        <v>337</v>
      </c>
      <c r="F1170" s="6">
        <v>4</v>
      </c>
      <c r="G1170" s="15">
        <v>1</v>
      </c>
      <c r="H1170" s="15"/>
      <c r="I1170" s="15" t="s">
        <v>1505</v>
      </c>
      <c r="J1170" s="15">
        <v>24583677</v>
      </c>
      <c r="K1170" s="15" t="s">
        <v>1353</v>
      </c>
      <c r="L1170" s="15" t="s">
        <v>1387</v>
      </c>
      <c r="M1170" s="16">
        <v>249900</v>
      </c>
      <c r="N1170" s="9">
        <v>0.95</v>
      </c>
      <c r="O1170" s="8">
        <f t="shared" si="54"/>
        <v>12495</v>
      </c>
      <c r="P1170" s="6" t="s">
        <v>15</v>
      </c>
    </row>
    <row r="1171" spans="1:16" x14ac:dyDescent="0.25">
      <c r="A1171" s="6" t="s">
        <v>3920</v>
      </c>
      <c r="B1171" s="7">
        <f t="shared" si="55"/>
        <v>46114</v>
      </c>
      <c r="C1171" s="7">
        <f t="shared" si="56"/>
        <v>46120</v>
      </c>
      <c r="D1171" s="6">
        <v>3280</v>
      </c>
      <c r="E1171" s="6">
        <v>337</v>
      </c>
      <c r="F1171" s="6">
        <v>4</v>
      </c>
      <c r="G1171" s="15">
        <v>1</v>
      </c>
      <c r="H1171" s="15"/>
      <c r="I1171" s="15" t="s">
        <v>1505</v>
      </c>
      <c r="J1171" s="15">
        <v>24693281</v>
      </c>
      <c r="K1171" s="15" t="s">
        <v>1368</v>
      </c>
      <c r="L1171" s="15" t="s">
        <v>1388</v>
      </c>
      <c r="M1171" s="16">
        <v>219900</v>
      </c>
      <c r="N1171" s="9">
        <v>0.95</v>
      </c>
      <c r="O1171" s="8">
        <f t="shared" si="54"/>
        <v>10995</v>
      </c>
      <c r="P1171" s="6" t="s">
        <v>15</v>
      </c>
    </row>
    <row r="1172" spans="1:16" x14ac:dyDescent="0.25">
      <c r="A1172" s="6" t="s">
        <v>3920</v>
      </c>
      <c r="B1172" s="7">
        <f t="shared" si="55"/>
        <v>46114</v>
      </c>
      <c r="C1172" s="7">
        <f t="shared" si="56"/>
        <v>46120</v>
      </c>
      <c r="D1172" s="6">
        <v>3280</v>
      </c>
      <c r="E1172" s="6">
        <v>337</v>
      </c>
      <c r="F1172" s="6">
        <v>4</v>
      </c>
      <c r="G1172" s="15">
        <v>1</v>
      </c>
      <c r="H1172" s="15"/>
      <c r="I1172" s="15" t="s">
        <v>1505</v>
      </c>
      <c r="J1172" s="15">
        <v>24583542</v>
      </c>
      <c r="K1172" s="15" t="s">
        <v>1370</v>
      </c>
      <c r="L1172" s="15" t="s">
        <v>1389</v>
      </c>
      <c r="M1172" s="16">
        <v>229900</v>
      </c>
      <c r="N1172" s="9">
        <v>0.95</v>
      </c>
      <c r="O1172" s="8">
        <f t="shared" si="54"/>
        <v>11495</v>
      </c>
      <c r="P1172" s="6" t="s">
        <v>15</v>
      </c>
    </row>
    <row r="1173" spans="1:16" x14ac:dyDescent="0.25">
      <c r="A1173" s="6" t="s">
        <v>3920</v>
      </c>
      <c r="B1173" s="7">
        <f t="shared" si="55"/>
        <v>46114</v>
      </c>
      <c r="C1173" s="7">
        <f t="shared" si="56"/>
        <v>46120</v>
      </c>
      <c r="D1173" s="6">
        <v>3280</v>
      </c>
      <c r="E1173" s="6">
        <v>337</v>
      </c>
      <c r="F1173" s="6">
        <v>4</v>
      </c>
      <c r="G1173" s="15">
        <v>1</v>
      </c>
      <c r="H1173" s="15"/>
      <c r="I1173" s="15" t="s">
        <v>1505</v>
      </c>
      <c r="J1173" s="15">
        <v>24583659</v>
      </c>
      <c r="K1173" s="15" t="s">
        <v>1353</v>
      </c>
      <c r="L1173" s="15" t="s">
        <v>1390</v>
      </c>
      <c r="M1173" s="16">
        <v>249900</v>
      </c>
      <c r="N1173" s="9">
        <v>0.95</v>
      </c>
      <c r="O1173" s="8">
        <f t="shared" si="54"/>
        <v>12495</v>
      </c>
      <c r="P1173" s="6" t="s">
        <v>15</v>
      </c>
    </row>
    <row r="1174" spans="1:16" x14ac:dyDescent="0.25">
      <c r="A1174" s="6" t="s">
        <v>3920</v>
      </c>
      <c r="B1174" s="7">
        <f t="shared" si="55"/>
        <v>46114</v>
      </c>
      <c r="C1174" s="7">
        <f t="shared" si="56"/>
        <v>46120</v>
      </c>
      <c r="D1174" s="6">
        <v>3280</v>
      </c>
      <c r="E1174" s="6">
        <v>337</v>
      </c>
      <c r="F1174" s="6">
        <v>4</v>
      </c>
      <c r="G1174" s="15">
        <v>1</v>
      </c>
      <c r="H1174" s="15"/>
      <c r="I1174" s="15" t="s">
        <v>1505</v>
      </c>
      <c r="J1174" s="15">
        <v>24583382</v>
      </c>
      <c r="K1174" s="15" t="s">
        <v>1351</v>
      </c>
      <c r="L1174" s="15" t="s">
        <v>1391</v>
      </c>
      <c r="M1174" s="16">
        <v>239900</v>
      </c>
      <c r="N1174" s="9">
        <v>0.95</v>
      </c>
      <c r="O1174" s="8">
        <f t="shared" si="54"/>
        <v>11995</v>
      </c>
      <c r="P1174" s="6" t="s">
        <v>15</v>
      </c>
    </row>
    <row r="1175" spans="1:16" x14ac:dyDescent="0.25">
      <c r="A1175" s="6" t="s">
        <v>3920</v>
      </c>
      <c r="B1175" s="7">
        <f t="shared" si="55"/>
        <v>46114</v>
      </c>
      <c r="C1175" s="7">
        <f t="shared" si="56"/>
        <v>46120</v>
      </c>
      <c r="D1175" s="6">
        <v>3280</v>
      </c>
      <c r="E1175" s="6">
        <v>337</v>
      </c>
      <c r="F1175" s="6">
        <v>4</v>
      </c>
      <c r="G1175" s="15">
        <v>1</v>
      </c>
      <c r="H1175" s="15"/>
      <c r="I1175" s="15" t="s">
        <v>1505</v>
      </c>
      <c r="J1175" s="15">
        <v>24583499</v>
      </c>
      <c r="K1175" s="15" t="s">
        <v>1370</v>
      </c>
      <c r="L1175" s="15" t="s">
        <v>1392</v>
      </c>
      <c r="M1175" s="16">
        <v>219900</v>
      </c>
      <c r="N1175" s="9">
        <v>0.95</v>
      </c>
      <c r="O1175" s="8">
        <f t="shared" si="54"/>
        <v>10995</v>
      </c>
      <c r="P1175" s="6" t="s">
        <v>15</v>
      </c>
    </row>
    <row r="1176" spans="1:16" x14ac:dyDescent="0.25">
      <c r="A1176" s="6" t="s">
        <v>3920</v>
      </c>
      <c r="B1176" s="7">
        <f t="shared" si="55"/>
        <v>46114</v>
      </c>
      <c r="C1176" s="7">
        <f t="shared" si="56"/>
        <v>46120</v>
      </c>
      <c r="D1176" s="6">
        <v>3280</v>
      </c>
      <c r="E1176" s="6">
        <v>337</v>
      </c>
      <c r="F1176" s="6">
        <v>4</v>
      </c>
      <c r="G1176" s="15">
        <v>1</v>
      </c>
      <c r="H1176" s="15"/>
      <c r="I1176" s="15" t="s">
        <v>1505</v>
      </c>
      <c r="J1176" s="15">
        <v>24664848</v>
      </c>
      <c r="K1176" s="15" t="s">
        <v>1361</v>
      </c>
      <c r="L1176" s="15" t="s">
        <v>1393</v>
      </c>
      <c r="M1176" s="16">
        <v>209900</v>
      </c>
      <c r="N1176" s="9">
        <v>0.95</v>
      </c>
      <c r="O1176" s="8">
        <f t="shared" si="54"/>
        <v>10495</v>
      </c>
      <c r="P1176" s="6" t="s">
        <v>15</v>
      </c>
    </row>
    <row r="1177" spans="1:16" x14ac:dyDescent="0.25">
      <c r="A1177" s="6" t="s">
        <v>3920</v>
      </c>
      <c r="B1177" s="7">
        <f t="shared" si="55"/>
        <v>46114</v>
      </c>
      <c r="C1177" s="7">
        <f t="shared" si="56"/>
        <v>46120</v>
      </c>
      <c r="D1177" s="6">
        <v>3280</v>
      </c>
      <c r="E1177" s="6">
        <v>337</v>
      </c>
      <c r="F1177" s="6">
        <v>4</v>
      </c>
      <c r="G1177" s="15">
        <v>1</v>
      </c>
      <c r="H1177" s="15"/>
      <c r="I1177" s="15" t="s">
        <v>1505</v>
      </c>
      <c r="J1177" s="15">
        <v>24692353</v>
      </c>
      <c r="K1177" s="15" t="s">
        <v>1366</v>
      </c>
      <c r="L1177" s="15" t="s">
        <v>1394</v>
      </c>
      <c r="M1177" s="16">
        <v>219900</v>
      </c>
      <c r="N1177" s="9">
        <v>0.95</v>
      </c>
      <c r="O1177" s="8">
        <f t="shared" si="54"/>
        <v>10995</v>
      </c>
      <c r="P1177" s="6" t="s">
        <v>15</v>
      </c>
    </row>
    <row r="1178" spans="1:16" x14ac:dyDescent="0.25">
      <c r="A1178" s="6" t="s">
        <v>3920</v>
      </c>
      <c r="B1178" s="7">
        <f t="shared" si="55"/>
        <v>46114</v>
      </c>
      <c r="C1178" s="7">
        <f t="shared" si="56"/>
        <v>46120</v>
      </c>
      <c r="D1178" s="6">
        <v>3280</v>
      </c>
      <c r="E1178" s="6">
        <v>337</v>
      </c>
      <c r="F1178" s="6">
        <v>4</v>
      </c>
      <c r="G1178" s="15">
        <v>1</v>
      </c>
      <c r="H1178" s="15"/>
      <c r="I1178" s="15" t="s">
        <v>1505</v>
      </c>
      <c r="J1178" s="15">
        <v>24583622</v>
      </c>
      <c r="K1178" s="15" t="s">
        <v>1353</v>
      </c>
      <c r="L1178" s="15" t="s">
        <v>1395</v>
      </c>
      <c r="M1178" s="16">
        <v>239900</v>
      </c>
      <c r="N1178" s="9">
        <v>0.95</v>
      </c>
      <c r="O1178" s="8">
        <f t="shared" si="54"/>
        <v>11995</v>
      </c>
      <c r="P1178" s="6" t="s">
        <v>15</v>
      </c>
    </row>
    <row r="1179" spans="1:16" x14ac:dyDescent="0.25">
      <c r="A1179" s="6" t="s">
        <v>3920</v>
      </c>
      <c r="B1179" s="7">
        <f t="shared" si="55"/>
        <v>46114</v>
      </c>
      <c r="C1179" s="7">
        <f t="shared" si="56"/>
        <v>46120</v>
      </c>
      <c r="D1179" s="6">
        <v>3280</v>
      </c>
      <c r="E1179" s="6">
        <v>337</v>
      </c>
      <c r="F1179" s="6">
        <v>4</v>
      </c>
      <c r="G1179" s="15">
        <v>1</v>
      </c>
      <c r="H1179" s="15"/>
      <c r="I1179" s="15" t="s">
        <v>1505</v>
      </c>
      <c r="J1179" s="15">
        <v>24692344</v>
      </c>
      <c r="K1179" s="15" t="s">
        <v>1366</v>
      </c>
      <c r="L1179" s="15" t="s">
        <v>1396</v>
      </c>
      <c r="M1179" s="16">
        <v>219900</v>
      </c>
      <c r="N1179" s="9">
        <v>0.95</v>
      </c>
      <c r="O1179" s="8">
        <f t="shared" si="54"/>
        <v>10995</v>
      </c>
      <c r="P1179" s="6" t="s">
        <v>15</v>
      </c>
    </row>
    <row r="1180" spans="1:16" x14ac:dyDescent="0.25">
      <c r="A1180" s="6" t="s">
        <v>3920</v>
      </c>
      <c r="B1180" s="7">
        <f t="shared" si="55"/>
        <v>46114</v>
      </c>
      <c r="C1180" s="7">
        <f t="shared" si="56"/>
        <v>46120</v>
      </c>
      <c r="D1180" s="6">
        <v>3280</v>
      </c>
      <c r="E1180" s="6">
        <v>337</v>
      </c>
      <c r="F1180" s="6">
        <v>4</v>
      </c>
      <c r="G1180" s="15">
        <v>1</v>
      </c>
      <c r="H1180" s="15"/>
      <c r="I1180" s="15" t="s">
        <v>1505</v>
      </c>
      <c r="J1180" s="15">
        <v>24693272</v>
      </c>
      <c r="K1180" s="15" t="s">
        <v>1368</v>
      </c>
      <c r="L1180" s="15" t="s">
        <v>1397</v>
      </c>
      <c r="M1180" s="16">
        <v>219900</v>
      </c>
      <c r="N1180" s="9">
        <v>0.95</v>
      </c>
      <c r="O1180" s="8">
        <f t="shared" si="54"/>
        <v>10995</v>
      </c>
      <c r="P1180" s="6" t="s">
        <v>15</v>
      </c>
    </row>
    <row r="1181" spans="1:16" x14ac:dyDescent="0.25">
      <c r="A1181" s="6" t="s">
        <v>3920</v>
      </c>
      <c r="B1181" s="7">
        <f t="shared" si="55"/>
        <v>46114</v>
      </c>
      <c r="C1181" s="7">
        <f t="shared" si="56"/>
        <v>46120</v>
      </c>
      <c r="D1181" s="6">
        <v>3280</v>
      </c>
      <c r="E1181" s="6">
        <v>337</v>
      </c>
      <c r="F1181" s="6">
        <v>4</v>
      </c>
      <c r="G1181" s="15">
        <v>1</v>
      </c>
      <c r="H1181" s="15"/>
      <c r="I1181" s="15" t="s">
        <v>1505</v>
      </c>
      <c r="J1181" s="15">
        <v>24583819</v>
      </c>
      <c r="K1181" s="15" t="s">
        <v>1355</v>
      </c>
      <c r="L1181" s="15" t="s">
        <v>1398</v>
      </c>
      <c r="M1181" s="16">
        <v>239900</v>
      </c>
      <c r="N1181" s="9">
        <v>0.95</v>
      </c>
      <c r="O1181" s="8">
        <f t="shared" si="54"/>
        <v>11995</v>
      </c>
      <c r="P1181" s="6" t="s">
        <v>15</v>
      </c>
    </row>
    <row r="1182" spans="1:16" x14ac:dyDescent="0.25">
      <c r="A1182" s="6" t="s">
        <v>3920</v>
      </c>
      <c r="B1182" s="7">
        <f t="shared" si="55"/>
        <v>46114</v>
      </c>
      <c r="C1182" s="7">
        <f t="shared" si="56"/>
        <v>46120</v>
      </c>
      <c r="D1182" s="6">
        <v>3280</v>
      </c>
      <c r="E1182" s="6">
        <v>337</v>
      </c>
      <c r="F1182" s="6">
        <v>4</v>
      </c>
      <c r="G1182" s="15">
        <v>1</v>
      </c>
      <c r="H1182" s="15"/>
      <c r="I1182" s="15" t="s">
        <v>1505</v>
      </c>
      <c r="J1182" s="15">
        <v>24692371</v>
      </c>
      <c r="K1182" s="15" t="s">
        <v>1366</v>
      </c>
      <c r="L1182" s="15" t="s">
        <v>1399</v>
      </c>
      <c r="M1182" s="16">
        <v>229900</v>
      </c>
      <c r="N1182" s="9">
        <v>0.95</v>
      </c>
      <c r="O1182" s="8">
        <f t="shared" si="54"/>
        <v>11495</v>
      </c>
      <c r="P1182" s="6" t="s">
        <v>15</v>
      </c>
    </row>
    <row r="1183" spans="1:16" x14ac:dyDescent="0.25">
      <c r="A1183" s="6" t="s">
        <v>3920</v>
      </c>
      <c r="B1183" s="7">
        <f t="shared" si="55"/>
        <v>46114</v>
      </c>
      <c r="C1183" s="7">
        <f t="shared" si="56"/>
        <v>46120</v>
      </c>
      <c r="D1183" s="6">
        <v>3280</v>
      </c>
      <c r="E1183" s="6">
        <v>337</v>
      </c>
      <c r="F1183" s="6">
        <v>4</v>
      </c>
      <c r="G1183" s="15">
        <v>1</v>
      </c>
      <c r="H1183" s="15"/>
      <c r="I1183" s="15" t="s">
        <v>1505</v>
      </c>
      <c r="J1183" s="15">
        <v>24583935</v>
      </c>
      <c r="K1183" s="15" t="s">
        <v>1357</v>
      </c>
      <c r="L1183" s="15" t="s">
        <v>1400</v>
      </c>
      <c r="M1183" s="16">
        <v>199900</v>
      </c>
      <c r="N1183" s="9">
        <v>0.95</v>
      </c>
      <c r="O1183" s="8">
        <f t="shared" si="54"/>
        <v>9995</v>
      </c>
      <c r="P1183" s="6" t="s">
        <v>15</v>
      </c>
    </row>
    <row r="1184" spans="1:16" x14ac:dyDescent="0.25">
      <c r="A1184" s="6" t="s">
        <v>3920</v>
      </c>
      <c r="B1184" s="7">
        <f t="shared" si="55"/>
        <v>46114</v>
      </c>
      <c r="C1184" s="7">
        <f t="shared" si="56"/>
        <v>46120</v>
      </c>
      <c r="D1184" s="6">
        <v>3280</v>
      </c>
      <c r="E1184" s="6">
        <v>337</v>
      </c>
      <c r="F1184" s="6">
        <v>4</v>
      </c>
      <c r="G1184" s="15">
        <v>1</v>
      </c>
      <c r="H1184" s="15"/>
      <c r="I1184" s="15" t="s">
        <v>1505</v>
      </c>
      <c r="J1184" s="15">
        <v>24583355</v>
      </c>
      <c r="K1184" s="15" t="s">
        <v>1351</v>
      </c>
      <c r="L1184" s="15" t="s">
        <v>1401</v>
      </c>
      <c r="M1184" s="16">
        <v>229900</v>
      </c>
      <c r="N1184" s="9">
        <v>0.95</v>
      </c>
      <c r="O1184" s="8">
        <f t="shared" si="54"/>
        <v>11495</v>
      </c>
      <c r="P1184" s="6" t="s">
        <v>15</v>
      </c>
    </row>
    <row r="1185" spans="1:16" x14ac:dyDescent="0.25">
      <c r="A1185" s="6" t="s">
        <v>3920</v>
      </c>
      <c r="B1185" s="7">
        <f t="shared" si="55"/>
        <v>46114</v>
      </c>
      <c r="C1185" s="7">
        <f t="shared" si="56"/>
        <v>46120</v>
      </c>
      <c r="D1185" s="6">
        <v>3280</v>
      </c>
      <c r="E1185" s="6">
        <v>337</v>
      </c>
      <c r="F1185" s="6">
        <v>4</v>
      </c>
      <c r="G1185" s="15">
        <v>1</v>
      </c>
      <c r="H1185" s="15"/>
      <c r="I1185" s="15" t="s">
        <v>1505</v>
      </c>
      <c r="J1185" s="15">
        <v>24583917</v>
      </c>
      <c r="K1185" s="15" t="s">
        <v>1357</v>
      </c>
      <c r="L1185" s="15" t="s">
        <v>1402</v>
      </c>
      <c r="M1185" s="16">
        <v>199900</v>
      </c>
      <c r="N1185" s="9">
        <v>0.95</v>
      </c>
      <c r="O1185" s="8">
        <f t="shared" si="54"/>
        <v>9995</v>
      </c>
      <c r="P1185" s="6" t="s">
        <v>15</v>
      </c>
    </row>
    <row r="1186" spans="1:16" x14ac:dyDescent="0.25">
      <c r="A1186" s="6" t="s">
        <v>3920</v>
      </c>
      <c r="B1186" s="7">
        <f t="shared" si="55"/>
        <v>46114</v>
      </c>
      <c r="C1186" s="7">
        <f t="shared" si="56"/>
        <v>46120</v>
      </c>
      <c r="D1186" s="6">
        <v>3280</v>
      </c>
      <c r="E1186" s="6">
        <v>337</v>
      </c>
      <c r="F1186" s="6">
        <v>4</v>
      </c>
      <c r="G1186" s="15">
        <v>1</v>
      </c>
      <c r="H1186" s="15"/>
      <c r="I1186" s="15" t="s">
        <v>1505</v>
      </c>
      <c r="J1186" s="15">
        <v>24583373</v>
      </c>
      <c r="K1186" s="15" t="s">
        <v>1351</v>
      </c>
      <c r="L1186" s="15" t="s">
        <v>1403</v>
      </c>
      <c r="M1186" s="16">
        <v>229900</v>
      </c>
      <c r="N1186" s="9">
        <v>0.95</v>
      </c>
      <c r="O1186" s="8">
        <f t="shared" si="54"/>
        <v>11495</v>
      </c>
      <c r="P1186" s="6" t="s">
        <v>15</v>
      </c>
    </row>
    <row r="1187" spans="1:16" x14ac:dyDescent="0.25">
      <c r="A1187" s="6" t="s">
        <v>3920</v>
      </c>
      <c r="B1187" s="7">
        <f t="shared" si="55"/>
        <v>46114</v>
      </c>
      <c r="C1187" s="7">
        <f t="shared" si="56"/>
        <v>46120</v>
      </c>
      <c r="D1187" s="6">
        <v>3280</v>
      </c>
      <c r="E1187" s="6">
        <v>337</v>
      </c>
      <c r="F1187" s="6">
        <v>4</v>
      </c>
      <c r="G1187" s="15">
        <v>1</v>
      </c>
      <c r="H1187" s="15"/>
      <c r="I1187" s="15" t="s">
        <v>1505</v>
      </c>
      <c r="J1187" s="15">
        <v>24431287</v>
      </c>
      <c r="K1187" s="15" t="s">
        <v>1404</v>
      </c>
      <c r="L1187" s="15" t="s">
        <v>1405</v>
      </c>
      <c r="M1187" s="16">
        <v>199900</v>
      </c>
      <c r="N1187" s="9">
        <v>0.95</v>
      </c>
      <c r="O1187" s="8">
        <f t="shared" si="54"/>
        <v>9995</v>
      </c>
      <c r="P1187" s="6" t="s">
        <v>15</v>
      </c>
    </row>
    <row r="1188" spans="1:16" x14ac:dyDescent="0.25">
      <c r="A1188" s="6" t="s">
        <v>3920</v>
      </c>
      <c r="B1188" s="7">
        <f t="shared" si="55"/>
        <v>46114</v>
      </c>
      <c r="C1188" s="7">
        <f t="shared" si="56"/>
        <v>46120</v>
      </c>
      <c r="D1188" s="6">
        <v>3280</v>
      </c>
      <c r="E1188" s="6">
        <v>337</v>
      </c>
      <c r="F1188" s="6">
        <v>4</v>
      </c>
      <c r="G1188" s="15">
        <v>1</v>
      </c>
      <c r="H1188" s="15"/>
      <c r="I1188" s="15" t="s">
        <v>1505</v>
      </c>
      <c r="J1188" s="15">
        <v>24431296</v>
      </c>
      <c r="K1188" s="15" t="s">
        <v>1404</v>
      </c>
      <c r="L1188" s="15" t="s">
        <v>1406</v>
      </c>
      <c r="M1188" s="16">
        <v>199900</v>
      </c>
      <c r="N1188" s="9">
        <v>0.95</v>
      </c>
      <c r="O1188" s="8">
        <f t="shared" si="54"/>
        <v>9995</v>
      </c>
      <c r="P1188" s="6" t="s">
        <v>15</v>
      </c>
    </row>
    <row r="1189" spans="1:16" x14ac:dyDescent="0.25">
      <c r="A1189" s="6" t="s">
        <v>3920</v>
      </c>
      <c r="B1189" s="7">
        <f t="shared" si="55"/>
        <v>46114</v>
      </c>
      <c r="C1189" s="7">
        <f t="shared" si="56"/>
        <v>46120</v>
      </c>
      <c r="D1189" s="6">
        <v>3280</v>
      </c>
      <c r="E1189" s="6">
        <v>337</v>
      </c>
      <c r="F1189" s="6">
        <v>4</v>
      </c>
      <c r="G1189" s="15">
        <v>1</v>
      </c>
      <c r="H1189" s="15"/>
      <c r="I1189" s="15" t="s">
        <v>1505</v>
      </c>
      <c r="J1189" s="15">
        <v>24431303</v>
      </c>
      <c r="K1189" s="15" t="s">
        <v>1404</v>
      </c>
      <c r="L1189" s="15" t="s">
        <v>1407</v>
      </c>
      <c r="M1189" s="16">
        <v>199900</v>
      </c>
      <c r="N1189" s="9">
        <v>0.95</v>
      </c>
      <c r="O1189" s="8">
        <f t="shared" si="54"/>
        <v>9995</v>
      </c>
      <c r="P1189" s="6" t="s">
        <v>15</v>
      </c>
    </row>
    <row r="1190" spans="1:16" x14ac:dyDescent="0.25">
      <c r="A1190" s="6" t="s">
        <v>3920</v>
      </c>
      <c r="B1190" s="7">
        <f t="shared" si="55"/>
        <v>46114</v>
      </c>
      <c r="C1190" s="7">
        <f t="shared" si="56"/>
        <v>46120</v>
      </c>
      <c r="D1190" s="6">
        <v>3280</v>
      </c>
      <c r="E1190" s="6">
        <v>337</v>
      </c>
      <c r="F1190" s="6">
        <v>4</v>
      </c>
      <c r="G1190" s="15">
        <v>1</v>
      </c>
      <c r="H1190" s="15"/>
      <c r="I1190" s="15" t="s">
        <v>1505</v>
      </c>
      <c r="J1190" s="15">
        <v>24431312</v>
      </c>
      <c r="K1190" s="15" t="s">
        <v>1404</v>
      </c>
      <c r="L1190" s="15" t="s">
        <v>1408</v>
      </c>
      <c r="M1190" s="16">
        <v>209900</v>
      </c>
      <c r="N1190" s="9">
        <v>0.95</v>
      </c>
      <c r="O1190" s="8">
        <f t="shared" si="54"/>
        <v>10495</v>
      </c>
      <c r="P1190" s="6" t="s">
        <v>15</v>
      </c>
    </row>
    <row r="1191" spans="1:16" x14ac:dyDescent="0.25">
      <c r="A1191" s="6" t="s">
        <v>3920</v>
      </c>
      <c r="B1191" s="7">
        <f t="shared" si="55"/>
        <v>46114</v>
      </c>
      <c r="C1191" s="7">
        <f t="shared" si="56"/>
        <v>46120</v>
      </c>
      <c r="D1191" s="6">
        <v>3280</v>
      </c>
      <c r="E1191" s="6">
        <v>337</v>
      </c>
      <c r="F1191" s="6">
        <v>4</v>
      </c>
      <c r="G1191" s="15">
        <v>1</v>
      </c>
      <c r="H1191" s="15"/>
      <c r="I1191" s="15" t="s">
        <v>1505</v>
      </c>
      <c r="J1191" s="15">
        <v>24663750</v>
      </c>
      <c r="K1191" s="15" t="s">
        <v>1409</v>
      </c>
      <c r="L1191" s="15" t="s">
        <v>1410</v>
      </c>
      <c r="M1191" s="16">
        <v>199900</v>
      </c>
      <c r="N1191" s="9">
        <v>0.95</v>
      </c>
      <c r="O1191" s="8">
        <f t="shared" si="54"/>
        <v>9995</v>
      </c>
      <c r="P1191" s="6" t="s">
        <v>15</v>
      </c>
    </row>
    <row r="1192" spans="1:16" x14ac:dyDescent="0.25">
      <c r="A1192" s="6" t="s">
        <v>3920</v>
      </c>
      <c r="B1192" s="7">
        <f t="shared" si="55"/>
        <v>46114</v>
      </c>
      <c r="C1192" s="7">
        <f t="shared" si="56"/>
        <v>46120</v>
      </c>
      <c r="D1192" s="6">
        <v>3280</v>
      </c>
      <c r="E1192" s="6">
        <v>337</v>
      </c>
      <c r="F1192" s="6">
        <v>4</v>
      </c>
      <c r="G1192" s="15">
        <v>1</v>
      </c>
      <c r="H1192" s="15"/>
      <c r="I1192" s="15" t="s">
        <v>1505</v>
      </c>
      <c r="J1192" s="15">
        <v>24663769</v>
      </c>
      <c r="K1192" s="15" t="s">
        <v>1409</v>
      </c>
      <c r="L1192" s="15" t="s">
        <v>1411</v>
      </c>
      <c r="M1192" s="16">
        <v>199900</v>
      </c>
      <c r="N1192" s="9">
        <v>0.95</v>
      </c>
      <c r="O1192" s="8">
        <f t="shared" si="54"/>
        <v>9995</v>
      </c>
      <c r="P1192" s="6" t="s">
        <v>15</v>
      </c>
    </row>
    <row r="1193" spans="1:16" x14ac:dyDescent="0.25">
      <c r="A1193" s="6" t="s">
        <v>3920</v>
      </c>
      <c r="B1193" s="7">
        <f t="shared" si="55"/>
        <v>46114</v>
      </c>
      <c r="C1193" s="7">
        <f t="shared" si="56"/>
        <v>46120</v>
      </c>
      <c r="D1193" s="6">
        <v>3280</v>
      </c>
      <c r="E1193" s="6">
        <v>337</v>
      </c>
      <c r="F1193" s="6">
        <v>4</v>
      </c>
      <c r="G1193" s="15">
        <v>1</v>
      </c>
      <c r="H1193" s="15"/>
      <c r="I1193" s="15" t="s">
        <v>1505</v>
      </c>
      <c r="J1193" s="15">
        <v>24663778</v>
      </c>
      <c r="K1193" s="15" t="s">
        <v>1409</v>
      </c>
      <c r="L1193" s="15" t="s">
        <v>1412</v>
      </c>
      <c r="M1193" s="16">
        <v>199900</v>
      </c>
      <c r="N1193" s="9">
        <v>0.95</v>
      </c>
      <c r="O1193" s="8">
        <f t="shared" si="54"/>
        <v>9995</v>
      </c>
      <c r="P1193" s="6" t="s">
        <v>15</v>
      </c>
    </row>
    <row r="1194" spans="1:16" x14ac:dyDescent="0.25">
      <c r="A1194" s="6" t="s">
        <v>3920</v>
      </c>
      <c r="B1194" s="7">
        <f t="shared" si="55"/>
        <v>46114</v>
      </c>
      <c r="C1194" s="7">
        <f t="shared" si="56"/>
        <v>46120</v>
      </c>
      <c r="D1194" s="6">
        <v>3280</v>
      </c>
      <c r="E1194" s="6">
        <v>337</v>
      </c>
      <c r="F1194" s="6">
        <v>4</v>
      </c>
      <c r="G1194" s="15">
        <v>1</v>
      </c>
      <c r="H1194" s="15"/>
      <c r="I1194" s="15" t="s">
        <v>1505</v>
      </c>
      <c r="J1194" s="15">
        <v>24663787</v>
      </c>
      <c r="K1194" s="15" t="s">
        <v>1409</v>
      </c>
      <c r="L1194" s="15" t="s">
        <v>1413</v>
      </c>
      <c r="M1194" s="16">
        <v>209900</v>
      </c>
      <c r="N1194" s="9">
        <v>0.95</v>
      </c>
      <c r="O1194" s="8">
        <f t="shared" si="54"/>
        <v>10495</v>
      </c>
      <c r="P1194" s="6" t="s">
        <v>15</v>
      </c>
    </row>
    <row r="1195" spans="1:16" x14ac:dyDescent="0.25">
      <c r="A1195" s="6" t="s">
        <v>3920</v>
      </c>
      <c r="B1195" s="7">
        <f t="shared" si="55"/>
        <v>46114</v>
      </c>
      <c r="C1195" s="7">
        <f t="shared" si="56"/>
        <v>46120</v>
      </c>
      <c r="D1195" s="6">
        <v>3280</v>
      </c>
      <c r="E1195" s="6">
        <v>337</v>
      </c>
      <c r="F1195" s="6">
        <v>4</v>
      </c>
      <c r="G1195" s="15">
        <v>1</v>
      </c>
      <c r="H1195" s="15"/>
      <c r="I1195" s="15" t="s">
        <v>1505</v>
      </c>
      <c r="J1195" s="15">
        <v>24663796</v>
      </c>
      <c r="K1195" s="15" t="s">
        <v>1409</v>
      </c>
      <c r="L1195" s="15" t="s">
        <v>1414</v>
      </c>
      <c r="M1195" s="16">
        <v>209900</v>
      </c>
      <c r="N1195" s="9">
        <v>0.95</v>
      </c>
      <c r="O1195" s="8">
        <f t="shared" si="54"/>
        <v>10495</v>
      </c>
      <c r="P1195" s="6" t="s">
        <v>15</v>
      </c>
    </row>
    <row r="1196" spans="1:16" x14ac:dyDescent="0.25">
      <c r="A1196" s="6" t="s">
        <v>3920</v>
      </c>
      <c r="B1196" s="7">
        <f t="shared" si="55"/>
        <v>46114</v>
      </c>
      <c r="C1196" s="7">
        <f t="shared" si="56"/>
        <v>46120</v>
      </c>
      <c r="D1196" s="6">
        <v>3280</v>
      </c>
      <c r="E1196" s="6">
        <v>337</v>
      </c>
      <c r="F1196" s="6">
        <v>4</v>
      </c>
      <c r="G1196" s="15">
        <v>1</v>
      </c>
      <c r="H1196" s="15"/>
      <c r="I1196" s="15" t="s">
        <v>1505</v>
      </c>
      <c r="J1196" s="15">
        <v>24663803</v>
      </c>
      <c r="K1196" s="15" t="s">
        <v>1409</v>
      </c>
      <c r="L1196" s="15" t="s">
        <v>1415</v>
      </c>
      <c r="M1196" s="16">
        <v>209900</v>
      </c>
      <c r="N1196" s="9">
        <v>0.95</v>
      </c>
      <c r="O1196" s="8">
        <f t="shared" si="54"/>
        <v>10495</v>
      </c>
      <c r="P1196" s="6" t="s">
        <v>15</v>
      </c>
    </row>
    <row r="1197" spans="1:16" x14ac:dyDescent="0.25">
      <c r="A1197" s="6" t="s">
        <v>3920</v>
      </c>
      <c r="B1197" s="7">
        <f t="shared" si="55"/>
        <v>46114</v>
      </c>
      <c r="C1197" s="7">
        <f t="shared" si="56"/>
        <v>46120</v>
      </c>
      <c r="D1197" s="6">
        <v>3280</v>
      </c>
      <c r="E1197" s="6">
        <v>337</v>
      </c>
      <c r="F1197" s="6">
        <v>4</v>
      </c>
      <c r="G1197" s="15">
        <v>1</v>
      </c>
      <c r="H1197" s="15"/>
      <c r="I1197" s="15" t="s">
        <v>1505</v>
      </c>
      <c r="J1197" s="15">
        <v>24831498</v>
      </c>
      <c r="K1197" s="15" t="s">
        <v>1416</v>
      </c>
      <c r="L1197" s="15" t="s">
        <v>1417</v>
      </c>
      <c r="M1197" s="16">
        <v>199900</v>
      </c>
      <c r="N1197" s="9">
        <v>0.95</v>
      </c>
      <c r="O1197" s="8">
        <f t="shared" si="54"/>
        <v>9995</v>
      </c>
      <c r="P1197" s="6" t="s">
        <v>15</v>
      </c>
    </row>
    <row r="1198" spans="1:16" x14ac:dyDescent="0.25">
      <c r="A1198" s="6" t="s">
        <v>3920</v>
      </c>
      <c r="B1198" s="7">
        <f t="shared" si="55"/>
        <v>46114</v>
      </c>
      <c r="C1198" s="7">
        <f t="shared" si="56"/>
        <v>46120</v>
      </c>
      <c r="D1198" s="6">
        <v>3280</v>
      </c>
      <c r="E1198" s="6">
        <v>337</v>
      </c>
      <c r="F1198" s="6">
        <v>4</v>
      </c>
      <c r="G1198" s="15">
        <v>1</v>
      </c>
      <c r="H1198" s="15"/>
      <c r="I1198" s="15" t="s">
        <v>1505</v>
      </c>
      <c r="J1198" s="15">
        <v>24831489</v>
      </c>
      <c r="K1198" s="15" t="s">
        <v>1416</v>
      </c>
      <c r="L1198" s="15" t="s">
        <v>1418</v>
      </c>
      <c r="M1198" s="16">
        <v>199900</v>
      </c>
      <c r="N1198" s="9">
        <v>0.95</v>
      </c>
      <c r="O1198" s="8">
        <f t="shared" si="54"/>
        <v>9995</v>
      </c>
      <c r="P1198" s="6" t="s">
        <v>15</v>
      </c>
    </row>
    <row r="1199" spans="1:16" x14ac:dyDescent="0.25">
      <c r="A1199" s="6" t="s">
        <v>3920</v>
      </c>
      <c r="B1199" s="7">
        <f t="shared" si="55"/>
        <v>46114</v>
      </c>
      <c r="C1199" s="7">
        <f t="shared" si="56"/>
        <v>46120</v>
      </c>
      <c r="D1199" s="6">
        <v>3280</v>
      </c>
      <c r="E1199" s="6">
        <v>337</v>
      </c>
      <c r="F1199" s="6">
        <v>4</v>
      </c>
      <c r="G1199" s="15">
        <v>1</v>
      </c>
      <c r="H1199" s="15"/>
      <c r="I1199" s="15" t="s">
        <v>1505</v>
      </c>
      <c r="J1199" s="15">
        <v>24831505</v>
      </c>
      <c r="K1199" s="15" t="s">
        <v>1416</v>
      </c>
      <c r="L1199" s="15" t="s">
        <v>1419</v>
      </c>
      <c r="M1199" s="16">
        <v>199900</v>
      </c>
      <c r="N1199" s="9">
        <v>0.95</v>
      </c>
      <c r="O1199" s="8">
        <f t="shared" si="54"/>
        <v>9995</v>
      </c>
      <c r="P1199" s="6" t="s">
        <v>15</v>
      </c>
    </row>
    <row r="1200" spans="1:16" x14ac:dyDescent="0.25">
      <c r="A1200" s="6" t="s">
        <v>3920</v>
      </c>
      <c r="B1200" s="7">
        <f t="shared" si="55"/>
        <v>46114</v>
      </c>
      <c r="C1200" s="7">
        <f t="shared" si="56"/>
        <v>46120</v>
      </c>
      <c r="D1200" s="6">
        <v>3280</v>
      </c>
      <c r="E1200" s="6">
        <v>337</v>
      </c>
      <c r="F1200" s="6">
        <v>4</v>
      </c>
      <c r="G1200" s="15">
        <v>1</v>
      </c>
      <c r="H1200" s="15"/>
      <c r="I1200" s="15" t="s">
        <v>1505</v>
      </c>
      <c r="J1200" s="15">
        <v>24879689</v>
      </c>
      <c r="K1200" s="15" t="s">
        <v>1420</v>
      </c>
      <c r="L1200" s="15" t="s">
        <v>1421</v>
      </c>
      <c r="M1200" s="16">
        <v>199900</v>
      </c>
      <c r="N1200" s="9">
        <v>0.95</v>
      </c>
      <c r="O1200" s="8">
        <f t="shared" si="54"/>
        <v>9995</v>
      </c>
      <c r="P1200" s="6" t="s">
        <v>15</v>
      </c>
    </row>
    <row r="1201" spans="1:16" x14ac:dyDescent="0.25">
      <c r="A1201" s="6" t="s">
        <v>3920</v>
      </c>
      <c r="B1201" s="7">
        <f t="shared" si="55"/>
        <v>46114</v>
      </c>
      <c r="C1201" s="7">
        <f t="shared" si="56"/>
        <v>46120</v>
      </c>
      <c r="D1201" s="6">
        <v>3280</v>
      </c>
      <c r="E1201" s="6">
        <v>337</v>
      </c>
      <c r="F1201" s="6">
        <v>4</v>
      </c>
      <c r="G1201" s="15">
        <v>1</v>
      </c>
      <c r="H1201" s="15"/>
      <c r="I1201" s="15" t="s">
        <v>1505</v>
      </c>
      <c r="J1201" s="15">
        <v>24879698</v>
      </c>
      <c r="K1201" s="15" t="s">
        <v>1420</v>
      </c>
      <c r="L1201" s="15" t="s">
        <v>1422</v>
      </c>
      <c r="M1201" s="16">
        <v>199900</v>
      </c>
      <c r="N1201" s="9">
        <v>0.95</v>
      </c>
      <c r="O1201" s="8">
        <f t="shared" si="54"/>
        <v>9995</v>
      </c>
      <c r="P1201" s="6" t="s">
        <v>15</v>
      </c>
    </row>
    <row r="1202" spans="1:16" x14ac:dyDescent="0.25">
      <c r="A1202" s="6" t="s">
        <v>3920</v>
      </c>
      <c r="B1202" s="7">
        <f t="shared" si="55"/>
        <v>46114</v>
      </c>
      <c r="C1202" s="7">
        <f t="shared" si="56"/>
        <v>46120</v>
      </c>
      <c r="D1202" s="6">
        <v>3280</v>
      </c>
      <c r="E1202" s="6">
        <v>337</v>
      </c>
      <c r="F1202" s="6">
        <v>4</v>
      </c>
      <c r="G1202" s="15">
        <v>1</v>
      </c>
      <c r="H1202" s="15"/>
      <c r="I1202" s="15" t="s">
        <v>1505</v>
      </c>
      <c r="J1202" s="15">
        <v>24879705</v>
      </c>
      <c r="K1202" s="15" t="s">
        <v>1420</v>
      </c>
      <c r="L1202" s="15" t="s">
        <v>1423</v>
      </c>
      <c r="M1202" s="16">
        <v>209900</v>
      </c>
      <c r="N1202" s="9">
        <v>0.95</v>
      </c>
      <c r="O1202" s="8">
        <f t="shared" si="54"/>
        <v>10495</v>
      </c>
      <c r="P1202" s="6" t="s">
        <v>15</v>
      </c>
    </row>
    <row r="1203" spans="1:16" x14ac:dyDescent="0.25">
      <c r="A1203" s="6" t="s">
        <v>3920</v>
      </c>
      <c r="B1203" s="7">
        <f t="shared" si="55"/>
        <v>46114</v>
      </c>
      <c r="C1203" s="7">
        <f t="shared" si="56"/>
        <v>46120</v>
      </c>
      <c r="D1203" s="6">
        <v>3280</v>
      </c>
      <c r="E1203" s="6">
        <v>337</v>
      </c>
      <c r="F1203" s="6">
        <v>4</v>
      </c>
      <c r="G1203" s="15">
        <v>1</v>
      </c>
      <c r="H1203" s="15"/>
      <c r="I1203" s="15" t="s">
        <v>1505</v>
      </c>
      <c r="J1203" s="15">
        <v>24879670</v>
      </c>
      <c r="K1203" s="15" t="s">
        <v>1420</v>
      </c>
      <c r="L1203" s="15" t="s">
        <v>1424</v>
      </c>
      <c r="M1203" s="16">
        <v>199900</v>
      </c>
      <c r="N1203" s="9">
        <v>0.95</v>
      </c>
      <c r="O1203" s="8">
        <f t="shared" si="54"/>
        <v>9995</v>
      </c>
      <c r="P1203" s="6" t="s">
        <v>15</v>
      </c>
    </row>
    <row r="1204" spans="1:16" x14ac:dyDescent="0.25">
      <c r="A1204" s="6" t="s">
        <v>3920</v>
      </c>
      <c r="B1204" s="7">
        <f t="shared" si="55"/>
        <v>46114</v>
      </c>
      <c r="C1204" s="7">
        <f t="shared" si="56"/>
        <v>46120</v>
      </c>
      <c r="D1204" s="6">
        <v>3280</v>
      </c>
      <c r="E1204" s="6">
        <v>337</v>
      </c>
      <c r="F1204" s="6">
        <v>4</v>
      </c>
      <c r="G1204" s="15">
        <v>1</v>
      </c>
      <c r="H1204" s="15"/>
      <c r="I1204" s="15" t="s">
        <v>1505</v>
      </c>
      <c r="J1204" s="15">
        <v>24879714</v>
      </c>
      <c r="K1204" s="15" t="s">
        <v>1420</v>
      </c>
      <c r="L1204" s="15" t="s">
        <v>1425</v>
      </c>
      <c r="M1204" s="16">
        <v>209900</v>
      </c>
      <c r="N1204" s="9">
        <v>0.95</v>
      </c>
      <c r="O1204" s="8">
        <f t="shared" si="54"/>
        <v>10495</v>
      </c>
      <c r="P1204" s="6" t="s">
        <v>15</v>
      </c>
    </row>
    <row r="1205" spans="1:16" x14ac:dyDescent="0.25">
      <c r="A1205" s="6" t="s">
        <v>3920</v>
      </c>
      <c r="B1205" s="7">
        <f t="shared" si="55"/>
        <v>46114</v>
      </c>
      <c r="C1205" s="7">
        <f t="shared" si="56"/>
        <v>46120</v>
      </c>
      <c r="D1205" s="6">
        <v>3280</v>
      </c>
      <c r="E1205" s="6">
        <v>337</v>
      </c>
      <c r="F1205" s="6">
        <v>4</v>
      </c>
      <c r="G1205" s="15">
        <v>1</v>
      </c>
      <c r="H1205" s="15"/>
      <c r="I1205" s="15" t="s">
        <v>1505</v>
      </c>
      <c r="J1205" s="15">
        <v>24879723</v>
      </c>
      <c r="K1205" s="15" t="s">
        <v>1420</v>
      </c>
      <c r="L1205" s="15" t="s">
        <v>1426</v>
      </c>
      <c r="M1205" s="16">
        <v>209900</v>
      </c>
      <c r="N1205" s="9">
        <v>0.95</v>
      </c>
      <c r="O1205" s="8">
        <f t="shared" si="54"/>
        <v>10495</v>
      </c>
      <c r="P1205" s="6" t="s">
        <v>15</v>
      </c>
    </row>
    <row r="1206" spans="1:16" x14ac:dyDescent="0.25">
      <c r="A1206" s="6" t="s">
        <v>3920</v>
      </c>
      <c r="B1206" s="7">
        <f t="shared" si="55"/>
        <v>46114</v>
      </c>
      <c r="C1206" s="7">
        <f t="shared" si="56"/>
        <v>46120</v>
      </c>
      <c r="D1206" s="6">
        <v>3280</v>
      </c>
      <c r="E1206" s="6">
        <v>337</v>
      </c>
      <c r="F1206" s="6">
        <v>4</v>
      </c>
      <c r="G1206" s="15">
        <v>1</v>
      </c>
      <c r="H1206" s="15"/>
      <c r="I1206" s="15" t="s">
        <v>1505</v>
      </c>
      <c r="J1206" s="15">
        <v>24831461</v>
      </c>
      <c r="K1206" s="15" t="s">
        <v>1416</v>
      </c>
      <c r="L1206" s="15" t="s">
        <v>1427</v>
      </c>
      <c r="M1206" s="16">
        <v>199900</v>
      </c>
      <c r="N1206" s="9">
        <v>0.95</v>
      </c>
      <c r="O1206" s="8">
        <f t="shared" si="54"/>
        <v>9995</v>
      </c>
      <c r="P1206" s="6" t="s">
        <v>15</v>
      </c>
    </row>
    <row r="1207" spans="1:16" x14ac:dyDescent="0.25">
      <c r="A1207" s="6" t="s">
        <v>3920</v>
      </c>
      <c r="B1207" s="7">
        <f t="shared" si="55"/>
        <v>46114</v>
      </c>
      <c r="C1207" s="7">
        <f t="shared" si="56"/>
        <v>46120</v>
      </c>
      <c r="D1207" s="6">
        <v>3280</v>
      </c>
      <c r="E1207" s="6">
        <v>337</v>
      </c>
      <c r="F1207" s="6">
        <v>4</v>
      </c>
      <c r="G1207" s="15">
        <v>1</v>
      </c>
      <c r="H1207" s="15"/>
      <c r="I1207" s="15" t="s">
        <v>1505</v>
      </c>
      <c r="J1207" s="15">
        <v>24831470</v>
      </c>
      <c r="K1207" s="15" t="s">
        <v>1416</v>
      </c>
      <c r="L1207" s="15" t="s">
        <v>1428</v>
      </c>
      <c r="M1207" s="16">
        <v>199900</v>
      </c>
      <c r="N1207" s="9">
        <v>0.95</v>
      </c>
      <c r="O1207" s="8">
        <f t="shared" si="54"/>
        <v>9995</v>
      </c>
      <c r="P1207" s="6" t="s">
        <v>15</v>
      </c>
    </row>
    <row r="1208" spans="1:16" x14ac:dyDescent="0.25">
      <c r="A1208" s="6" t="s">
        <v>3920</v>
      </c>
      <c r="B1208" s="7">
        <f t="shared" si="55"/>
        <v>46114</v>
      </c>
      <c r="C1208" s="7">
        <f t="shared" si="56"/>
        <v>46120</v>
      </c>
      <c r="D1208" s="6">
        <v>3280</v>
      </c>
      <c r="E1208" s="6">
        <v>337</v>
      </c>
      <c r="F1208" s="6">
        <v>4</v>
      </c>
      <c r="G1208" s="15">
        <v>1</v>
      </c>
      <c r="H1208" s="15"/>
      <c r="I1208" s="15" t="s">
        <v>1505</v>
      </c>
      <c r="J1208" s="15">
        <v>24431321</v>
      </c>
      <c r="K1208" s="15" t="s">
        <v>1404</v>
      </c>
      <c r="L1208" s="15" t="s">
        <v>1429</v>
      </c>
      <c r="M1208" s="16">
        <v>209900</v>
      </c>
      <c r="N1208" s="9">
        <v>0.95</v>
      </c>
      <c r="O1208" s="8">
        <f t="shared" si="54"/>
        <v>10495</v>
      </c>
      <c r="P1208" s="6" t="s">
        <v>15</v>
      </c>
    </row>
    <row r="1209" spans="1:16" x14ac:dyDescent="0.25">
      <c r="A1209" s="6" t="s">
        <v>3920</v>
      </c>
      <c r="B1209" s="7">
        <f t="shared" si="55"/>
        <v>46114</v>
      </c>
      <c r="C1209" s="7">
        <f t="shared" si="56"/>
        <v>46120</v>
      </c>
      <c r="D1209" s="6">
        <v>3280</v>
      </c>
      <c r="E1209" s="6">
        <v>337</v>
      </c>
      <c r="F1209" s="6">
        <v>4</v>
      </c>
      <c r="G1209" s="15">
        <v>1</v>
      </c>
      <c r="H1209" s="15"/>
      <c r="I1209" s="15" t="s">
        <v>1505</v>
      </c>
      <c r="J1209" s="15">
        <v>24431330</v>
      </c>
      <c r="K1209" s="15" t="s">
        <v>1404</v>
      </c>
      <c r="L1209" s="15" t="s">
        <v>1430</v>
      </c>
      <c r="M1209" s="16">
        <v>209900</v>
      </c>
      <c r="N1209" s="9">
        <v>0.95</v>
      </c>
      <c r="O1209" s="8">
        <f t="shared" si="54"/>
        <v>10495</v>
      </c>
      <c r="P1209" s="6" t="s">
        <v>15</v>
      </c>
    </row>
    <row r="1210" spans="1:16" x14ac:dyDescent="0.25">
      <c r="A1210" s="6" t="s">
        <v>3920</v>
      </c>
      <c r="B1210" s="7">
        <f t="shared" si="55"/>
        <v>46114</v>
      </c>
      <c r="C1210" s="7">
        <f t="shared" si="56"/>
        <v>46120</v>
      </c>
      <c r="D1210" s="6">
        <v>3280</v>
      </c>
      <c r="E1210" s="6">
        <v>337</v>
      </c>
      <c r="F1210" s="6">
        <v>4</v>
      </c>
      <c r="G1210" s="15">
        <v>1</v>
      </c>
      <c r="H1210" s="15"/>
      <c r="I1210" s="15" t="s">
        <v>1505</v>
      </c>
      <c r="J1210" s="15">
        <v>24438342</v>
      </c>
      <c r="K1210" s="15" t="s">
        <v>1431</v>
      </c>
      <c r="L1210" s="15" t="s">
        <v>1432</v>
      </c>
      <c r="M1210" s="16">
        <v>219900</v>
      </c>
      <c r="N1210" s="9">
        <v>0.95</v>
      </c>
      <c r="O1210" s="8">
        <f t="shared" si="54"/>
        <v>10995</v>
      </c>
      <c r="P1210" s="6" t="s">
        <v>15</v>
      </c>
    </row>
    <row r="1211" spans="1:16" x14ac:dyDescent="0.25">
      <c r="A1211" s="6" t="s">
        <v>3920</v>
      </c>
      <c r="B1211" s="7">
        <f t="shared" si="55"/>
        <v>46114</v>
      </c>
      <c r="C1211" s="7">
        <f t="shared" si="56"/>
        <v>46120</v>
      </c>
      <c r="D1211" s="6">
        <v>3280</v>
      </c>
      <c r="E1211" s="6">
        <v>337</v>
      </c>
      <c r="F1211" s="6">
        <v>4</v>
      </c>
      <c r="G1211" s="15">
        <v>1</v>
      </c>
      <c r="H1211" s="15"/>
      <c r="I1211" s="15" t="s">
        <v>1505</v>
      </c>
      <c r="J1211" s="15">
        <v>24438351</v>
      </c>
      <c r="K1211" s="15" t="s">
        <v>1431</v>
      </c>
      <c r="L1211" s="15" t="s">
        <v>1433</v>
      </c>
      <c r="M1211" s="16">
        <v>219900</v>
      </c>
      <c r="N1211" s="9">
        <v>0.95</v>
      </c>
      <c r="O1211" s="8">
        <f t="shared" si="54"/>
        <v>10995</v>
      </c>
      <c r="P1211" s="6" t="s">
        <v>15</v>
      </c>
    </row>
    <row r="1212" spans="1:16" x14ac:dyDescent="0.25">
      <c r="A1212" s="6" t="s">
        <v>3920</v>
      </c>
      <c r="B1212" s="7">
        <f t="shared" si="55"/>
        <v>46114</v>
      </c>
      <c r="C1212" s="7">
        <f t="shared" si="56"/>
        <v>46120</v>
      </c>
      <c r="D1212" s="6">
        <v>3280</v>
      </c>
      <c r="E1212" s="6">
        <v>337</v>
      </c>
      <c r="F1212" s="6">
        <v>4</v>
      </c>
      <c r="G1212" s="15">
        <v>1</v>
      </c>
      <c r="H1212" s="15"/>
      <c r="I1212" s="15" t="s">
        <v>1505</v>
      </c>
      <c r="J1212" s="15">
        <v>24438360</v>
      </c>
      <c r="K1212" s="15" t="s">
        <v>1431</v>
      </c>
      <c r="L1212" s="15" t="s">
        <v>1434</v>
      </c>
      <c r="M1212" s="16">
        <v>219900</v>
      </c>
      <c r="N1212" s="9">
        <v>0.95</v>
      </c>
      <c r="O1212" s="8">
        <f t="shared" si="54"/>
        <v>10995</v>
      </c>
      <c r="P1212" s="6" t="s">
        <v>15</v>
      </c>
    </row>
    <row r="1213" spans="1:16" x14ac:dyDescent="0.25">
      <c r="A1213" s="6" t="s">
        <v>3920</v>
      </c>
      <c r="B1213" s="7">
        <f t="shared" si="55"/>
        <v>46114</v>
      </c>
      <c r="C1213" s="7">
        <f t="shared" si="56"/>
        <v>46120</v>
      </c>
      <c r="D1213" s="6">
        <v>3280</v>
      </c>
      <c r="E1213" s="6">
        <v>337</v>
      </c>
      <c r="F1213" s="6">
        <v>4</v>
      </c>
      <c r="G1213" s="15">
        <v>1</v>
      </c>
      <c r="H1213" s="15"/>
      <c r="I1213" s="15" t="s">
        <v>1505</v>
      </c>
      <c r="J1213" s="15">
        <v>24481563</v>
      </c>
      <c r="K1213" s="15" t="s">
        <v>1435</v>
      </c>
      <c r="L1213" s="15" t="s">
        <v>1436</v>
      </c>
      <c r="M1213" s="16">
        <v>209900</v>
      </c>
      <c r="N1213" s="9">
        <v>0.95</v>
      </c>
      <c r="O1213" s="8">
        <f t="shared" si="54"/>
        <v>10495</v>
      </c>
      <c r="P1213" s="6" t="s">
        <v>15</v>
      </c>
    </row>
    <row r="1214" spans="1:16" x14ac:dyDescent="0.25">
      <c r="A1214" s="6" t="s">
        <v>3920</v>
      </c>
      <c r="B1214" s="7">
        <f t="shared" si="55"/>
        <v>46114</v>
      </c>
      <c r="C1214" s="7">
        <f t="shared" si="56"/>
        <v>46120</v>
      </c>
      <c r="D1214" s="6">
        <v>3280</v>
      </c>
      <c r="E1214" s="6">
        <v>337</v>
      </c>
      <c r="F1214" s="6">
        <v>4</v>
      </c>
      <c r="G1214" s="15">
        <v>1</v>
      </c>
      <c r="H1214" s="15"/>
      <c r="I1214" s="15" t="s">
        <v>1505</v>
      </c>
      <c r="J1214" s="15">
        <v>24481572</v>
      </c>
      <c r="K1214" s="15" t="s">
        <v>1435</v>
      </c>
      <c r="L1214" s="15" t="s">
        <v>1437</v>
      </c>
      <c r="M1214" s="16">
        <v>209900</v>
      </c>
      <c r="N1214" s="9">
        <v>0.95</v>
      </c>
      <c r="O1214" s="8">
        <f t="shared" si="54"/>
        <v>10495</v>
      </c>
      <c r="P1214" s="6" t="s">
        <v>15</v>
      </c>
    </row>
    <row r="1215" spans="1:16" x14ac:dyDescent="0.25">
      <c r="A1215" s="6" t="s">
        <v>3920</v>
      </c>
      <c r="B1215" s="7">
        <f t="shared" si="55"/>
        <v>46114</v>
      </c>
      <c r="C1215" s="7">
        <f t="shared" si="56"/>
        <v>46120</v>
      </c>
      <c r="D1215" s="6">
        <v>3280</v>
      </c>
      <c r="E1215" s="6">
        <v>337</v>
      </c>
      <c r="F1215" s="6">
        <v>4</v>
      </c>
      <c r="G1215" s="15">
        <v>1</v>
      </c>
      <c r="H1215" s="15"/>
      <c r="I1215" s="15" t="s">
        <v>1505</v>
      </c>
      <c r="J1215" s="15">
        <v>24481581</v>
      </c>
      <c r="K1215" s="15" t="s">
        <v>1435</v>
      </c>
      <c r="L1215" s="15" t="s">
        <v>1438</v>
      </c>
      <c r="M1215" s="16">
        <v>209900</v>
      </c>
      <c r="N1215" s="9">
        <v>0.95</v>
      </c>
      <c r="O1215" s="8">
        <f t="shared" si="54"/>
        <v>10495</v>
      </c>
      <c r="P1215" s="6" t="s">
        <v>15</v>
      </c>
    </row>
    <row r="1216" spans="1:16" x14ac:dyDescent="0.25">
      <c r="A1216" s="6" t="s">
        <v>3920</v>
      </c>
      <c r="B1216" s="7">
        <f t="shared" si="55"/>
        <v>46114</v>
      </c>
      <c r="C1216" s="7">
        <f t="shared" si="56"/>
        <v>46120</v>
      </c>
      <c r="D1216" s="6">
        <v>3280</v>
      </c>
      <c r="E1216" s="6">
        <v>337</v>
      </c>
      <c r="F1216" s="6">
        <v>4</v>
      </c>
      <c r="G1216" s="15">
        <v>1</v>
      </c>
      <c r="H1216" s="15"/>
      <c r="I1216" s="15" t="s">
        <v>1505</v>
      </c>
      <c r="J1216" s="15">
        <v>24481590</v>
      </c>
      <c r="K1216" s="15" t="s">
        <v>1435</v>
      </c>
      <c r="L1216" s="15" t="s">
        <v>1439</v>
      </c>
      <c r="M1216" s="16">
        <v>219900</v>
      </c>
      <c r="N1216" s="9">
        <v>0.95</v>
      </c>
      <c r="O1216" s="8">
        <f t="shared" si="54"/>
        <v>10995</v>
      </c>
      <c r="P1216" s="6" t="s">
        <v>15</v>
      </c>
    </row>
    <row r="1217" spans="1:16" x14ac:dyDescent="0.25">
      <c r="A1217" s="6" t="s">
        <v>3920</v>
      </c>
      <c r="B1217" s="7">
        <f t="shared" si="55"/>
        <v>46114</v>
      </c>
      <c r="C1217" s="7">
        <f t="shared" si="56"/>
        <v>46120</v>
      </c>
      <c r="D1217" s="6">
        <v>3280</v>
      </c>
      <c r="E1217" s="6">
        <v>337</v>
      </c>
      <c r="F1217" s="6">
        <v>4</v>
      </c>
      <c r="G1217" s="15">
        <v>1</v>
      </c>
      <c r="H1217" s="15"/>
      <c r="I1217" s="15" t="s">
        <v>1505</v>
      </c>
      <c r="J1217" s="15">
        <v>24438324</v>
      </c>
      <c r="K1217" s="15" t="s">
        <v>1431</v>
      </c>
      <c r="L1217" s="15" t="s">
        <v>1440</v>
      </c>
      <c r="M1217" s="16">
        <v>209900</v>
      </c>
      <c r="N1217" s="9">
        <v>0.95</v>
      </c>
      <c r="O1217" s="8">
        <f t="shared" si="54"/>
        <v>10495</v>
      </c>
      <c r="P1217" s="6" t="s">
        <v>15</v>
      </c>
    </row>
    <row r="1218" spans="1:16" x14ac:dyDescent="0.25">
      <c r="A1218" s="6" t="s">
        <v>3920</v>
      </c>
      <c r="B1218" s="7">
        <f t="shared" si="55"/>
        <v>46114</v>
      </c>
      <c r="C1218" s="7">
        <f t="shared" si="56"/>
        <v>46120</v>
      </c>
      <c r="D1218" s="6">
        <v>3280</v>
      </c>
      <c r="E1218" s="6">
        <v>337</v>
      </c>
      <c r="F1218" s="6">
        <v>4</v>
      </c>
      <c r="G1218" s="15">
        <v>1</v>
      </c>
      <c r="H1218" s="15"/>
      <c r="I1218" s="15" t="s">
        <v>1505</v>
      </c>
      <c r="J1218" s="15">
        <v>24438315</v>
      </c>
      <c r="K1218" s="15" t="s">
        <v>1431</v>
      </c>
      <c r="L1218" s="15" t="s">
        <v>1441</v>
      </c>
      <c r="M1218" s="16">
        <v>209900</v>
      </c>
      <c r="N1218" s="9">
        <v>0.95</v>
      </c>
      <c r="O1218" s="8">
        <f t="shared" ref="O1218:O1273" si="57">M1218-((95*M1218)/100)</f>
        <v>10495</v>
      </c>
      <c r="P1218" s="6" t="s">
        <v>15</v>
      </c>
    </row>
    <row r="1219" spans="1:16" x14ac:dyDescent="0.25">
      <c r="A1219" s="6" t="s">
        <v>3920</v>
      </c>
      <c r="B1219" s="7">
        <f t="shared" si="55"/>
        <v>46114</v>
      </c>
      <c r="C1219" s="7">
        <f t="shared" si="56"/>
        <v>46120</v>
      </c>
      <c r="D1219" s="6">
        <v>3280</v>
      </c>
      <c r="E1219" s="6">
        <v>337</v>
      </c>
      <c r="F1219" s="6">
        <v>4</v>
      </c>
      <c r="G1219" s="15">
        <v>1</v>
      </c>
      <c r="H1219" s="15"/>
      <c r="I1219" s="15" t="s">
        <v>1505</v>
      </c>
      <c r="J1219" s="15">
        <v>24438333</v>
      </c>
      <c r="K1219" s="15" t="s">
        <v>1431</v>
      </c>
      <c r="L1219" s="15" t="s">
        <v>1442</v>
      </c>
      <c r="M1219" s="16">
        <v>209900</v>
      </c>
      <c r="N1219" s="9">
        <v>0.95</v>
      </c>
      <c r="O1219" s="8">
        <f t="shared" si="57"/>
        <v>10495</v>
      </c>
      <c r="P1219" s="6" t="s">
        <v>15</v>
      </c>
    </row>
    <row r="1220" spans="1:16" x14ac:dyDescent="0.25">
      <c r="A1220" s="6" t="s">
        <v>3920</v>
      </c>
      <c r="B1220" s="7">
        <f t="shared" ref="B1220:B1273" si="58">B1219</f>
        <v>46114</v>
      </c>
      <c r="C1220" s="7">
        <f t="shared" ref="C1220:C1273" si="59">C1219</f>
        <v>46120</v>
      </c>
      <c r="D1220" s="6">
        <v>3280</v>
      </c>
      <c r="E1220" s="6">
        <v>337</v>
      </c>
      <c r="F1220" s="6">
        <v>4</v>
      </c>
      <c r="G1220" s="15">
        <v>1</v>
      </c>
      <c r="H1220" s="15"/>
      <c r="I1220" s="15" t="s">
        <v>1505</v>
      </c>
      <c r="J1220" s="15">
        <v>24481607</v>
      </c>
      <c r="K1220" s="15" t="s">
        <v>1435</v>
      </c>
      <c r="L1220" s="15" t="s">
        <v>1443</v>
      </c>
      <c r="M1220" s="16">
        <v>219900</v>
      </c>
      <c r="N1220" s="9">
        <v>0.95</v>
      </c>
      <c r="O1220" s="8">
        <f t="shared" si="57"/>
        <v>10995</v>
      </c>
      <c r="P1220" s="6" t="s">
        <v>15</v>
      </c>
    </row>
    <row r="1221" spans="1:16" x14ac:dyDescent="0.25">
      <c r="A1221" s="6" t="s">
        <v>3920</v>
      </c>
      <c r="B1221" s="7">
        <f t="shared" si="58"/>
        <v>46114</v>
      </c>
      <c r="C1221" s="7">
        <f t="shared" si="59"/>
        <v>46120</v>
      </c>
      <c r="D1221" s="6">
        <v>3280</v>
      </c>
      <c r="E1221" s="6">
        <v>337</v>
      </c>
      <c r="F1221" s="6">
        <v>4</v>
      </c>
      <c r="G1221" s="15">
        <v>1</v>
      </c>
      <c r="H1221" s="15"/>
      <c r="I1221" s="15" t="s">
        <v>1505</v>
      </c>
      <c r="J1221" s="15">
        <v>24481616</v>
      </c>
      <c r="K1221" s="15" t="s">
        <v>1435</v>
      </c>
      <c r="L1221" s="15" t="s">
        <v>1444</v>
      </c>
      <c r="M1221" s="16">
        <v>219900</v>
      </c>
      <c r="N1221" s="9">
        <v>0.95</v>
      </c>
      <c r="O1221" s="8">
        <f t="shared" si="57"/>
        <v>10995</v>
      </c>
      <c r="P1221" s="6" t="s">
        <v>15</v>
      </c>
    </row>
    <row r="1222" spans="1:16" x14ac:dyDescent="0.25">
      <c r="A1222" s="6" t="s">
        <v>3920</v>
      </c>
      <c r="B1222" s="7">
        <f t="shared" si="58"/>
        <v>46114</v>
      </c>
      <c r="C1222" s="7">
        <f t="shared" si="59"/>
        <v>46120</v>
      </c>
      <c r="D1222" s="6">
        <v>3280</v>
      </c>
      <c r="E1222" s="6">
        <v>337</v>
      </c>
      <c r="F1222" s="6">
        <v>4</v>
      </c>
      <c r="G1222" s="15">
        <v>1</v>
      </c>
      <c r="H1222" s="15"/>
      <c r="I1222" s="15" t="s">
        <v>1505</v>
      </c>
      <c r="J1222" s="15">
        <v>24436808</v>
      </c>
      <c r="K1222" s="15" t="s">
        <v>1445</v>
      </c>
      <c r="L1222" s="15" t="s">
        <v>1446</v>
      </c>
      <c r="M1222" s="16">
        <v>199900</v>
      </c>
      <c r="N1222" s="9">
        <v>0.95</v>
      </c>
      <c r="O1222" s="8">
        <f t="shared" si="57"/>
        <v>9995</v>
      </c>
      <c r="P1222" s="6" t="s">
        <v>15</v>
      </c>
    </row>
    <row r="1223" spans="1:16" x14ac:dyDescent="0.25">
      <c r="A1223" s="6" t="s">
        <v>3920</v>
      </c>
      <c r="B1223" s="7">
        <f t="shared" si="58"/>
        <v>46114</v>
      </c>
      <c r="C1223" s="7">
        <f t="shared" si="59"/>
        <v>46120</v>
      </c>
      <c r="D1223" s="6">
        <v>3280</v>
      </c>
      <c r="E1223" s="6">
        <v>337</v>
      </c>
      <c r="F1223" s="6">
        <v>4</v>
      </c>
      <c r="G1223" s="15">
        <v>1</v>
      </c>
      <c r="H1223" s="15"/>
      <c r="I1223" s="15" t="s">
        <v>1505</v>
      </c>
      <c r="J1223" s="15">
        <v>24436817</v>
      </c>
      <c r="K1223" s="15" t="s">
        <v>1445</v>
      </c>
      <c r="L1223" s="15" t="s">
        <v>1447</v>
      </c>
      <c r="M1223" s="16">
        <v>199900</v>
      </c>
      <c r="N1223" s="9">
        <v>0.95</v>
      </c>
      <c r="O1223" s="8">
        <f t="shared" si="57"/>
        <v>9995</v>
      </c>
      <c r="P1223" s="6" t="s">
        <v>15</v>
      </c>
    </row>
    <row r="1224" spans="1:16" x14ac:dyDescent="0.25">
      <c r="A1224" s="6" t="s">
        <v>3920</v>
      </c>
      <c r="B1224" s="7">
        <f t="shared" si="58"/>
        <v>46114</v>
      </c>
      <c r="C1224" s="7">
        <f t="shared" si="59"/>
        <v>46120</v>
      </c>
      <c r="D1224" s="6">
        <v>3280</v>
      </c>
      <c r="E1224" s="6">
        <v>337</v>
      </c>
      <c r="F1224" s="6">
        <v>4</v>
      </c>
      <c r="G1224" s="15">
        <v>1</v>
      </c>
      <c r="H1224" s="15"/>
      <c r="I1224" s="15" t="s">
        <v>1505</v>
      </c>
      <c r="J1224" s="15">
        <v>24436826</v>
      </c>
      <c r="K1224" s="15" t="s">
        <v>1445</v>
      </c>
      <c r="L1224" s="15" t="s">
        <v>1448</v>
      </c>
      <c r="M1224" s="16">
        <v>199900</v>
      </c>
      <c r="N1224" s="9">
        <v>0.95</v>
      </c>
      <c r="O1224" s="8">
        <f t="shared" si="57"/>
        <v>9995</v>
      </c>
      <c r="P1224" s="6" t="s">
        <v>15</v>
      </c>
    </row>
    <row r="1225" spans="1:16" x14ac:dyDescent="0.25">
      <c r="A1225" s="6" t="s">
        <v>3920</v>
      </c>
      <c r="B1225" s="7">
        <f t="shared" si="58"/>
        <v>46114</v>
      </c>
      <c r="C1225" s="7">
        <f t="shared" si="59"/>
        <v>46120</v>
      </c>
      <c r="D1225" s="6">
        <v>3280</v>
      </c>
      <c r="E1225" s="6">
        <v>337</v>
      </c>
      <c r="F1225" s="6">
        <v>4</v>
      </c>
      <c r="G1225" s="15">
        <v>1</v>
      </c>
      <c r="H1225" s="15"/>
      <c r="I1225" s="15" t="s">
        <v>1505</v>
      </c>
      <c r="J1225" s="15">
        <v>24436835</v>
      </c>
      <c r="K1225" s="15" t="s">
        <v>1445</v>
      </c>
      <c r="L1225" s="15" t="s">
        <v>1449</v>
      </c>
      <c r="M1225" s="16">
        <v>209900</v>
      </c>
      <c r="N1225" s="9">
        <v>0.95</v>
      </c>
      <c r="O1225" s="8">
        <f t="shared" si="57"/>
        <v>10495</v>
      </c>
      <c r="P1225" s="6" t="s">
        <v>15</v>
      </c>
    </row>
    <row r="1226" spans="1:16" x14ac:dyDescent="0.25">
      <c r="A1226" s="6" t="s">
        <v>3920</v>
      </c>
      <c r="B1226" s="7">
        <f t="shared" si="58"/>
        <v>46114</v>
      </c>
      <c r="C1226" s="7">
        <f t="shared" si="59"/>
        <v>46120</v>
      </c>
      <c r="D1226" s="6">
        <v>3280</v>
      </c>
      <c r="E1226" s="6">
        <v>337</v>
      </c>
      <c r="F1226" s="6">
        <v>4</v>
      </c>
      <c r="G1226" s="15">
        <v>1</v>
      </c>
      <c r="H1226" s="15"/>
      <c r="I1226" s="15" t="s">
        <v>1505</v>
      </c>
      <c r="J1226" s="15">
        <v>24436844</v>
      </c>
      <c r="K1226" s="15" t="s">
        <v>1445</v>
      </c>
      <c r="L1226" s="15" t="s">
        <v>1450</v>
      </c>
      <c r="M1226" s="16">
        <v>209900</v>
      </c>
      <c r="N1226" s="9">
        <v>0.95</v>
      </c>
      <c r="O1226" s="8">
        <f t="shared" si="57"/>
        <v>10495</v>
      </c>
      <c r="P1226" s="6" t="s">
        <v>15</v>
      </c>
    </row>
    <row r="1227" spans="1:16" x14ac:dyDescent="0.25">
      <c r="A1227" s="6" t="s">
        <v>3920</v>
      </c>
      <c r="B1227" s="7">
        <f t="shared" si="58"/>
        <v>46114</v>
      </c>
      <c r="C1227" s="7">
        <f t="shared" si="59"/>
        <v>46120</v>
      </c>
      <c r="D1227" s="6">
        <v>3280</v>
      </c>
      <c r="E1227" s="6">
        <v>337</v>
      </c>
      <c r="F1227" s="6">
        <v>4</v>
      </c>
      <c r="G1227" s="15">
        <v>1</v>
      </c>
      <c r="H1227" s="15"/>
      <c r="I1227" s="15" t="s">
        <v>1505</v>
      </c>
      <c r="J1227" s="15">
        <v>24436853</v>
      </c>
      <c r="K1227" s="15" t="s">
        <v>1445</v>
      </c>
      <c r="L1227" s="15" t="s">
        <v>1451</v>
      </c>
      <c r="M1227" s="16">
        <v>209900</v>
      </c>
      <c r="N1227" s="9">
        <v>0.95</v>
      </c>
      <c r="O1227" s="8">
        <f t="shared" si="57"/>
        <v>10495</v>
      </c>
      <c r="P1227" s="6" t="s">
        <v>15</v>
      </c>
    </row>
    <row r="1228" spans="1:16" x14ac:dyDescent="0.25">
      <c r="A1228" s="6" t="s">
        <v>3920</v>
      </c>
      <c r="B1228" s="7">
        <f t="shared" si="58"/>
        <v>46114</v>
      </c>
      <c r="C1228" s="7">
        <f t="shared" si="59"/>
        <v>46120</v>
      </c>
      <c r="D1228" s="6">
        <v>3280</v>
      </c>
      <c r="E1228" s="6">
        <v>337</v>
      </c>
      <c r="F1228" s="6">
        <v>4</v>
      </c>
      <c r="G1228" s="15">
        <v>1</v>
      </c>
      <c r="H1228" s="15"/>
      <c r="I1228" s="15" t="s">
        <v>1505</v>
      </c>
      <c r="J1228" s="15">
        <v>24436862</v>
      </c>
      <c r="K1228" s="15" t="s">
        <v>1452</v>
      </c>
      <c r="L1228" s="15" t="s">
        <v>1453</v>
      </c>
      <c r="M1228" s="16">
        <v>189900</v>
      </c>
      <c r="N1228" s="9">
        <v>0.95</v>
      </c>
      <c r="O1228" s="8">
        <f t="shared" si="57"/>
        <v>9495</v>
      </c>
      <c r="P1228" s="6" t="s">
        <v>15</v>
      </c>
    </row>
    <row r="1229" spans="1:16" x14ac:dyDescent="0.25">
      <c r="A1229" s="6" t="s">
        <v>3920</v>
      </c>
      <c r="B1229" s="7">
        <f t="shared" si="58"/>
        <v>46114</v>
      </c>
      <c r="C1229" s="7">
        <f t="shared" si="59"/>
        <v>46120</v>
      </c>
      <c r="D1229" s="6">
        <v>3280</v>
      </c>
      <c r="E1229" s="6">
        <v>337</v>
      </c>
      <c r="F1229" s="6">
        <v>4</v>
      </c>
      <c r="G1229" s="15">
        <v>1</v>
      </c>
      <c r="H1229" s="15"/>
      <c r="I1229" s="15" t="s">
        <v>1505</v>
      </c>
      <c r="J1229" s="15">
        <v>24436899</v>
      </c>
      <c r="K1229" s="15" t="s">
        <v>1452</v>
      </c>
      <c r="L1229" s="15" t="s">
        <v>1454</v>
      </c>
      <c r="M1229" s="16">
        <v>199900</v>
      </c>
      <c r="N1229" s="9">
        <v>0.95</v>
      </c>
      <c r="O1229" s="8">
        <f t="shared" si="57"/>
        <v>9995</v>
      </c>
      <c r="P1229" s="6" t="s">
        <v>15</v>
      </c>
    </row>
    <row r="1230" spans="1:16" x14ac:dyDescent="0.25">
      <c r="A1230" s="6" t="s">
        <v>3920</v>
      </c>
      <c r="B1230" s="7">
        <f t="shared" si="58"/>
        <v>46114</v>
      </c>
      <c r="C1230" s="7">
        <f t="shared" si="59"/>
        <v>46120</v>
      </c>
      <c r="D1230" s="6">
        <v>3280</v>
      </c>
      <c r="E1230" s="6">
        <v>337</v>
      </c>
      <c r="F1230" s="6">
        <v>4</v>
      </c>
      <c r="G1230" s="15">
        <v>1</v>
      </c>
      <c r="H1230" s="15"/>
      <c r="I1230" s="15" t="s">
        <v>1505</v>
      </c>
      <c r="J1230" s="15">
        <v>24436906</v>
      </c>
      <c r="K1230" s="15" t="s">
        <v>1452</v>
      </c>
      <c r="L1230" s="15" t="s">
        <v>1455</v>
      </c>
      <c r="M1230" s="16">
        <v>199900</v>
      </c>
      <c r="N1230" s="9">
        <v>0.95</v>
      </c>
      <c r="O1230" s="8">
        <f t="shared" si="57"/>
        <v>9995</v>
      </c>
      <c r="P1230" s="6" t="s">
        <v>15</v>
      </c>
    </row>
    <row r="1231" spans="1:16" x14ac:dyDescent="0.25">
      <c r="A1231" s="6" t="s">
        <v>3920</v>
      </c>
      <c r="B1231" s="7">
        <f t="shared" si="58"/>
        <v>46114</v>
      </c>
      <c r="C1231" s="7">
        <f t="shared" si="59"/>
        <v>46120</v>
      </c>
      <c r="D1231" s="6">
        <v>3280</v>
      </c>
      <c r="E1231" s="6">
        <v>337</v>
      </c>
      <c r="F1231" s="6">
        <v>4</v>
      </c>
      <c r="G1231" s="15">
        <v>1</v>
      </c>
      <c r="H1231" s="15"/>
      <c r="I1231" s="15" t="s">
        <v>1505</v>
      </c>
      <c r="J1231" s="15">
        <v>24436915</v>
      </c>
      <c r="K1231" s="15" t="s">
        <v>1452</v>
      </c>
      <c r="L1231" s="15" t="s">
        <v>1456</v>
      </c>
      <c r="M1231" s="16">
        <v>199900</v>
      </c>
      <c r="N1231" s="9">
        <v>0.95</v>
      </c>
      <c r="O1231" s="8">
        <f t="shared" si="57"/>
        <v>9995</v>
      </c>
      <c r="P1231" s="6" t="s">
        <v>15</v>
      </c>
    </row>
    <row r="1232" spans="1:16" x14ac:dyDescent="0.25">
      <c r="A1232" s="6" t="s">
        <v>3920</v>
      </c>
      <c r="B1232" s="7">
        <f t="shared" si="58"/>
        <v>46114</v>
      </c>
      <c r="C1232" s="7">
        <f t="shared" si="59"/>
        <v>46120</v>
      </c>
      <c r="D1232" s="6">
        <v>3280</v>
      </c>
      <c r="E1232" s="6">
        <v>337</v>
      </c>
      <c r="F1232" s="6">
        <v>4</v>
      </c>
      <c r="G1232" s="15">
        <v>1</v>
      </c>
      <c r="H1232" s="15"/>
      <c r="I1232" s="15" t="s">
        <v>1505</v>
      </c>
      <c r="J1232" s="15">
        <v>24518747</v>
      </c>
      <c r="K1232" s="15" t="s">
        <v>1457</v>
      </c>
      <c r="L1232" s="15" t="s">
        <v>1458</v>
      </c>
      <c r="M1232" s="16">
        <v>199900</v>
      </c>
      <c r="N1232" s="9">
        <v>0.95</v>
      </c>
      <c r="O1232" s="8">
        <f t="shared" si="57"/>
        <v>9995</v>
      </c>
      <c r="P1232" s="6" t="s">
        <v>15</v>
      </c>
    </row>
    <row r="1233" spans="1:16" x14ac:dyDescent="0.25">
      <c r="A1233" s="6" t="s">
        <v>3920</v>
      </c>
      <c r="B1233" s="7">
        <f t="shared" si="58"/>
        <v>46114</v>
      </c>
      <c r="C1233" s="7">
        <f t="shared" si="59"/>
        <v>46120</v>
      </c>
      <c r="D1233" s="6">
        <v>3280</v>
      </c>
      <c r="E1233" s="6">
        <v>337</v>
      </c>
      <c r="F1233" s="6">
        <v>4</v>
      </c>
      <c r="G1233" s="15">
        <v>1</v>
      </c>
      <c r="H1233" s="15"/>
      <c r="I1233" s="15" t="s">
        <v>1505</v>
      </c>
      <c r="J1233" s="15">
        <v>24518756</v>
      </c>
      <c r="K1233" s="15" t="s">
        <v>1457</v>
      </c>
      <c r="L1233" s="15" t="s">
        <v>1459</v>
      </c>
      <c r="M1233" s="16">
        <v>199900</v>
      </c>
      <c r="N1233" s="9">
        <v>0.95</v>
      </c>
      <c r="O1233" s="8">
        <f t="shared" si="57"/>
        <v>9995</v>
      </c>
      <c r="P1233" s="6" t="s">
        <v>15</v>
      </c>
    </row>
    <row r="1234" spans="1:16" x14ac:dyDescent="0.25">
      <c r="A1234" s="6" t="s">
        <v>3920</v>
      </c>
      <c r="B1234" s="7">
        <f t="shared" si="58"/>
        <v>46114</v>
      </c>
      <c r="C1234" s="7">
        <f t="shared" si="59"/>
        <v>46120</v>
      </c>
      <c r="D1234" s="6">
        <v>3280</v>
      </c>
      <c r="E1234" s="6">
        <v>337</v>
      </c>
      <c r="F1234" s="6">
        <v>4</v>
      </c>
      <c r="G1234" s="15">
        <v>1</v>
      </c>
      <c r="H1234" s="15"/>
      <c r="I1234" s="15" t="s">
        <v>1505</v>
      </c>
      <c r="J1234" s="15">
        <v>24518765</v>
      </c>
      <c r="K1234" s="15" t="s">
        <v>1457</v>
      </c>
      <c r="L1234" s="15" t="s">
        <v>1460</v>
      </c>
      <c r="M1234" s="16">
        <v>199900</v>
      </c>
      <c r="N1234" s="9">
        <v>0.95</v>
      </c>
      <c r="O1234" s="8">
        <f t="shared" si="57"/>
        <v>9995</v>
      </c>
      <c r="P1234" s="6" t="s">
        <v>15</v>
      </c>
    </row>
    <row r="1235" spans="1:16" x14ac:dyDescent="0.25">
      <c r="A1235" s="6" t="s">
        <v>3920</v>
      </c>
      <c r="B1235" s="7">
        <f t="shared" si="58"/>
        <v>46114</v>
      </c>
      <c r="C1235" s="7">
        <f t="shared" si="59"/>
        <v>46120</v>
      </c>
      <c r="D1235" s="6">
        <v>3280</v>
      </c>
      <c r="E1235" s="6">
        <v>337</v>
      </c>
      <c r="F1235" s="6">
        <v>4</v>
      </c>
      <c r="G1235" s="15">
        <v>1</v>
      </c>
      <c r="H1235" s="15"/>
      <c r="I1235" s="15" t="s">
        <v>1505</v>
      </c>
      <c r="J1235" s="15">
        <v>24518774</v>
      </c>
      <c r="K1235" s="15" t="s">
        <v>1457</v>
      </c>
      <c r="L1235" s="15" t="s">
        <v>1461</v>
      </c>
      <c r="M1235" s="16">
        <v>209900</v>
      </c>
      <c r="N1235" s="9">
        <v>0.95</v>
      </c>
      <c r="O1235" s="8">
        <f t="shared" si="57"/>
        <v>10495</v>
      </c>
      <c r="P1235" s="6" t="s">
        <v>15</v>
      </c>
    </row>
    <row r="1236" spans="1:16" x14ac:dyDescent="0.25">
      <c r="A1236" s="6" t="s">
        <v>3920</v>
      </c>
      <c r="B1236" s="7">
        <f t="shared" si="58"/>
        <v>46114</v>
      </c>
      <c r="C1236" s="7">
        <f t="shared" si="59"/>
        <v>46120</v>
      </c>
      <c r="D1236" s="6">
        <v>3280</v>
      </c>
      <c r="E1236" s="6">
        <v>337</v>
      </c>
      <c r="F1236" s="6">
        <v>4</v>
      </c>
      <c r="G1236" s="15">
        <v>1</v>
      </c>
      <c r="H1236" s="15"/>
      <c r="I1236" s="15" t="s">
        <v>1505</v>
      </c>
      <c r="J1236" s="15">
        <v>24518783</v>
      </c>
      <c r="K1236" s="15" t="s">
        <v>1457</v>
      </c>
      <c r="L1236" s="15" t="s">
        <v>1462</v>
      </c>
      <c r="M1236" s="16">
        <v>209900</v>
      </c>
      <c r="N1236" s="9">
        <v>0.95</v>
      </c>
      <c r="O1236" s="8">
        <f t="shared" si="57"/>
        <v>10495</v>
      </c>
      <c r="P1236" s="6" t="s">
        <v>15</v>
      </c>
    </row>
    <row r="1237" spans="1:16" x14ac:dyDescent="0.25">
      <c r="A1237" s="6" t="s">
        <v>3920</v>
      </c>
      <c r="B1237" s="7">
        <f t="shared" si="58"/>
        <v>46114</v>
      </c>
      <c r="C1237" s="7">
        <f t="shared" si="59"/>
        <v>46120</v>
      </c>
      <c r="D1237" s="6">
        <v>3280</v>
      </c>
      <c r="E1237" s="6">
        <v>337</v>
      </c>
      <c r="F1237" s="6">
        <v>4</v>
      </c>
      <c r="G1237" s="15">
        <v>1</v>
      </c>
      <c r="H1237" s="15"/>
      <c r="I1237" s="15" t="s">
        <v>1505</v>
      </c>
      <c r="J1237" s="15">
        <v>24521279</v>
      </c>
      <c r="K1237" s="15" t="s">
        <v>1463</v>
      </c>
      <c r="L1237" s="15" t="s">
        <v>1464</v>
      </c>
      <c r="M1237" s="16">
        <v>219900</v>
      </c>
      <c r="N1237" s="9">
        <v>0.95</v>
      </c>
      <c r="O1237" s="8">
        <f t="shared" si="57"/>
        <v>10995</v>
      </c>
      <c r="P1237" s="6" t="s">
        <v>15</v>
      </c>
    </row>
    <row r="1238" spans="1:16" x14ac:dyDescent="0.25">
      <c r="A1238" s="6" t="s">
        <v>3920</v>
      </c>
      <c r="B1238" s="7">
        <f t="shared" si="58"/>
        <v>46114</v>
      </c>
      <c r="C1238" s="7">
        <f t="shared" si="59"/>
        <v>46120</v>
      </c>
      <c r="D1238" s="6">
        <v>3280</v>
      </c>
      <c r="E1238" s="6">
        <v>337</v>
      </c>
      <c r="F1238" s="6">
        <v>4</v>
      </c>
      <c r="G1238" s="15">
        <v>1</v>
      </c>
      <c r="H1238" s="15"/>
      <c r="I1238" s="15" t="s">
        <v>1505</v>
      </c>
      <c r="J1238" s="15">
        <v>24436871</v>
      </c>
      <c r="K1238" s="15" t="s">
        <v>1452</v>
      </c>
      <c r="L1238" s="15" t="s">
        <v>1465</v>
      </c>
      <c r="M1238" s="16">
        <v>189900</v>
      </c>
      <c r="N1238" s="9">
        <v>0.95</v>
      </c>
      <c r="O1238" s="8">
        <f t="shared" si="57"/>
        <v>9495</v>
      </c>
      <c r="P1238" s="6" t="s">
        <v>15</v>
      </c>
    </row>
    <row r="1239" spans="1:16" x14ac:dyDescent="0.25">
      <c r="A1239" s="6" t="s">
        <v>3920</v>
      </c>
      <c r="B1239" s="7">
        <f t="shared" si="58"/>
        <v>46114</v>
      </c>
      <c r="C1239" s="7">
        <f t="shared" si="59"/>
        <v>46120</v>
      </c>
      <c r="D1239" s="6">
        <v>3280</v>
      </c>
      <c r="E1239" s="6">
        <v>337</v>
      </c>
      <c r="F1239" s="6">
        <v>4</v>
      </c>
      <c r="G1239" s="15">
        <v>1</v>
      </c>
      <c r="H1239" s="15"/>
      <c r="I1239" s="15" t="s">
        <v>1505</v>
      </c>
      <c r="J1239" s="15">
        <v>24521251</v>
      </c>
      <c r="K1239" s="15" t="s">
        <v>1463</v>
      </c>
      <c r="L1239" s="15" t="s">
        <v>1466</v>
      </c>
      <c r="M1239" s="16">
        <v>209900</v>
      </c>
      <c r="N1239" s="9">
        <v>0.95</v>
      </c>
      <c r="O1239" s="8">
        <f t="shared" si="57"/>
        <v>10495</v>
      </c>
      <c r="P1239" s="6" t="s">
        <v>15</v>
      </c>
    </row>
    <row r="1240" spans="1:16" x14ac:dyDescent="0.25">
      <c r="A1240" s="6" t="s">
        <v>3920</v>
      </c>
      <c r="B1240" s="7">
        <f t="shared" si="58"/>
        <v>46114</v>
      </c>
      <c r="C1240" s="7">
        <f t="shared" si="59"/>
        <v>46120</v>
      </c>
      <c r="D1240" s="6">
        <v>3280</v>
      </c>
      <c r="E1240" s="6">
        <v>337</v>
      </c>
      <c r="F1240" s="6">
        <v>4</v>
      </c>
      <c r="G1240" s="15">
        <v>1</v>
      </c>
      <c r="H1240" s="15"/>
      <c r="I1240" s="15" t="s">
        <v>1505</v>
      </c>
      <c r="J1240" s="15">
        <v>24521288</v>
      </c>
      <c r="K1240" s="15" t="s">
        <v>1463</v>
      </c>
      <c r="L1240" s="15" t="s">
        <v>1467</v>
      </c>
      <c r="M1240" s="16">
        <v>219900</v>
      </c>
      <c r="N1240" s="9">
        <v>0.95</v>
      </c>
      <c r="O1240" s="8">
        <f t="shared" si="57"/>
        <v>10995</v>
      </c>
      <c r="P1240" s="6" t="s">
        <v>15</v>
      </c>
    </row>
    <row r="1241" spans="1:16" x14ac:dyDescent="0.25">
      <c r="A1241" s="6" t="s">
        <v>3920</v>
      </c>
      <c r="B1241" s="7">
        <f t="shared" si="58"/>
        <v>46114</v>
      </c>
      <c r="C1241" s="7">
        <f t="shared" si="59"/>
        <v>46120</v>
      </c>
      <c r="D1241" s="6">
        <v>3280</v>
      </c>
      <c r="E1241" s="6">
        <v>337</v>
      </c>
      <c r="F1241" s="6">
        <v>4</v>
      </c>
      <c r="G1241" s="15">
        <v>1</v>
      </c>
      <c r="H1241" s="15"/>
      <c r="I1241" s="15" t="s">
        <v>1505</v>
      </c>
      <c r="J1241" s="15">
        <v>24521297</v>
      </c>
      <c r="K1241" s="15" t="s">
        <v>1463</v>
      </c>
      <c r="L1241" s="15" t="s">
        <v>1468</v>
      </c>
      <c r="M1241" s="16">
        <v>219900</v>
      </c>
      <c r="N1241" s="9">
        <v>0.95</v>
      </c>
      <c r="O1241" s="8">
        <f t="shared" si="57"/>
        <v>10995</v>
      </c>
      <c r="P1241" s="6" t="s">
        <v>15</v>
      </c>
    </row>
    <row r="1242" spans="1:16" x14ac:dyDescent="0.25">
      <c r="A1242" s="6" t="s">
        <v>3920</v>
      </c>
      <c r="B1242" s="7">
        <f t="shared" si="58"/>
        <v>46114</v>
      </c>
      <c r="C1242" s="7">
        <f t="shared" si="59"/>
        <v>46120</v>
      </c>
      <c r="D1242" s="6">
        <v>3280</v>
      </c>
      <c r="E1242" s="6">
        <v>337</v>
      </c>
      <c r="F1242" s="6">
        <v>4</v>
      </c>
      <c r="G1242" s="15">
        <v>1</v>
      </c>
      <c r="H1242" s="15"/>
      <c r="I1242" s="15" t="s">
        <v>1505</v>
      </c>
      <c r="J1242" s="15">
        <v>24521260</v>
      </c>
      <c r="K1242" s="15" t="s">
        <v>1463</v>
      </c>
      <c r="L1242" s="15" t="s">
        <v>1469</v>
      </c>
      <c r="M1242" s="16">
        <v>209900</v>
      </c>
      <c r="N1242" s="9">
        <v>0.95</v>
      </c>
      <c r="O1242" s="8">
        <f t="shared" si="57"/>
        <v>10495</v>
      </c>
      <c r="P1242" s="6" t="s">
        <v>15</v>
      </c>
    </row>
    <row r="1243" spans="1:16" x14ac:dyDescent="0.25">
      <c r="A1243" s="6" t="s">
        <v>3920</v>
      </c>
      <c r="B1243" s="7">
        <f t="shared" si="58"/>
        <v>46114</v>
      </c>
      <c r="C1243" s="7">
        <f t="shared" si="59"/>
        <v>46120</v>
      </c>
      <c r="D1243" s="6">
        <v>3280</v>
      </c>
      <c r="E1243" s="6">
        <v>337</v>
      </c>
      <c r="F1243" s="6">
        <v>4</v>
      </c>
      <c r="G1243" s="15">
        <v>1</v>
      </c>
      <c r="H1243" s="15"/>
      <c r="I1243" s="15" t="s">
        <v>1505</v>
      </c>
      <c r="J1243" s="15">
        <v>24518792</v>
      </c>
      <c r="K1243" s="15" t="s">
        <v>1457</v>
      </c>
      <c r="L1243" s="15" t="s">
        <v>1470</v>
      </c>
      <c r="M1243" s="16">
        <v>209900</v>
      </c>
      <c r="N1243" s="9">
        <v>0.95</v>
      </c>
      <c r="O1243" s="8">
        <f t="shared" si="57"/>
        <v>10495</v>
      </c>
      <c r="P1243" s="6" t="s">
        <v>15</v>
      </c>
    </row>
    <row r="1244" spans="1:16" x14ac:dyDescent="0.25">
      <c r="A1244" s="6" t="s">
        <v>3920</v>
      </c>
      <c r="B1244" s="7">
        <f t="shared" si="58"/>
        <v>46114</v>
      </c>
      <c r="C1244" s="7">
        <f t="shared" si="59"/>
        <v>46120</v>
      </c>
      <c r="D1244" s="6">
        <v>3280</v>
      </c>
      <c r="E1244" s="6">
        <v>337</v>
      </c>
      <c r="F1244" s="6">
        <v>4</v>
      </c>
      <c r="G1244" s="15">
        <v>1</v>
      </c>
      <c r="H1244" s="15"/>
      <c r="I1244" s="15" t="s">
        <v>1505</v>
      </c>
      <c r="J1244" s="15">
        <v>24436880</v>
      </c>
      <c r="K1244" s="15" t="s">
        <v>1452</v>
      </c>
      <c r="L1244" s="15" t="s">
        <v>1471</v>
      </c>
      <c r="M1244" s="16">
        <v>189900</v>
      </c>
      <c r="N1244" s="9">
        <v>0.95</v>
      </c>
      <c r="O1244" s="8">
        <f t="shared" si="57"/>
        <v>9495</v>
      </c>
      <c r="P1244" s="6" t="s">
        <v>15</v>
      </c>
    </row>
    <row r="1245" spans="1:16" x14ac:dyDescent="0.25">
      <c r="A1245" s="6" t="s">
        <v>3920</v>
      </c>
      <c r="B1245" s="7">
        <f t="shared" si="58"/>
        <v>46114</v>
      </c>
      <c r="C1245" s="7">
        <f t="shared" si="59"/>
        <v>46120</v>
      </c>
      <c r="D1245" s="6">
        <v>3280</v>
      </c>
      <c r="E1245" s="6">
        <v>337</v>
      </c>
      <c r="F1245" s="6">
        <v>4</v>
      </c>
      <c r="G1245" s="15">
        <v>1</v>
      </c>
      <c r="H1245" s="15"/>
      <c r="I1245" s="15" t="s">
        <v>1505</v>
      </c>
      <c r="J1245" s="15">
        <v>24521242</v>
      </c>
      <c r="K1245" s="15" t="s">
        <v>1463</v>
      </c>
      <c r="L1245" s="15" t="s">
        <v>1472</v>
      </c>
      <c r="M1245" s="16">
        <v>209900</v>
      </c>
      <c r="N1245" s="9">
        <v>0.95</v>
      </c>
      <c r="O1245" s="8">
        <f t="shared" si="57"/>
        <v>10495</v>
      </c>
      <c r="P1245" s="6" t="s">
        <v>15</v>
      </c>
    </row>
    <row r="1246" spans="1:16" x14ac:dyDescent="0.25">
      <c r="A1246" s="6" t="s">
        <v>3920</v>
      </c>
      <c r="B1246" s="7">
        <f t="shared" si="58"/>
        <v>46114</v>
      </c>
      <c r="C1246" s="7">
        <f t="shared" si="59"/>
        <v>46120</v>
      </c>
      <c r="D1246" s="6">
        <v>3280</v>
      </c>
      <c r="E1246" s="6">
        <v>337</v>
      </c>
      <c r="F1246" s="6">
        <v>4</v>
      </c>
      <c r="G1246" s="15">
        <v>1</v>
      </c>
      <c r="H1246" s="15"/>
      <c r="I1246" s="15" t="s">
        <v>1505</v>
      </c>
      <c r="J1246" s="15">
        <v>24431429</v>
      </c>
      <c r="K1246" s="15" t="s">
        <v>1473</v>
      </c>
      <c r="L1246" s="15" t="s">
        <v>1474</v>
      </c>
      <c r="M1246" s="16">
        <v>229900</v>
      </c>
      <c r="N1246" s="9">
        <v>0.95</v>
      </c>
      <c r="O1246" s="8">
        <f t="shared" si="57"/>
        <v>11495</v>
      </c>
      <c r="P1246" s="6" t="s">
        <v>15</v>
      </c>
    </row>
    <row r="1247" spans="1:16" x14ac:dyDescent="0.25">
      <c r="A1247" s="6" t="s">
        <v>3920</v>
      </c>
      <c r="B1247" s="7">
        <f t="shared" si="58"/>
        <v>46114</v>
      </c>
      <c r="C1247" s="7">
        <f t="shared" si="59"/>
        <v>46120</v>
      </c>
      <c r="D1247" s="6">
        <v>3280</v>
      </c>
      <c r="E1247" s="6">
        <v>337</v>
      </c>
      <c r="F1247" s="6">
        <v>4</v>
      </c>
      <c r="G1247" s="15">
        <v>1</v>
      </c>
      <c r="H1247" s="15"/>
      <c r="I1247" s="15" t="s">
        <v>1505</v>
      </c>
      <c r="J1247" s="15">
        <v>24431438</v>
      </c>
      <c r="K1247" s="15" t="s">
        <v>1473</v>
      </c>
      <c r="L1247" s="15" t="s">
        <v>1475</v>
      </c>
      <c r="M1247" s="16">
        <v>229900</v>
      </c>
      <c r="N1247" s="9">
        <v>0.95</v>
      </c>
      <c r="O1247" s="8">
        <f t="shared" si="57"/>
        <v>11495</v>
      </c>
      <c r="P1247" s="6" t="s">
        <v>15</v>
      </c>
    </row>
    <row r="1248" spans="1:16" x14ac:dyDescent="0.25">
      <c r="A1248" s="6" t="s">
        <v>3920</v>
      </c>
      <c r="B1248" s="7">
        <f t="shared" si="58"/>
        <v>46114</v>
      </c>
      <c r="C1248" s="7">
        <f t="shared" si="59"/>
        <v>46120</v>
      </c>
      <c r="D1248" s="6">
        <v>3280</v>
      </c>
      <c r="E1248" s="6">
        <v>337</v>
      </c>
      <c r="F1248" s="6">
        <v>4</v>
      </c>
      <c r="G1248" s="15">
        <v>1</v>
      </c>
      <c r="H1248" s="15"/>
      <c r="I1248" s="15" t="s">
        <v>1505</v>
      </c>
      <c r="J1248" s="15">
        <v>24431447</v>
      </c>
      <c r="K1248" s="15" t="s">
        <v>1473</v>
      </c>
      <c r="L1248" s="15" t="s">
        <v>1476</v>
      </c>
      <c r="M1248" s="16">
        <v>239900</v>
      </c>
      <c r="N1248" s="9">
        <v>0.95</v>
      </c>
      <c r="O1248" s="8">
        <f t="shared" si="57"/>
        <v>11995</v>
      </c>
      <c r="P1248" s="6" t="s">
        <v>15</v>
      </c>
    </row>
    <row r="1249" spans="1:16" x14ac:dyDescent="0.25">
      <c r="A1249" s="6" t="s">
        <v>3920</v>
      </c>
      <c r="B1249" s="7">
        <f t="shared" si="58"/>
        <v>46114</v>
      </c>
      <c r="C1249" s="7">
        <f t="shared" si="59"/>
        <v>46120</v>
      </c>
      <c r="D1249" s="6">
        <v>3280</v>
      </c>
      <c r="E1249" s="6">
        <v>337</v>
      </c>
      <c r="F1249" s="6">
        <v>4</v>
      </c>
      <c r="G1249" s="15">
        <v>1</v>
      </c>
      <c r="H1249" s="15"/>
      <c r="I1249" s="15" t="s">
        <v>1505</v>
      </c>
      <c r="J1249" s="15">
        <v>24431456</v>
      </c>
      <c r="K1249" s="15" t="s">
        <v>1473</v>
      </c>
      <c r="L1249" s="15" t="s">
        <v>1477</v>
      </c>
      <c r="M1249" s="16">
        <v>239900</v>
      </c>
      <c r="N1249" s="9">
        <v>0.95</v>
      </c>
      <c r="O1249" s="8">
        <f t="shared" si="57"/>
        <v>11995</v>
      </c>
      <c r="P1249" s="6" t="s">
        <v>15</v>
      </c>
    </row>
    <row r="1250" spans="1:16" x14ac:dyDescent="0.25">
      <c r="A1250" s="6" t="s">
        <v>3920</v>
      </c>
      <c r="B1250" s="7">
        <f t="shared" si="58"/>
        <v>46114</v>
      </c>
      <c r="C1250" s="7">
        <f t="shared" si="59"/>
        <v>46120</v>
      </c>
      <c r="D1250" s="6">
        <v>3280</v>
      </c>
      <c r="E1250" s="6">
        <v>337</v>
      </c>
      <c r="F1250" s="6">
        <v>4</v>
      </c>
      <c r="G1250" s="15">
        <v>1</v>
      </c>
      <c r="H1250" s="15"/>
      <c r="I1250" s="15" t="s">
        <v>1505</v>
      </c>
      <c r="J1250" s="15">
        <v>24535531</v>
      </c>
      <c r="K1250" s="15" t="s">
        <v>1478</v>
      </c>
      <c r="L1250" s="15" t="s">
        <v>1479</v>
      </c>
      <c r="M1250" s="16">
        <v>189900</v>
      </c>
      <c r="N1250" s="9">
        <v>0.95</v>
      </c>
      <c r="O1250" s="8">
        <f t="shared" si="57"/>
        <v>9495</v>
      </c>
      <c r="P1250" s="6" t="s">
        <v>15</v>
      </c>
    </row>
    <row r="1251" spans="1:16" x14ac:dyDescent="0.25">
      <c r="A1251" s="6" t="s">
        <v>3920</v>
      </c>
      <c r="B1251" s="7">
        <f t="shared" si="58"/>
        <v>46114</v>
      </c>
      <c r="C1251" s="7">
        <f t="shared" si="59"/>
        <v>46120</v>
      </c>
      <c r="D1251" s="6">
        <v>3280</v>
      </c>
      <c r="E1251" s="6">
        <v>337</v>
      </c>
      <c r="F1251" s="6">
        <v>4</v>
      </c>
      <c r="G1251" s="15">
        <v>1</v>
      </c>
      <c r="H1251" s="15"/>
      <c r="I1251" s="15" t="s">
        <v>1505</v>
      </c>
      <c r="J1251" s="15">
        <v>24535540</v>
      </c>
      <c r="K1251" s="15" t="s">
        <v>1478</v>
      </c>
      <c r="L1251" s="15" t="s">
        <v>1480</v>
      </c>
      <c r="M1251" s="16">
        <v>189900</v>
      </c>
      <c r="N1251" s="9">
        <v>0.95</v>
      </c>
      <c r="O1251" s="8">
        <f t="shared" si="57"/>
        <v>9495</v>
      </c>
      <c r="P1251" s="6" t="s">
        <v>15</v>
      </c>
    </row>
    <row r="1252" spans="1:16" x14ac:dyDescent="0.25">
      <c r="A1252" s="6" t="s">
        <v>3920</v>
      </c>
      <c r="B1252" s="7">
        <f t="shared" si="58"/>
        <v>46114</v>
      </c>
      <c r="C1252" s="7">
        <f t="shared" si="59"/>
        <v>46120</v>
      </c>
      <c r="D1252" s="6">
        <v>3280</v>
      </c>
      <c r="E1252" s="6">
        <v>337</v>
      </c>
      <c r="F1252" s="6">
        <v>4</v>
      </c>
      <c r="G1252" s="15">
        <v>1</v>
      </c>
      <c r="H1252" s="15"/>
      <c r="I1252" s="15" t="s">
        <v>1505</v>
      </c>
      <c r="J1252" s="15">
        <v>24535559</v>
      </c>
      <c r="K1252" s="15" t="s">
        <v>1478</v>
      </c>
      <c r="L1252" s="15" t="s">
        <v>1481</v>
      </c>
      <c r="M1252" s="16">
        <v>189900</v>
      </c>
      <c r="N1252" s="9">
        <v>0.95</v>
      </c>
      <c r="O1252" s="8">
        <f t="shared" si="57"/>
        <v>9495</v>
      </c>
      <c r="P1252" s="6" t="s">
        <v>15</v>
      </c>
    </row>
    <row r="1253" spans="1:16" x14ac:dyDescent="0.25">
      <c r="A1253" s="6" t="s">
        <v>3920</v>
      </c>
      <c r="B1253" s="7">
        <f t="shared" si="58"/>
        <v>46114</v>
      </c>
      <c r="C1253" s="7">
        <f t="shared" si="59"/>
        <v>46120</v>
      </c>
      <c r="D1253" s="6">
        <v>3280</v>
      </c>
      <c r="E1253" s="6">
        <v>337</v>
      </c>
      <c r="F1253" s="6">
        <v>4</v>
      </c>
      <c r="G1253" s="15">
        <v>1</v>
      </c>
      <c r="H1253" s="15"/>
      <c r="I1253" s="15" t="s">
        <v>1505</v>
      </c>
      <c r="J1253" s="15">
        <v>24535568</v>
      </c>
      <c r="K1253" s="15" t="s">
        <v>1478</v>
      </c>
      <c r="L1253" s="15" t="s">
        <v>1482</v>
      </c>
      <c r="M1253" s="16">
        <v>199900</v>
      </c>
      <c r="N1253" s="9">
        <v>0.95</v>
      </c>
      <c r="O1253" s="8">
        <f t="shared" si="57"/>
        <v>9995</v>
      </c>
      <c r="P1253" s="6" t="s">
        <v>15</v>
      </c>
    </row>
    <row r="1254" spans="1:16" x14ac:dyDescent="0.25">
      <c r="A1254" s="6" t="s">
        <v>3920</v>
      </c>
      <c r="B1254" s="7">
        <f t="shared" si="58"/>
        <v>46114</v>
      </c>
      <c r="C1254" s="7">
        <f t="shared" si="59"/>
        <v>46120</v>
      </c>
      <c r="D1254" s="6">
        <v>3280</v>
      </c>
      <c r="E1254" s="6">
        <v>337</v>
      </c>
      <c r="F1254" s="6">
        <v>4</v>
      </c>
      <c r="G1254" s="15">
        <v>1</v>
      </c>
      <c r="H1254" s="15"/>
      <c r="I1254" s="15" t="s">
        <v>1505</v>
      </c>
      <c r="J1254" s="15">
        <v>24535577</v>
      </c>
      <c r="K1254" s="15" t="s">
        <v>1478</v>
      </c>
      <c r="L1254" s="15" t="s">
        <v>1483</v>
      </c>
      <c r="M1254" s="16">
        <v>199900</v>
      </c>
      <c r="N1254" s="9">
        <v>0.95</v>
      </c>
      <c r="O1254" s="8">
        <f t="shared" si="57"/>
        <v>9995</v>
      </c>
      <c r="P1254" s="6" t="s">
        <v>15</v>
      </c>
    </row>
    <row r="1255" spans="1:16" x14ac:dyDescent="0.25">
      <c r="A1255" s="6" t="s">
        <v>3920</v>
      </c>
      <c r="B1255" s="7">
        <f t="shared" si="58"/>
        <v>46114</v>
      </c>
      <c r="C1255" s="7">
        <f t="shared" si="59"/>
        <v>46120</v>
      </c>
      <c r="D1255" s="6">
        <v>3280</v>
      </c>
      <c r="E1255" s="6">
        <v>337</v>
      </c>
      <c r="F1255" s="6">
        <v>4</v>
      </c>
      <c r="G1255" s="15">
        <v>1</v>
      </c>
      <c r="H1255" s="15"/>
      <c r="I1255" s="15" t="s">
        <v>1505</v>
      </c>
      <c r="J1255" s="15">
        <v>24537833</v>
      </c>
      <c r="K1255" s="15" t="s">
        <v>1484</v>
      </c>
      <c r="L1255" s="15" t="s">
        <v>1485</v>
      </c>
      <c r="M1255" s="16">
        <v>209900</v>
      </c>
      <c r="N1255" s="9">
        <v>0.95</v>
      </c>
      <c r="O1255" s="8">
        <f t="shared" si="57"/>
        <v>10495</v>
      </c>
      <c r="P1255" s="6" t="s">
        <v>15</v>
      </c>
    </row>
    <row r="1256" spans="1:16" x14ac:dyDescent="0.25">
      <c r="A1256" s="6" t="s">
        <v>3920</v>
      </c>
      <c r="B1256" s="7">
        <f t="shared" si="58"/>
        <v>46114</v>
      </c>
      <c r="C1256" s="7">
        <f t="shared" si="59"/>
        <v>46120</v>
      </c>
      <c r="D1256" s="6">
        <v>3280</v>
      </c>
      <c r="E1256" s="6">
        <v>337</v>
      </c>
      <c r="F1256" s="6">
        <v>4</v>
      </c>
      <c r="G1256" s="15">
        <v>1</v>
      </c>
      <c r="H1256" s="15"/>
      <c r="I1256" s="15" t="s">
        <v>1505</v>
      </c>
      <c r="J1256" s="15">
        <v>24537842</v>
      </c>
      <c r="K1256" s="15" t="s">
        <v>1484</v>
      </c>
      <c r="L1256" s="15" t="s">
        <v>1486</v>
      </c>
      <c r="M1256" s="16">
        <v>209900</v>
      </c>
      <c r="N1256" s="9">
        <v>0.95</v>
      </c>
      <c r="O1256" s="8">
        <f t="shared" si="57"/>
        <v>10495</v>
      </c>
      <c r="P1256" s="6" t="s">
        <v>15</v>
      </c>
    </row>
    <row r="1257" spans="1:16" x14ac:dyDescent="0.25">
      <c r="A1257" s="6" t="s">
        <v>3920</v>
      </c>
      <c r="B1257" s="7">
        <f t="shared" si="58"/>
        <v>46114</v>
      </c>
      <c r="C1257" s="7">
        <f t="shared" si="59"/>
        <v>46120</v>
      </c>
      <c r="D1257" s="6">
        <v>3280</v>
      </c>
      <c r="E1257" s="6">
        <v>337</v>
      </c>
      <c r="F1257" s="6">
        <v>4</v>
      </c>
      <c r="G1257" s="15">
        <v>1</v>
      </c>
      <c r="H1257" s="15"/>
      <c r="I1257" s="15" t="s">
        <v>1505</v>
      </c>
      <c r="J1257" s="15">
        <v>24537851</v>
      </c>
      <c r="K1257" s="15" t="s">
        <v>1484</v>
      </c>
      <c r="L1257" s="15" t="s">
        <v>1487</v>
      </c>
      <c r="M1257" s="16">
        <v>209900</v>
      </c>
      <c r="N1257" s="9">
        <v>0.95</v>
      </c>
      <c r="O1257" s="8">
        <f t="shared" si="57"/>
        <v>10495</v>
      </c>
      <c r="P1257" s="6" t="s">
        <v>15</v>
      </c>
    </row>
    <row r="1258" spans="1:16" x14ac:dyDescent="0.25">
      <c r="A1258" s="6" t="s">
        <v>3920</v>
      </c>
      <c r="B1258" s="7">
        <f t="shared" si="58"/>
        <v>46114</v>
      </c>
      <c r="C1258" s="7">
        <f t="shared" si="59"/>
        <v>46120</v>
      </c>
      <c r="D1258" s="6">
        <v>3280</v>
      </c>
      <c r="E1258" s="6">
        <v>337</v>
      </c>
      <c r="F1258" s="6">
        <v>4</v>
      </c>
      <c r="G1258" s="15">
        <v>1</v>
      </c>
      <c r="H1258" s="15"/>
      <c r="I1258" s="15" t="s">
        <v>1505</v>
      </c>
      <c r="J1258" s="15">
        <v>24537860</v>
      </c>
      <c r="K1258" s="15" t="s">
        <v>1484</v>
      </c>
      <c r="L1258" s="15" t="s">
        <v>1488</v>
      </c>
      <c r="M1258" s="16">
        <v>219900</v>
      </c>
      <c r="N1258" s="9">
        <v>0.95</v>
      </c>
      <c r="O1258" s="8">
        <f t="shared" si="57"/>
        <v>10995</v>
      </c>
      <c r="P1258" s="6" t="s">
        <v>15</v>
      </c>
    </row>
    <row r="1259" spans="1:16" x14ac:dyDescent="0.25">
      <c r="A1259" s="6" t="s">
        <v>3920</v>
      </c>
      <c r="B1259" s="7">
        <f t="shared" si="58"/>
        <v>46114</v>
      </c>
      <c r="C1259" s="7">
        <f t="shared" si="59"/>
        <v>46120</v>
      </c>
      <c r="D1259" s="6">
        <v>3280</v>
      </c>
      <c r="E1259" s="6">
        <v>337</v>
      </c>
      <c r="F1259" s="6">
        <v>4</v>
      </c>
      <c r="G1259" s="15">
        <v>1</v>
      </c>
      <c r="H1259" s="15"/>
      <c r="I1259" s="15" t="s">
        <v>1505</v>
      </c>
      <c r="J1259" s="15">
        <v>24537879</v>
      </c>
      <c r="K1259" s="15" t="s">
        <v>1484</v>
      </c>
      <c r="L1259" s="15" t="s">
        <v>1489</v>
      </c>
      <c r="M1259" s="16">
        <v>219900</v>
      </c>
      <c r="N1259" s="9">
        <v>0.95</v>
      </c>
      <c r="O1259" s="8">
        <f t="shared" si="57"/>
        <v>10995</v>
      </c>
      <c r="P1259" s="6" t="s">
        <v>15</v>
      </c>
    </row>
    <row r="1260" spans="1:16" x14ac:dyDescent="0.25">
      <c r="A1260" s="6" t="s">
        <v>3920</v>
      </c>
      <c r="B1260" s="7">
        <f t="shared" si="58"/>
        <v>46114</v>
      </c>
      <c r="C1260" s="7">
        <f t="shared" si="59"/>
        <v>46120</v>
      </c>
      <c r="D1260" s="6">
        <v>3280</v>
      </c>
      <c r="E1260" s="6">
        <v>337</v>
      </c>
      <c r="F1260" s="6">
        <v>4</v>
      </c>
      <c r="G1260" s="15">
        <v>1</v>
      </c>
      <c r="H1260" s="15"/>
      <c r="I1260" s="15" t="s">
        <v>1505</v>
      </c>
      <c r="J1260" s="15">
        <v>24537888</v>
      </c>
      <c r="K1260" s="15" t="s">
        <v>1484</v>
      </c>
      <c r="L1260" s="15" t="s">
        <v>1490</v>
      </c>
      <c r="M1260" s="16">
        <v>219900</v>
      </c>
      <c r="N1260" s="9">
        <v>0.95</v>
      </c>
      <c r="O1260" s="8">
        <f t="shared" si="57"/>
        <v>10995</v>
      </c>
      <c r="P1260" s="6" t="s">
        <v>15</v>
      </c>
    </row>
    <row r="1261" spans="1:16" x14ac:dyDescent="0.25">
      <c r="A1261" s="6" t="s">
        <v>3920</v>
      </c>
      <c r="B1261" s="7">
        <f t="shared" si="58"/>
        <v>46114</v>
      </c>
      <c r="C1261" s="7">
        <f t="shared" si="59"/>
        <v>46120</v>
      </c>
      <c r="D1261" s="6">
        <v>3280</v>
      </c>
      <c r="E1261" s="6">
        <v>337</v>
      </c>
      <c r="F1261" s="6">
        <v>4</v>
      </c>
      <c r="G1261" s="15">
        <v>1</v>
      </c>
      <c r="H1261" s="15"/>
      <c r="I1261" s="15" t="s">
        <v>1505</v>
      </c>
      <c r="J1261" s="15">
        <v>24537977</v>
      </c>
      <c r="K1261" s="15" t="s">
        <v>1491</v>
      </c>
      <c r="L1261" s="15" t="s">
        <v>1492</v>
      </c>
      <c r="M1261" s="16">
        <v>199900</v>
      </c>
      <c r="N1261" s="9">
        <v>0.95</v>
      </c>
      <c r="O1261" s="8">
        <f t="shared" si="57"/>
        <v>9995</v>
      </c>
      <c r="P1261" s="6" t="s">
        <v>15</v>
      </c>
    </row>
    <row r="1262" spans="1:16" x14ac:dyDescent="0.25">
      <c r="A1262" s="6" t="s">
        <v>3920</v>
      </c>
      <c r="B1262" s="7">
        <f t="shared" si="58"/>
        <v>46114</v>
      </c>
      <c r="C1262" s="7">
        <f t="shared" si="59"/>
        <v>46120</v>
      </c>
      <c r="D1262" s="6">
        <v>3280</v>
      </c>
      <c r="E1262" s="6">
        <v>337</v>
      </c>
      <c r="F1262" s="6">
        <v>4</v>
      </c>
      <c r="G1262" s="15">
        <v>1</v>
      </c>
      <c r="H1262" s="15"/>
      <c r="I1262" s="15" t="s">
        <v>1505</v>
      </c>
      <c r="J1262" s="15">
        <v>24537986</v>
      </c>
      <c r="K1262" s="15" t="s">
        <v>1491</v>
      </c>
      <c r="L1262" s="15" t="s">
        <v>1493</v>
      </c>
      <c r="M1262" s="16">
        <v>199900</v>
      </c>
      <c r="N1262" s="9">
        <v>0.95</v>
      </c>
      <c r="O1262" s="8">
        <f t="shared" si="57"/>
        <v>9995</v>
      </c>
      <c r="P1262" s="6" t="s">
        <v>15</v>
      </c>
    </row>
    <row r="1263" spans="1:16" x14ac:dyDescent="0.25">
      <c r="A1263" s="6" t="s">
        <v>3920</v>
      </c>
      <c r="B1263" s="7">
        <f t="shared" si="58"/>
        <v>46114</v>
      </c>
      <c r="C1263" s="7">
        <f t="shared" si="59"/>
        <v>46120</v>
      </c>
      <c r="D1263" s="6">
        <v>3280</v>
      </c>
      <c r="E1263" s="6">
        <v>337</v>
      </c>
      <c r="F1263" s="6">
        <v>4</v>
      </c>
      <c r="G1263" s="15">
        <v>1</v>
      </c>
      <c r="H1263" s="15"/>
      <c r="I1263" s="15" t="s">
        <v>1505</v>
      </c>
      <c r="J1263" s="15">
        <v>24537995</v>
      </c>
      <c r="K1263" s="15" t="s">
        <v>1491</v>
      </c>
      <c r="L1263" s="15" t="s">
        <v>1494</v>
      </c>
      <c r="M1263" s="16">
        <v>199900</v>
      </c>
      <c r="N1263" s="9">
        <v>0.95</v>
      </c>
      <c r="O1263" s="8">
        <f t="shared" si="57"/>
        <v>9995</v>
      </c>
      <c r="P1263" s="6" t="s">
        <v>15</v>
      </c>
    </row>
    <row r="1264" spans="1:16" x14ac:dyDescent="0.25">
      <c r="A1264" s="6" t="s">
        <v>3920</v>
      </c>
      <c r="B1264" s="7">
        <f t="shared" si="58"/>
        <v>46114</v>
      </c>
      <c r="C1264" s="7">
        <f t="shared" si="59"/>
        <v>46120</v>
      </c>
      <c r="D1264" s="6">
        <v>3280</v>
      </c>
      <c r="E1264" s="6">
        <v>337</v>
      </c>
      <c r="F1264" s="6">
        <v>4</v>
      </c>
      <c r="G1264" s="15">
        <v>1</v>
      </c>
      <c r="H1264" s="15"/>
      <c r="I1264" s="15" t="s">
        <v>1505</v>
      </c>
      <c r="J1264" s="15">
        <v>24538029</v>
      </c>
      <c r="K1264" s="15" t="s">
        <v>1491</v>
      </c>
      <c r="L1264" s="15" t="s">
        <v>1495</v>
      </c>
      <c r="M1264" s="16">
        <v>209900</v>
      </c>
      <c r="N1264" s="9">
        <v>0.95</v>
      </c>
      <c r="O1264" s="8">
        <f t="shared" si="57"/>
        <v>10495</v>
      </c>
      <c r="P1264" s="6" t="s">
        <v>15</v>
      </c>
    </row>
    <row r="1265" spans="1:16" x14ac:dyDescent="0.25">
      <c r="A1265" s="6" t="s">
        <v>3920</v>
      </c>
      <c r="B1265" s="7">
        <f t="shared" si="58"/>
        <v>46114</v>
      </c>
      <c r="C1265" s="7">
        <f t="shared" si="59"/>
        <v>46120</v>
      </c>
      <c r="D1265" s="6">
        <v>3280</v>
      </c>
      <c r="E1265" s="6">
        <v>337</v>
      </c>
      <c r="F1265" s="6">
        <v>4</v>
      </c>
      <c r="G1265" s="15">
        <v>1</v>
      </c>
      <c r="H1265" s="15"/>
      <c r="I1265" s="15" t="s">
        <v>1505</v>
      </c>
      <c r="J1265" s="15">
        <v>24538010</v>
      </c>
      <c r="K1265" s="15" t="s">
        <v>1491</v>
      </c>
      <c r="L1265" s="15" t="s">
        <v>1496</v>
      </c>
      <c r="M1265" s="16">
        <v>209900</v>
      </c>
      <c r="N1265" s="9">
        <v>0.95</v>
      </c>
      <c r="O1265" s="8">
        <f t="shared" si="57"/>
        <v>10495</v>
      </c>
      <c r="P1265" s="6" t="s">
        <v>15</v>
      </c>
    </row>
    <row r="1266" spans="1:16" x14ac:dyDescent="0.25">
      <c r="A1266" s="6" t="s">
        <v>3920</v>
      </c>
      <c r="B1266" s="7">
        <f t="shared" si="58"/>
        <v>46114</v>
      </c>
      <c r="C1266" s="7">
        <f t="shared" si="59"/>
        <v>46120</v>
      </c>
      <c r="D1266" s="6">
        <v>3280</v>
      </c>
      <c r="E1266" s="6">
        <v>337</v>
      </c>
      <c r="F1266" s="6">
        <v>4</v>
      </c>
      <c r="G1266" s="15">
        <v>1</v>
      </c>
      <c r="H1266" s="15"/>
      <c r="I1266" s="15" t="s">
        <v>1505</v>
      </c>
      <c r="J1266" s="15">
        <v>24538001</v>
      </c>
      <c r="K1266" s="15" t="s">
        <v>1491</v>
      </c>
      <c r="L1266" s="15" t="s">
        <v>1497</v>
      </c>
      <c r="M1266" s="16">
        <v>209900</v>
      </c>
      <c r="N1266" s="9">
        <v>0.95</v>
      </c>
      <c r="O1266" s="8">
        <f t="shared" si="57"/>
        <v>10495</v>
      </c>
      <c r="P1266" s="6" t="s">
        <v>15</v>
      </c>
    </row>
    <row r="1267" spans="1:16" x14ac:dyDescent="0.25">
      <c r="A1267" s="6" t="s">
        <v>3920</v>
      </c>
      <c r="B1267" s="7">
        <f t="shared" si="58"/>
        <v>46114</v>
      </c>
      <c r="C1267" s="7">
        <f t="shared" si="59"/>
        <v>46120</v>
      </c>
      <c r="D1267" s="6">
        <v>3280</v>
      </c>
      <c r="E1267" s="6">
        <v>337</v>
      </c>
      <c r="F1267" s="6">
        <v>4</v>
      </c>
      <c r="G1267" s="15">
        <v>1</v>
      </c>
      <c r="H1267" s="15"/>
      <c r="I1267" s="15" t="s">
        <v>1505</v>
      </c>
      <c r="J1267" s="15">
        <v>24431465</v>
      </c>
      <c r="K1267" s="15" t="s">
        <v>1473</v>
      </c>
      <c r="L1267" s="15" t="s">
        <v>1498</v>
      </c>
      <c r="M1267" s="16">
        <v>239900</v>
      </c>
      <c r="N1267" s="9">
        <v>0.95</v>
      </c>
      <c r="O1267" s="8">
        <f t="shared" si="57"/>
        <v>11995</v>
      </c>
      <c r="P1267" s="6" t="s">
        <v>15</v>
      </c>
    </row>
    <row r="1268" spans="1:16" x14ac:dyDescent="0.25">
      <c r="A1268" s="6" t="s">
        <v>3920</v>
      </c>
      <c r="B1268" s="7">
        <f t="shared" si="58"/>
        <v>46114</v>
      </c>
      <c r="C1268" s="7">
        <f t="shared" si="59"/>
        <v>46120</v>
      </c>
      <c r="D1268" s="6">
        <v>3280</v>
      </c>
      <c r="E1268" s="6">
        <v>337</v>
      </c>
      <c r="F1268" s="6">
        <v>4</v>
      </c>
      <c r="G1268" s="15">
        <v>1</v>
      </c>
      <c r="H1268" s="15"/>
      <c r="I1268" s="15" t="s">
        <v>1505</v>
      </c>
      <c r="J1268" s="15">
        <v>24431410</v>
      </c>
      <c r="K1268" s="15" t="s">
        <v>1473</v>
      </c>
      <c r="L1268" s="15" t="s">
        <v>1499</v>
      </c>
      <c r="M1268" s="16">
        <v>229900</v>
      </c>
      <c r="N1268" s="9">
        <v>0.95</v>
      </c>
      <c r="O1268" s="8">
        <f t="shared" si="57"/>
        <v>11495</v>
      </c>
      <c r="P1268" s="6" t="s">
        <v>15</v>
      </c>
    </row>
    <row r="1269" spans="1:16" x14ac:dyDescent="0.25">
      <c r="A1269" s="6" t="s">
        <v>3920</v>
      </c>
      <c r="B1269" s="7">
        <f t="shared" si="58"/>
        <v>46114</v>
      </c>
      <c r="C1269" s="7">
        <f t="shared" si="59"/>
        <v>46120</v>
      </c>
      <c r="D1269" s="6">
        <v>3280</v>
      </c>
      <c r="E1269" s="6">
        <v>337</v>
      </c>
      <c r="F1269" s="6">
        <v>4</v>
      </c>
      <c r="G1269" s="15">
        <v>1</v>
      </c>
      <c r="H1269" s="15"/>
      <c r="I1269" s="15" t="s">
        <v>1505</v>
      </c>
      <c r="J1269" s="15">
        <v>24036679</v>
      </c>
      <c r="K1269" s="15" t="s">
        <v>1478</v>
      </c>
      <c r="L1269" s="15" t="s">
        <v>1500</v>
      </c>
      <c r="M1269" s="16">
        <v>189900</v>
      </c>
      <c r="N1269" s="9">
        <v>0.95</v>
      </c>
      <c r="O1269" s="8">
        <f t="shared" si="57"/>
        <v>9495</v>
      </c>
      <c r="P1269" s="6" t="s">
        <v>15</v>
      </c>
    </row>
    <row r="1270" spans="1:16" x14ac:dyDescent="0.25">
      <c r="A1270" s="6" t="s">
        <v>3920</v>
      </c>
      <c r="B1270" s="7">
        <f t="shared" si="58"/>
        <v>46114</v>
      </c>
      <c r="C1270" s="7">
        <f t="shared" si="59"/>
        <v>46120</v>
      </c>
      <c r="D1270" s="6">
        <v>3280</v>
      </c>
      <c r="E1270" s="6">
        <v>337</v>
      </c>
      <c r="F1270" s="6">
        <v>4</v>
      </c>
      <c r="G1270" s="15">
        <v>1</v>
      </c>
      <c r="H1270" s="15"/>
      <c r="I1270" s="15" t="s">
        <v>1505</v>
      </c>
      <c r="J1270" s="15">
        <v>24036688</v>
      </c>
      <c r="K1270" s="15" t="s">
        <v>1478</v>
      </c>
      <c r="L1270" s="15" t="s">
        <v>1501</v>
      </c>
      <c r="M1270" s="16">
        <v>189900</v>
      </c>
      <c r="N1270" s="9">
        <v>0.95</v>
      </c>
      <c r="O1270" s="8">
        <f t="shared" si="57"/>
        <v>9495</v>
      </c>
      <c r="P1270" s="6" t="s">
        <v>15</v>
      </c>
    </row>
    <row r="1271" spans="1:16" x14ac:dyDescent="0.25">
      <c r="A1271" s="6" t="s">
        <v>3920</v>
      </c>
      <c r="B1271" s="7">
        <f t="shared" si="58"/>
        <v>46114</v>
      </c>
      <c r="C1271" s="7">
        <f t="shared" si="59"/>
        <v>46120</v>
      </c>
      <c r="D1271" s="6">
        <v>3280</v>
      </c>
      <c r="E1271" s="6">
        <v>337</v>
      </c>
      <c r="F1271" s="6">
        <v>4</v>
      </c>
      <c r="G1271" s="15">
        <v>1</v>
      </c>
      <c r="H1271" s="15"/>
      <c r="I1271" s="15" t="s">
        <v>1505</v>
      </c>
      <c r="J1271" s="15">
        <v>24036697</v>
      </c>
      <c r="K1271" s="15" t="s">
        <v>1478</v>
      </c>
      <c r="L1271" s="15" t="s">
        <v>1502</v>
      </c>
      <c r="M1271" s="16">
        <v>199900</v>
      </c>
      <c r="N1271" s="9">
        <v>0.95</v>
      </c>
      <c r="O1271" s="8">
        <f t="shared" si="57"/>
        <v>9995</v>
      </c>
      <c r="P1271" s="6" t="s">
        <v>15</v>
      </c>
    </row>
    <row r="1272" spans="1:16" x14ac:dyDescent="0.25">
      <c r="A1272" s="6" t="s">
        <v>3920</v>
      </c>
      <c r="B1272" s="7">
        <f t="shared" si="58"/>
        <v>46114</v>
      </c>
      <c r="C1272" s="7">
        <f t="shared" si="59"/>
        <v>46120</v>
      </c>
      <c r="D1272" s="6">
        <v>3280</v>
      </c>
      <c r="E1272" s="6">
        <v>337</v>
      </c>
      <c r="F1272" s="6">
        <v>4</v>
      </c>
      <c r="G1272" s="15">
        <v>1</v>
      </c>
      <c r="H1272" s="15"/>
      <c r="I1272" s="15" t="s">
        <v>1505</v>
      </c>
      <c r="J1272" s="15">
        <v>24036704</v>
      </c>
      <c r="K1272" s="15" t="s">
        <v>1478</v>
      </c>
      <c r="L1272" s="15" t="s">
        <v>1503</v>
      </c>
      <c r="M1272" s="16">
        <v>199900</v>
      </c>
      <c r="N1272" s="9">
        <v>0.95</v>
      </c>
      <c r="O1272" s="8">
        <f t="shared" si="57"/>
        <v>9995</v>
      </c>
      <c r="P1272" s="6" t="s">
        <v>15</v>
      </c>
    </row>
    <row r="1273" spans="1:16" x14ac:dyDescent="0.25">
      <c r="A1273" s="6" t="s">
        <v>3920</v>
      </c>
      <c r="B1273" s="7">
        <f t="shared" si="58"/>
        <v>46114</v>
      </c>
      <c r="C1273" s="7">
        <f t="shared" si="59"/>
        <v>46120</v>
      </c>
      <c r="D1273" s="6">
        <v>3280</v>
      </c>
      <c r="E1273" s="6">
        <v>337</v>
      </c>
      <c r="F1273" s="6">
        <v>4</v>
      </c>
      <c r="G1273" s="15">
        <v>1</v>
      </c>
      <c r="H1273" s="15"/>
      <c r="I1273" s="15" t="s">
        <v>1505</v>
      </c>
      <c r="J1273" s="15">
        <v>24036660</v>
      </c>
      <c r="K1273" s="15" t="s">
        <v>1478</v>
      </c>
      <c r="L1273" s="15" t="s">
        <v>1504</v>
      </c>
      <c r="M1273" s="16">
        <v>189900</v>
      </c>
      <c r="N1273" s="9">
        <v>0.95</v>
      </c>
      <c r="O1273" s="8">
        <f t="shared" si="57"/>
        <v>9495</v>
      </c>
      <c r="P1273" s="6" t="s">
        <v>15</v>
      </c>
    </row>
  </sheetData>
  <autoFilter ref="A1:P1273" xr:uid="{00000000-0009-0000-0000-000000000000}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4"/>
  <sheetViews>
    <sheetView tabSelected="1" zoomScale="75" zoomScaleNormal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.42578125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33.7109375" style="2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4426</v>
      </c>
      <c r="B2" s="7">
        <f>'2019 ALL D95'!B2</f>
        <v>46114</v>
      </c>
      <c r="C2" s="7">
        <f>'2019 ALL D95'!C2</f>
        <v>46120</v>
      </c>
      <c r="D2" s="6">
        <v>3280</v>
      </c>
      <c r="E2" s="6">
        <v>337</v>
      </c>
      <c r="F2" s="6">
        <v>4</v>
      </c>
      <c r="G2" s="17">
        <v>1</v>
      </c>
      <c r="H2" s="17"/>
      <c r="I2" s="17" t="s">
        <v>1505</v>
      </c>
      <c r="J2" s="17">
        <v>26502956</v>
      </c>
      <c r="K2" s="17" t="s">
        <v>1344</v>
      </c>
      <c r="L2" s="17" t="s">
        <v>1506</v>
      </c>
      <c r="M2" s="18">
        <v>239900</v>
      </c>
      <c r="N2" s="9">
        <v>0.9</v>
      </c>
      <c r="O2" s="8">
        <f>M2-((90*M2)/100)</f>
        <v>23990</v>
      </c>
      <c r="P2" s="6" t="s">
        <v>15</v>
      </c>
    </row>
    <row r="3" spans="1:16" x14ac:dyDescent="0.25">
      <c r="A3" s="6" t="str">
        <f>A2</f>
        <v>2020-2021 ALL D90</v>
      </c>
      <c r="B3" s="7">
        <f>B2</f>
        <v>46114</v>
      </c>
      <c r="C3" s="7">
        <f>C2</f>
        <v>46120</v>
      </c>
      <c r="D3" s="6">
        <v>3280</v>
      </c>
      <c r="E3" s="6">
        <v>337</v>
      </c>
      <c r="F3" s="6">
        <v>4</v>
      </c>
      <c r="G3" s="17">
        <v>1</v>
      </c>
      <c r="H3" s="17"/>
      <c r="I3" s="17" t="s">
        <v>1505</v>
      </c>
      <c r="J3" s="17">
        <v>26502965</v>
      </c>
      <c r="K3" s="17" t="s">
        <v>1344</v>
      </c>
      <c r="L3" s="17" t="s">
        <v>1507</v>
      </c>
      <c r="M3" s="18">
        <v>239900</v>
      </c>
      <c r="N3" s="9">
        <v>0.9</v>
      </c>
      <c r="O3" s="8">
        <f t="shared" ref="O3:O66" si="0">M3-((90*M3)/100)</f>
        <v>23990</v>
      </c>
      <c r="P3" s="6" t="s">
        <v>15</v>
      </c>
    </row>
    <row r="4" spans="1:16" x14ac:dyDescent="0.25">
      <c r="A4" s="6" t="str">
        <f t="shared" ref="A4:A67" si="1">A3</f>
        <v>2020-2021 ALL D90</v>
      </c>
      <c r="B4" s="7">
        <f t="shared" ref="B4:B67" si="2">B3</f>
        <v>46114</v>
      </c>
      <c r="C4" s="7">
        <f t="shared" ref="C4:C67" si="3">C3</f>
        <v>46120</v>
      </c>
      <c r="D4" s="6">
        <v>3280</v>
      </c>
      <c r="E4" s="6">
        <v>337</v>
      </c>
      <c r="F4" s="6">
        <v>4</v>
      </c>
      <c r="G4" s="17">
        <v>1</v>
      </c>
      <c r="H4" s="17"/>
      <c r="I4" s="17" t="s">
        <v>1505</v>
      </c>
      <c r="J4" s="17">
        <v>26502974</v>
      </c>
      <c r="K4" s="17" t="s">
        <v>1344</v>
      </c>
      <c r="L4" s="17" t="s">
        <v>1508</v>
      </c>
      <c r="M4" s="18">
        <v>239900</v>
      </c>
      <c r="N4" s="9">
        <v>0.9</v>
      </c>
      <c r="O4" s="8">
        <f t="shared" si="0"/>
        <v>23990</v>
      </c>
      <c r="P4" s="6" t="s">
        <v>15</v>
      </c>
    </row>
    <row r="5" spans="1:16" x14ac:dyDescent="0.25">
      <c r="A5" s="6" t="str">
        <f t="shared" si="1"/>
        <v>2020-2021 ALL D90</v>
      </c>
      <c r="B5" s="7">
        <f t="shared" si="2"/>
        <v>46114</v>
      </c>
      <c r="C5" s="7">
        <f t="shared" si="3"/>
        <v>46120</v>
      </c>
      <c r="D5" s="6">
        <v>3280</v>
      </c>
      <c r="E5" s="6">
        <v>337</v>
      </c>
      <c r="F5" s="6">
        <v>4</v>
      </c>
      <c r="G5" s="17">
        <v>1</v>
      </c>
      <c r="H5" s="17"/>
      <c r="I5" s="17" t="s">
        <v>1505</v>
      </c>
      <c r="J5" s="17">
        <v>26502983</v>
      </c>
      <c r="K5" s="17" t="s">
        <v>1344</v>
      </c>
      <c r="L5" s="17" t="s">
        <v>1509</v>
      </c>
      <c r="M5" s="18">
        <v>249900</v>
      </c>
      <c r="N5" s="9">
        <v>0.9</v>
      </c>
      <c r="O5" s="8">
        <f t="shared" si="0"/>
        <v>24990</v>
      </c>
      <c r="P5" s="6" t="s">
        <v>15</v>
      </c>
    </row>
    <row r="6" spans="1:16" x14ac:dyDescent="0.25">
      <c r="A6" s="6" t="str">
        <f t="shared" si="1"/>
        <v>2020-2021 ALL D90</v>
      </c>
      <c r="B6" s="7">
        <f t="shared" si="2"/>
        <v>46114</v>
      </c>
      <c r="C6" s="7">
        <f t="shared" si="3"/>
        <v>46120</v>
      </c>
      <c r="D6" s="6">
        <v>3280</v>
      </c>
      <c r="E6" s="6">
        <v>337</v>
      </c>
      <c r="F6" s="6">
        <v>4</v>
      </c>
      <c r="G6" s="17">
        <v>1</v>
      </c>
      <c r="H6" s="17"/>
      <c r="I6" s="17" t="s">
        <v>1505</v>
      </c>
      <c r="J6" s="17">
        <v>26502992</v>
      </c>
      <c r="K6" s="17" t="s">
        <v>1344</v>
      </c>
      <c r="L6" s="17" t="s">
        <v>1510</v>
      </c>
      <c r="M6" s="18">
        <v>249900</v>
      </c>
      <c r="N6" s="9">
        <v>0.9</v>
      </c>
      <c r="O6" s="8">
        <f t="shared" si="0"/>
        <v>24990</v>
      </c>
      <c r="P6" s="6" t="s">
        <v>15</v>
      </c>
    </row>
    <row r="7" spans="1:16" x14ac:dyDescent="0.25">
      <c r="A7" s="6" t="str">
        <f t="shared" si="1"/>
        <v>2020-2021 ALL D90</v>
      </c>
      <c r="B7" s="7">
        <f t="shared" si="2"/>
        <v>46114</v>
      </c>
      <c r="C7" s="7">
        <f t="shared" si="3"/>
        <v>46120</v>
      </c>
      <c r="D7" s="6">
        <v>3280</v>
      </c>
      <c r="E7" s="6">
        <v>337</v>
      </c>
      <c r="F7" s="6">
        <v>4</v>
      </c>
      <c r="G7" s="17">
        <v>1</v>
      </c>
      <c r="H7" s="17"/>
      <c r="I7" s="17" t="s">
        <v>1505</v>
      </c>
      <c r="J7" s="17">
        <v>26503008</v>
      </c>
      <c r="K7" s="17" t="s">
        <v>1344</v>
      </c>
      <c r="L7" s="17" t="s">
        <v>1511</v>
      </c>
      <c r="M7" s="18">
        <v>249900</v>
      </c>
      <c r="N7" s="9">
        <v>0.9</v>
      </c>
      <c r="O7" s="8">
        <f t="shared" si="0"/>
        <v>24990</v>
      </c>
      <c r="P7" s="6" t="s">
        <v>15</v>
      </c>
    </row>
    <row r="8" spans="1:16" x14ac:dyDescent="0.25">
      <c r="A8" s="6" t="str">
        <f t="shared" si="1"/>
        <v>2020-2021 ALL D90</v>
      </c>
      <c r="B8" s="7">
        <f t="shared" si="2"/>
        <v>46114</v>
      </c>
      <c r="C8" s="7">
        <f t="shared" si="3"/>
        <v>46120</v>
      </c>
      <c r="D8" s="6">
        <v>3280</v>
      </c>
      <c r="E8" s="6">
        <v>337</v>
      </c>
      <c r="F8" s="6">
        <v>4</v>
      </c>
      <c r="G8" s="17">
        <v>1</v>
      </c>
      <c r="H8" s="17"/>
      <c r="I8" s="17" t="s">
        <v>1505</v>
      </c>
      <c r="J8" s="17">
        <v>26458497</v>
      </c>
      <c r="K8" s="17" t="s">
        <v>1512</v>
      </c>
      <c r="L8" s="17" t="s">
        <v>1513</v>
      </c>
      <c r="M8" s="18">
        <v>239900</v>
      </c>
      <c r="N8" s="9">
        <v>0.9</v>
      </c>
      <c r="O8" s="8">
        <f t="shared" si="0"/>
        <v>23990</v>
      </c>
      <c r="P8" s="6" t="s">
        <v>15</v>
      </c>
    </row>
    <row r="9" spans="1:16" x14ac:dyDescent="0.25">
      <c r="A9" s="6" t="str">
        <f t="shared" si="1"/>
        <v>2020-2021 ALL D90</v>
      </c>
      <c r="B9" s="7">
        <f t="shared" si="2"/>
        <v>46114</v>
      </c>
      <c r="C9" s="7">
        <f t="shared" si="3"/>
        <v>46120</v>
      </c>
      <c r="D9" s="6">
        <v>3280</v>
      </c>
      <c r="E9" s="6">
        <v>337</v>
      </c>
      <c r="F9" s="6">
        <v>4</v>
      </c>
      <c r="G9" s="17">
        <v>1</v>
      </c>
      <c r="H9" s="17"/>
      <c r="I9" s="17" t="s">
        <v>1505</v>
      </c>
      <c r="J9" s="17">
        <v>26458504</v>
      </c>
      <c r="K9" s="17" t="s">
        <v>1512</v>
      </c>
      <c r="L9" s="17" t="s">
        <v>1514</v>
      </c>
      <c r="M9" s="18">
        <v>239900</v>
      </c>
      <c r="N9" s="9">
        <v>0.9</v>
      </c>
      <c r="O9" s="8">
        <f t="shared" si="0"/>
        <v>23990</v>
      </c>
      <c r="P9" s="6" t="s">
        <v>15</v>
      </c>
    </row>
    <row r="10" spans="1:16" x14ac:dyDescent="0.25">
      <c r="A10" s="6" t="str">
        <f t="shared" si="1"/>
        <v>2020-2021 ALL D90</v>
      </c>
      <c r="B10" s="7">
        <f t="shared" si="2"/>
        <v>46114</v>
      </c>
      <c r="C10" s="7">
        <f t="shared" si="3"/>
        <v>46120</v>
      </c>
      <c r="D10" s="6">
        <v>3280</v>
      </c>
      <c r="E10" s="6">
        <v>337</v>
      </c>
      <c r="F10" s="6">
        <v>4</v>
      </c>
      <c r="G10" s="17">
        <v>1</v>
      </c>
      <c r="H10" s="17"/>
      <c r="I10" s="17" t="s">
        <v>1505</v>
      </c>
      <c r="J10" s="17">
        <v>26458513</v>
      </c>
      <c r="K10" s="17" t="s">
        <v>1512</v>
      </c>
      <c r="L10" s="17" t="s">
        <v>1515</v>
      </c>
      <c r="M10" s="18">
        <v>239900</v>
      </c>
      <c r="N10" s="9">
        <v>0.9</v>
      </c>
      <c r="O10" s="8">
        <f t="shared" si="0"/>
        <v>23990</v>
      </c>
      <c r="P10" s="6" t="s">
        <v>15</v>
      </c>
    </row>
    <row r="11" spans="1:16" x14ac:dyDescent="0.25">
      <c r="A11" s="6" t="str">
        <f t="shared" si="1"/>
        <v>2020-2021 ALL D90</v>
      </c>
      <c r="B11" s="7">
        <f t="shared" si="2"/>
        <v>46114</v>
      </c>
      <c r="C11" s="7">
        <f t="shared" si="3"/>
        <v>46120</v>
      </c>
      <c r="D11" s="6">
        <v>3280</v>
      </c>
      <c r="E11" s="6">
        <v>337</v>
      </c>
      <c r="F11" s="6">
        <v>4</v>
      </c>
      <c r="G11" s="17">
        <v>1</v>
      </c>
      <c r="H11" s="17"/>
      <c r="I11" s="17" t="s">
        <v>1505</v>
      </c>
      <c r="J11" s="17">
        <v>26458522</v>
      </c>
      <c r="K11" s="17" t="s">
        <v>1512</v>
      </c>
      <c r="L11" s="17" t="s">
        <v>1516</v>
      </c>
      <c r="M11" s="18">
        <v>249900</v>
      </c>
      <c r="N11" s="9">
        <v>0.9</v>
      </c>
      <c r="O11" s="8">
        <f t="shared" si="0"/>
        <v>24990</v>
      </c>
      <c r="P11" s="6" t="s">
        <v>15</v>
      </c>
    </row>
    <row r="12" spans="1:16" x14ac:dyDescent="0.25">
      <c r="A12" s="6" t="str">
        <f t="shared" si="1"/>
        <v>2020-2021 ALL D90</v>
      </c>
      <c r="B12" s="7">
        <f t="shared" si="2"/>
        <v>46114</v>
      </c>
      <c r="C12" s="7">
        <f t="shared" si="3"/>
        <v>46120</v>
      </c>
      <c r="D12" s="6">
        <v>3280</v>
      </c>
      <c r="E12" s="6">
        <v>337</v>
      </c>
      <c r="F12" s="6">
        <v>4</v>
      </c>
      <c r="G12" s="17">
        <v>1</v>
      </c>
      <c r="H12" s="17"/>
      <c r="I12" s="17" t="s">
        <v>1505</v>
      </c>
      <c r="J12" s="17">
        <v>26458531</v>
      </c>
      <c r="K12" s="17" t="s">
        <v>1512</v>
      </c>
      <c r="L12" s="17" t="s">
        <v>1517</v>
      </c>
      <c r="M12" s="18">
        <v>249900</v>
      </c>
      <c r="N12" s="9">
        <v>0.9</v>
      </c>
      <c r="O12" s="8">
        <f t="shared" si="0"/>
        <v>24990</v>
      </c>
      <c r="P12" s="6" t="s">
        <v>15</v>
      </c>
    </row>
    <row r="13" spans="1:16" x14ac:dyDescent="0.25">
      <c r="A13" s="6" t="str">
        <f t="shared" si="1"/>
        <v>2020-2021 ALL D90</v>
      </c>
      <c r="B13" s="7">
        <f t="shared" si="2"/>
        <v>46114</v>
      </c>
      <c r="C13" s="7">
        <f t="shared" si="3"/>
        <v>46120</v>
      </c>
      <c r="D13" s="6">
        <v>3280</v>
      </c>
      <c r="E13" s="6">
        <v>337</v>
      </c>
      <c r="F13" s="6">
        <v>4</v>
      </c>
      <c r="G13" s="17">
        <v>1</v>
      </c>
      <c r="H13" s="17"/>
      <c r="I13" s="17" t="s">
        <v>1505</v>
      </c>
      <c r="J13" s="17">
        <v>26458540</v>
      </c>
      <c r="K13" s="17" t="s">
        <v>1512</v>
      </c>
      <c r="L13" s="17" t="s">
        <v>1518</v>
      </c>
      <c r="M13" s="18">
        <v>249900</v>
      </c>
      <c r="N13" s="9">
        <v>0.9</v>
      </c>
      <c r="O13" s="8">
        <f t="shared" si="0"/>
        <v>24990</v>
      </c>
      <c r="P13" s="6" t="s">
        <v>15</v>
      </c>
    </row>
    <row r="14" spans="1:16" x14ac:dyDescent="0.25">
      <c r="A14" s="6" t="str">
        <f t="shared" si="1"/>
        <v>2020-2021 ALL D90</v>
      </c>
      <c r="B14" s="7">
        <f t="shared" si="2"/>
        <v>46114</v>
      </c>
      <c r="C14" s="7">
        <f t="shared" si="3"/>
        <v>46120</v>
      </c>
      <c r="D14" s="6">
        <v>3280</v>
      </c>
      <c r="E14" s="6">
        <v>337</v>
      </c>
      <c r="F14" s="6">
        <v>4</v>
      </c>
      <c r="G14" s="17">
        <v>1</v>
      </c>
      <c r="H14" s="17"/>
      <c r="I14" s="17" t="s">
        <v>1505</v>
      </c>
      <c r="J14" s="17">
        <v>26500289</v>
      </c>
      <c r="K14" s="17" t="s">
        <v>1519</v>
      </c>
      <c r="L14" s="17" t="s">
        <v>1520</v>
      </c>
      <c r="M14" s="18">
        <v>229900</v>
      </c>
      <c r="N14" s="9">
        <v>0.9</v>
      </c>
      <c r="O14" s="8">
        <f t="shared" si="0"/>
        <v>22990</v>
      </c>
      <c r="P14" s="6" t="s">
        <v>15</v>
      </c>
    </row>
    <row r="15" spans="1:16" x14ac:dyDescent="0.25">
      <c r="A15" s="6" t="str">
        <f t="shared" si="1"/>
        <v>2020-2021 ALL D90</v>
      </c>
      <c r="B15" s="7">
        <f t="shared" si="2"/>
        <v>46114</v>
      </c>
      <c r="C15" s="7">
        <f t="shared" si="3"/>
        <v>46120</v>
      </c>
      <c r="D15" s="6">
        <v>3280</v>
      </c>
      <c r="E15" s="6">
        <v>337</v>
      </c>
      <c r="F15" s="6">
        <v>4</v>
      </c>
      <c r="G15" s="17">
        <v>1</v>
      </c>
      <c r="H15" s="17"/>
      <c r="I15" s="17" t="s">
        <v>1505</v>
      </c>
      <c r="J15" s="17">
        <v>26500298</v>
      </c>
      <c r="K15" s="17" t="s">
        <v>1519</v>
      </c>
      <c r="L15" s="17" t="s">
        <v>1521</v>
      </c>
      <c r="M15" s="18">
        <v>229900</v>
      </c>
      <c r="N15" s="9">
        <v>0.9</v>
      </c>
      <c r="O15" s="8">
        <f t="shared" si="0"/>
        <v>22990</v>
      </c>
      <c r="P15" s="6" t="s">
        <v>15</v>
      </c>
    </row>
    <row r="16" spans="1:16" x14ac:dyDescent="0.25">
      <c r="A16" s="6" t="str">
        <f t="shared" si="1"/>
        <v>2020-2021 ALL D90</v>
      </c>
      <c r="B16" s="7">
        <f t="shared" si="2"/>
        <v>46114</v>
      </c>
      <c r="C16" s="7">
        <f t="shared" si="3"/>
        <v>46120</v>
      </c>
      <c r="D16" s="6">
        <v>3280</v>
      </c>
      <c r="E16" s="6">
        <v>337</v>
      </c>
      <c r="F16" s="6">
        <v>4</v>
      </c>
      <c r="G16" s="17">
        <v>1</v>
      </c>
      <c r="H16" s="17"/>
      <c r="I16" s="17" t="s">
        <v>1505</v>
      </c>
      <c r="J16" s="17">
        <v>26500305</v>
      </c>
      <c r="K16" s="17" t="s">
        <v>1519</v>
      </c>
      <c r="L16" s="17" t="s">
        <v>1522</v>
      </c>
      <c r="M16" s="18">
        <v>229900</v>
      </c>
      <c r="N16" s="9">
        <v>0.9</v>
      </c>
      <c r="O16" s="8">
        <f t="shared" si="0"/>
        <v>22990</v>
      </c>
      <c r="P16" s="6" t="s">
        <v>15</v>
      </c>
    </row>
    <row r="17" spans="1:16" x14ac:dyDescent="0.25">
      <c r="A17" s="6" t="str">
        <f t="shared" si="1"/>
        <v>2020-2021 ALL D90</v>
      </c>
      <c r="B17" s="7">
        <f t="shared" si="2"/>
        <v>46114</v>
      </c>
      <c r="C17" s="7">
        <f t="shared" si="3"/>
        <v>46120</v>
      </c>
      <c r="D17" s="6">
        <v>3280</v>
      </c>
      <c r="E17" s="6">
        <v>337</v>
      </c>
      <c r="F17" s="6">
        <v>4</v>
      </c>
      <c r="G17" s="17">
        <v>1</v>
      </c>
      <c r="H17" s="17"/>
      <c r="I17" s="17" t="s">
        <v>1505</v>
      </c>
      <c r="J17" s="17">
        <v>26500314</v>
      </c>
      <c r="K17" s="17" t="s">
        <v>1519</v>
      </c>
      <c r="L17" s="17" t="s">
        <v>1523</v>
      </c>
      <c r="M17" s="18">
        <v>239900</v>
      </c>
      <c r="N17" s="9">
        <v>0.9</v>
      </c>
      <c r="O17" s="8">
        <f t="shared" si="0"/>
        <v>23990</v>
      </c>
      <c r="P17" s="6" t="s">
        <v>15</v>
      </c>
    </row>
    <row r="18" spans="1:16" x14ac:dyDescent="0.25">
      <c r="A18" s="6" t="str">
        <f t="shared" si="1"/>
        <v>2020-2021 ALL D90</v>
      </c>
      <c r="B18" s="7">
        <f t="shared" si="2"/>
        <v>46114</v>
      </c>
      <c r="C18" s="7">
        <f t="shared" si="3"/>
        <v>46120</v>
      </c>
      <c r="D18" s="6">
        <v>3280</v>
      </c>
      <c r="E18" s="6">
        <v>337</v>
      </c>
      <c r="F18" s="6">
        <v>4</v>
      </c>
      <c r="G18" s="17">
        <v>1</v>
      </c>
      <c r="H18" s="17"/>
      <c r="I18" s="17" t="s">
        <v>1505</v>
      </c>
      <c r="J18" s="17">
        <v>26500323</v>
      </c>
      <c r="K18" s="17" t="s">
        <v>1519</v>
      </c>
      <c r="L18" s="17" t="s">
        <v>1524</v>
      </c>
      <c r="M18" s="18">
        <v>239900</v>
      </c>
      <c r="N18" s="9">
        <v>0.9</v>
      </c>
      <c r="O18" s="8">
        <f t="shared" si="0"/>
        <v>23990</v>
      </c>
      <c r="P18" s="6" t="s">
        <v>15</v>
      </c>
    </row>
    <row r="19" spans="1:16" x14ac:dyDescent="0.25">
      <c r="A19" s="6" t="str">
        <f t="shared" si="1"/>
        <v>2020-2021 ALL D90</v>
      </c>
      <c r="B19" s="7">
        <f t="shared" si="2"/>
        <v>46114</v>
      </c>
      <c r="C19" s="7">
        <f t="shared" si="3"/>
        <v>46120</v>
      </c>
      <c r="D19" s="6">
        <v>3280</v>
      </c>
      <c r="E19" s="6">
        <v>337</v>
      </c>
      <c r="F19" s="6">
        <v>4</v>
      </c>
      <c r="G19" s="17">
        <v>1</v>
      </c>
      <c r="H19" s="17"/>
      <c r="I19" s="17" t="s">
        <v>1505</v>
      </c>
      <c r="J19" s="17">
        <v>26500332</v>
      </c>
      <c r="K19" s="17" t="s">
        <v>1519</v>
      </c>
      <c r="L19" s="17" t="s">
        <v>1525</v>
      </c>
      <c r="M19" s="18">
        <v>239900</v>
      </c>
      <c r="N19" s="9">
        <v>0.9</v>
      </c>
      <c r="O19" s="8">
        <f t="shared" si="0"/>
        <v>23990</v>
      </c>
      <c r="P19" s="6" t="s">
        <v>15</v>
      </c>
    </row>
    <row r="20" spans="1:16" x14ac:dyDescent="0.25">
      <c r="A20" s="6" t="str">
        <f t="shared" si="1"/>
        <v>2020-2021 ALL D90</v>
      </c>
      <c r="B20" s="7">
        <f t="shared" si="2"/>
        <v>46114</v>
      </c>
      <c r="C20" s="7">
        <f t="shared" si="3"/>
        <v>46120</v>
      </c>
      <c r="D20" s="6">
        <v>3280</v>
      </c>
      <c r="E20" s="6">
        <v>337</v>
      </c>
      <c r="F20" s="6">
        <v>4</v>
      </c>
      <c r="G20" s="17">
        <v>1</v>
      </c>
      <c r="H20" s="17"/>
      <c r="I20" s="17" t="s">
        <v>1505</v>
      </c>
      <c r="J20" s="17">
        <v>26517388</v>
      </c>
      <c r="K20" s="17" t="s">
        <v>1526</v>
      </c>
      <c r="L20" s="17" t="s">
        <v>1527</v>
      </c>
      <c r="M20" s="18">
        <v>219900</v>
      </c>
      <c r="N20" s="9">
        <v>0.9</v>
      </c>
      <c r="O20" s="8">
        <f t="shared" si="0"/>
        <v>21990</v>
      </c>
      <c r="P20" s="6" t="s">
        <v>15</v>
      </c>
    </row>
    <row r="21" spans="1:16" x14ac:dyDescent="0.25">
      <c r="A21" s="6" t="str">
        <f t="shared" si="1"/>
        <v>2020-2021 ALL D90</v>
      </c>
      <c r="B21" s="7">
        <f t="shared" si="2"/>
        <v>46114</v>
      </c>
      <c r="C21" s="7">
        <f t="shared" si="3"/>
        <v>46120</v>
      </c>
      <c r="D21" s="6">
        <v>3280</v>
      </c>
      <c r="E21" s="6">
        <v>337</v>
      </c>
      <c r="F21" s="6">
        <v>4</v>
      </c>
      <c r="G21" s="17">
        <v>1</v>
      </c>
      <c r="H21" s="17"/>
      <c r="I21" s="17" t="s">
        <v>1505</v>
      </c>
      <c r="J21" s="17">
        <v>26517397</v>
      </c>
      <c r="K21" s="17" t="s">
        <v>1526</v>
      </c>
      <c r="L21" s="17" t="s">
        <v>1528</v>
      </c>
      <c r="M21" s="18">
        <v>219900</v>
      </c>
      <c r="N21" s="9">
        <v>0.9</v>
      </c>
      <c r="O21" s="8">
        <f t="shared" si="0"/>
        <v>21990</v>
      </c>
      <c r="P21" s="6" t="s">
        <v>15</v>
      </c>
    </row>
    <row r="22" spans="1:16" x14ac:dyDescent="0.25">
      <c r="A22" s="6" t="str">
        <f t="shared" si="1"/>
        <v>2020-2021 ALL D90</v>
      </c>
      <c r="B22" s="7">
        <f t="shared" si="2"/>
        <v>46114</v>
      </c>
      <c r="C22" s="7">
        <f t="shared" si="3"/>
        <v>46120</v>
      </c>
      <c r="D22" s="6">
        <v>3280</v>
      </c>
      <c r="E22" s="6">
        <v>337</v>
      </c>
      <c r="F22" s="6">
        <v>4</v>
      </c>
      <c r="G22" s="17">
        <v>1</v>
      </c>
      <c r="H22" s="17"/>
      <c r="I22" s="17" t="s">
        <v>1505</v>
      </c>
      <c r="J22" s="17">
        <v>26517404</v>
      </c>
      <c r="K22" s="17" t="s">
        <v>1526</v>
      </c>
      <c r="L22" s="17" t="s">
        <v>1529</v>
      </c>
      <c r="M22" s="18">
        <v>219900</v>
      </c>
      <c r="N22" s="9">
        <v>0.9</v>
      </c>
      <c r="O22" s="8">
        <f t="shared" si="0"/>
        <v>21990</v>
      </c>
      <c r="P22" s="6" t="s">
        <v>15</v>
      </c>
    </row>
    <row r="23" spans="1:16" x14ac:dyDescent="0.25">
      <c r="A23" s="6" t="str">
        <f t="shared" si="1"/>
        <v>2020-2021 ALL D90</v>
      </c>
      <c r="B23" s="7">
        <f t="shared" si="2"/>
        <v>46114</v>
      </c>
      <c r="C23" s="7">
        <f t="shared" si="3"/>
        <v>46120</v>
      </c>
      <c r="D23" s="6">
        <v>3280</v>
      </c>
      <c r="E23" s="6">
        <v>337</v>
      </c>
      <c r="F23" s="6">
        <v>4</v>
      </c>
      <c r="G23" s="17">
        <v>1</v>
      </c>
      <c r="H23" s="17"/>
      <c r="I23" s="17" t="s">
        <v>1505</v>
      </c>
      <c r="J23" s="17">
        <v>26517413</v>
      </c>
      <c r="K23" s="17" t="s">
        <v>1526</v>
      </c>
      <c r="L23" s="17" t="s">
        <v>1530</v>
      </c>
      <c r="M23" s="18">
        <v>229900</v>
      </c>
      <c r="N23" s="9">
        <v>0.9</v>
      </c>
      <c r="O23" s="8">
        <f t="shared" si="0"/>
        <v>22990</v>
      </c>
      <c r="P23" s="6" t="s">
        <v>15</v>
      </c>
    </row>
    <row r="24" spans="1:16" x14ac:dyDescent="0.25">
      <c r="A24" s="6" t="str">
        <f t="shared" si="1"/>
        <v>2020-2021 ALL D90</v>
      </c>
      <c r="B24" s="7">
        <f t="shared" si="2"/>
        <v>46114</v>
      </c>
      <c r="C24" s="7">
        <f t="shared" si="3"/>
        <v>46120</v>
      </c>
      <c r="D24" s="6">
        <v>3280</v>
      </c>
      <c r="E24" s="6">
        <v>337</v>
      </c>
      <c r="F24" s="6">
        <v>4</v>
      </c>
      <c r="G24" s="17">
        <v>1</v>
      </c>
      <c r="H24" s="17"/>
      <c r="I24" s="17" t="s">
        <v>1505</v>
      </c>
      <c r="J24" s="17">
        <v>26517422</v>
      </c>
      <c r="K24" s="17" t="s">
        <v>1526</v>
      </c>
      <c r="L24" s="17" t="s">
        <v>1531</v>
      </c>
      <c r="M24" s="18">
        <v>229900</v>
      </c>
      <c r="N24" s="9">
        <v>0.9</v>
      </c>
      <c r="O24" s="8">
        <f t="shared" si="0"/>
        <v>22990</v>
      </c>
      <c r="P24" s="6" t="s">
        <v>15</v>
      </c>
    </row>
    <row r="25" spans="1:16" x14ac:dyDescent="0.25">
      <c r="A25" s="6" t="str">
        <f t="shared" si="1"/>
        <v>2020-2021 ALL D90</v>
      </c>
      <c r="B25" s="7">
        <f t="shared" si="2"/>
        <v>46114</v>
      </c>
      <c r="C25" s="7">
        <f t="shared" si="3"/>
        <v>46120</v>
      </c>
      <c r="D25" s="6">
        <v>3280</v>
      </c>
      <c r="E25" s="6">
        <v>337</v>
      </c>
      <c r="F25" s="6">
        <v>4</v>
      </c>
      <c r="G25" s="17">
        <v>1</v>
      </c>
      <c r="H25" s="17"/>
      <c r="I25" s="17" t="s">
        <v>1505</v>
      </c>
      <c r="J25" s="17">
        <v>26517431</v>
      </c>
      <c r="K25" s="17" t="s">
        <v>1526</v>
      </c>
      <c r="L25" s="17" t="s">
        <v>1532</v>
      </c>
      <c r="M25" s="18">
        <v>229900</v>
      </c>
      <c r="N25" s="9">
        <v>0.9</v>
      </c>
      <c r="O25" s="8">
        <f t="shared" si="0"/>
        <v>22990</v>
      </c>
      <c r="P25" s="6" t="s">
        <v>15</v>
      </c>
    </row>
    <row r="26" spans="1:16" x14ac:dyDescent="0.25">
      <c r="A26" s="6" t="str">
        <f t="shared" si="1"/>
        <v>2020-2021 ALL D90</v>
      </c>
      <c r="B26" s="7">
        <f t="shared" si="2"/>
        <v>46114</v>
      </c>
      <c r="C26" s="7">
        <f t="shared" si="3"/>
        <v>46120</v>
      </c>
      <c r="D26" s="6">
        <v>3280</v>
      </c>
      <c r="E26" s="6">
        <v>337</v>
      </c>
      <c r="F26" s="6">
        <v>4</v>
      </c>
      <c r="G26" s="17">
        <v>1</v>
      </c>
      <c r="H26" s="17"/>
      <c r="I26" s="17" t="s">
        <v>1505</v>
      </c>
      <c r="J26" s="17">
        <v>26504016</v>
      </c>
      <c r="K26" s="17" t="s">
        <v>1225</v>
      </c>
      <c r="L26" s="17" t="s">
        <v>1533</v>
      </c>
      <c r="M26" s="18">
        <v>249900</v>
      </c>
      <c r="N26" s="9">
        <v>0.9</v>
      </c>
      <c r="O26" s="8">
        <f t="shared" si="0"/>
        <v>24990</v>
      </c>
      <c r="P26" s="6" t="s">
        <v>15</v>
      </c>
    </row>
    <row r="27" spans="1:16" x14ac:dyDescent="0.25">
      <c r="A27" s="6" t="str">
        <f t="shared" si="1"/>
        <v>2020-2021 ALL D90</v>
      </c>
      <c r="B27" s="7">
        <f t="shared" si="2"/>
        <v>46114</v>
      </c>
      <c r="C27" s="7">
        <f t="shared" si="3"/>
        <v>46120</v>
      </c>
      <c r="D27" s="6">
        <v>3280</v>
      </c>
      <c r="E27" s="6">
        <v>337</v>
      </c>
      <c r="F27" s="6">
        <v>4</v>
      </c>
      <c r="G27" s="17">
        <v>1</v>
      </c>
      <c r="H27" s="17"/>
      <c r="I27" s="17" t="s">
        <v>1505</v>
      </c>
      <c r="J27" s="17">
        <v>26504025</v>
      </c>
      <c r="K27" s="17" t="s">
        <v>1225</v>
      </c>
      <c r="L27" s="17" t="s">
        <v>1534</v>
      </c>
      <c r="M27" s="18">
        <v>249900</v>
      </c>
      <c r="N27" s="9">
        <v>0.9</v>
      </c>
      <c r="O27" s="8">
        <f t="shared" si="0"/>
        <v>24990</v>
      </c>
      <c r="P27" s="6" t="s">
        <v>15</v>
      </c>
    </row>
    <row r="28" spans="1:16" x14ac:dyDescent="0.25">
      <c r="A28" s="6" t="str">
        <f t="shared" si="1"/>
        <v>2020-2021 ALL D90</v>
      </c>
      <c r="B28" s="7">
        <f t="shared" si="2"/>
        <v>46114</v>
      </c>
      <c r="C28" s="7">
        <f t="shared" si="3"/>
        <v>46120</v>
      </c>
      <c r="D28" s="6">
        <v>3280</v>
      </c>
      <c r="E28" s="6">
        <v>337</v>
      </c>
      <c r="F28" s="6">
        <v>4</v>
      </c>
      <c r="G28" s="17">
        <v>1</v>
      </c>
      <c r="H28" s="17"/>
      <c r="I28" s="17" t="s">
        <v>1505</v>
      </c>
      <c r="J28" s="17">
        <v>26504034</v>
      </c>
      <c r="K28" s="17" t="s">
        <v>1225</v>
      </c>
      <c r="L28" s="17" t="s">
        <v>1535</v>
      </c>
      <c r="M28" s="18">
        <v>249900</v>
      </c>
      <c r="N28" s="9">
        <v>0.9</v>
      </c>
      <c r="O28" s="8">
        <f t="shared" si="0"/>
        <v>24990</v>
      </c>
      <c r="P28" s="6" t="s">
        <v>15</v>
      </c>
    </row>
    <row r="29" spans="1:16" x14ac:dyDescent="0.25">
      <c r="A29" s="6" t="str">
        <f t="shared" si="1"/>
        <v>2020-2021 ALL D90</v>
      </c>
      <c r="B29" s="7">
        <f t="shared" si="2"/>
        <v>46114</v>
      </c>
      <c r="C29" s="7">
        <f t="shared" si="3"/>
        <v>46120</v>
      </c>
      <c r="D29" s="6">
        <v>3280</v>
      </c>
      <c r="E29" s="6">
        <v>337</v>
      </c>
      <c r="F29" s="6">
        <v>4</v>
      </c>
      <c r="G29" s="17">
        <v>1</v>
      </c>
      <c r="H29" s="17"/>
      <c r="I29" s="17" t="s">
        <v>1505</v>
      </c>
      <c r="J29" s="17">
        <v>26504043</v>
      </c>
      <c r="K29" s="17" t="s">
        <v>1225</v>
      </c>
      <c r="L29" s="17" t="s">
        <v>1536</v>
      </c>
      <c r="M29" s="18">
        <v>259900</v>
      </c>
      <c r="N29" s="9">
        <v>0.9</v>
      </c>
      <c r="O29" s="8">
        <f t="shared" si="0"/>
        <v>25990</v>
      </c>
      <c r="P29" s="6" t="s">
        <v>15</v>
      </c>
    </row>
    <row r="30" spans="1:16" x14ac:dyDescent="0.25">
      <c r="A30" s="6" t="str">
        <f t="shared" si="1"/>
        <v>2020-2021 ALL D90</v>
      </c>
      <c r="B30" s="7">
        <f t="shared" si="2"/>
        <v>46114</v>
      </c>
      <c r="C30" s="7">
        <f t="shared" si="3"/>
        <v>46120</v>
      </c>
      <c r="D30" s="6">
        <v>3280</v>
      </c>
      <c r="E30" s="6">
        <v>337</v>
      </c>
      <c r="F30" s="6">
        <v>4</v>
      </c>
      <c r="G30" s="17">
        <v>1</v>
      </c>
      <c r="H30" s="17"/>
      <c r="I30" s="17" t="s">
        <v>1505</v>
      </c>
      <c r="J30" s="17">
        <v>26504052</v>
      </c>
      <c r="K30" s="17" t="s">
        <v>1225</v>
      </c>
      <c r="L30" s="17" t="s">
        <v>1537</v>
      </c>
      <c r="M30" s="18">
        <v>259900</v>
      </c>
      <c r="N30" s="9">
        <v>0.9</v>
      </c>
      <c r="O30" s="8">
        <f t="shared" si="0"/>
        <v>25990</v>
      </c>
      <c r="P30" s="6" t="s">
        <v>15</v>
      </c>
    </row>
    <row r="31" spans="1:16" x14ac:dyDescent="0.25">
      <c r="A31" s="6" t="str">
        <f t="shared" si="1"/>
        <v>2020-2021 ALL D90</v>
      </c>
      <c r="B31" s="7">
        <f t="shared" si="2"/>
        <v>46114</v>
      </c>
      <c r="C31" s="7">
        <f t="shared" si="3"/>
        <v>46120</v>
      </c>
      <c r="D31" s="6">
        <v>3280</v>
      </c>
      <c r="E31" s="6">
        <v>337</v>
      </c>
      <c r="F31" s="6">
        <v>4</v>
      </c>
      <c r="G31" s="17">
        <v>1</v>
      </c>
      <c r="H31" s="17"/>
      <c r="I31" s="17" t="s">
        <v>1505</v>
      </c>
      <c r="J31" s="17">
        <v>26504061</v>
      </c>
      <c r="K31" s="17" t="s">
        <v>1225</v>
      </c>
      <c r="L31" s="17" t="s">
        <v>1538</v>
      </c>
      <c r="M31" s="18">
        <v>259900</v>
      </c>
      <c r="N31" s="9">
        <v>0.9</v>
      </c>
      <c r="O31" s="8">
        <f t="shared" si="0"/>
        <v>25990</v>
      </c>
      <c r="P31" s="6" t="s">
        <v>15</v>
      </c>
    </row>
    <row r="32" spans="1:16" x14ac:dyDescent="0.25">
      <c r="A32" s="6" t="str">
        <f t="shared" si="1"/>
        <v>2020-2021 ALL D90</v>
      </c>
      <c r="B32" s="7">
        <f t="shared" si="2"/>
        <v>46114</v>
      </c>
      <c r="C32" s="7">
        <f t="shared" si="3"/>
        <v>46120</v>
      </c>
      <c r="D32" s="6">
        <v>3280</v>
      </c>
      <c r="E32" s="6">
        <v>337</v>
      </c>
      <c r="F32" s="6">
        <v>4</v>
      </c>
      <c r="G32" s="17">
        <v>1</v>
      </c>
      <c r="H32" s="17"/>
      <c r="I32" s="17" t="s">
        <v>1505</v>
      </c>
      <c r="J32" s="17">
        <v>26980136</v>
      </c>
      <c r="K32" s="17" t="s">
        <v>1539</v>
      </c>
      <c r="L32" s="17" t="s">
        <v>1540</v>
      </c>
      <c r="M32" s="18">
        <v>209900</v>
      </c>
      <c r="N32" s="9">
        <v>0.9</v>
      </c>
      <c r="O32" s="8">
        <f t="shared" si="0"/>
        <v>20990</v>
      </c>
      <c r="P32" s="6" t="s">
        <v>15</v>
      </c>
    </row>
    <row r="33" spans="1:16" x14ac:dyDescent="0.25">
      <c r="A33" s="6" t="str">
        <f t="shared" si="1"/>
        <v>2020-2021 ALL D90</v>
      </c>
      <c r="B33" s="7">
        <f t="shared" si="2"/>
        <v>46114</v>
      </c>
      <c r="C33" s="7">
        <f t="shared" si="3"/>
        <v>46120</v>
      </c>
      <c r="D33" s="6">
        <v>3280</v>
      </c>
      <c r="E33" s="6">
        <v>337</v>
      </c>
      <c r="F33" s="6">
        <v>4</v>
      </c>
      <c r="G33" s="17">
        <v>1</v>
      </c>
      <c r="H33" s="17"/>
      <c r="I33" s="17" t="s">
        <v>1505</v>
      </c>
      <c r="J33" s="17">
        <v>26980145</v>
      </c>
      <c r="K33" s="17" t="s">
        <v>1539</v>
      </c>
      <c r="L33" s="17" t="s">
        <v>1541</v>
      </c>
      <c r="M33" s="18">
        <v>209900</v>
      </c>
      <c r="N33" s="9">
        <v>0.9</v>
      </c>
      <c r="O33" s="8">
        <f t="shared" si="0"/>
        <v>20990</v>
      </c>
      <c r="P33" s="6" t="s">
        <v>15</v>
      </c>
    </row>
    <row r="34" spans="1:16" x14ac:dyDescent="0.25">
      <c r="A34" s="6" t="str">
        <f t="shared" si="1"/>
        <v>2020-2021 ALL D90</v>
      </c>
      <c r="B34" s="7">
        <f t="shared" si="2"/>
        <v>46114</v>
      </c>
      <c r="C34" s="7">
        <f t="shared" si="3"/>
        <v>46120</v>
      </c>
      <c r="D34" s="6">
        <v>3280</v>
      </c>
      <c r="E34" s="6">
        <v>337</v>
      </c>
      <c r="F34" s="6">
        <v>4</v>
      </c>
      <c r="G34" s="17">
        <v>1</v>
      </c>
      <c r="H34" s="17"/>
      <c r="I34" s="17" t="s">
        <v>1505</v>
      </c>
      <c r="J34" s="17">
        <v>26980154</v>
      </c>
      <c r="K34" s="17" t="s">
        <v>1539</v>
      </c>
      <c r="L34" s="17" t="s">
        <v>1542</v>
      </c>
      <c r="M34" s="18">
        <v>219900</v>
      </c>
      <c r="N34" s="9">
        <v>0.9</v>
      </c>
      <c r="O34" s="8">
        <f t="shared" si="0"/>
        <v>21990</v>
      </c>
      <c r="P34" s="6" t="s">
        <v>15</v>
      </c>
    </row>
    <row r="35" spans="1:16" x14ac:dyDescent="0.25">
      <c r="A35" s="6" t="str">
        <f t="shared" si="1"/>
        <v>2020-2021 ALL D90</v>
      </c>
      <c r="B35" s="7">
        <f t="shared" si="2"/>
        <v>46114</v>
      </c>
      <c r="C35" s="7">
        <f t="shared" si="3"/>
        <v>46120</v>
      </c>
      <c r="D35" s="6">
        <v>3280</v>
      </c>
      <c r="E35" s="6">
        <v>337</v>
      </c>
      <c r="F35" s="6">
        <v>4</v>
      </c>
      <c r="G35" s="17">
        <v>1</v>
      </c>
      <c r="H35" s="17"/>
      <c r="I35" s="17" t="s">
        <v>1505</v>
      </c>
      <c r="J35" s="17">
        <v>26980163</v>
      </c>
      <c r="K35" s="17" t="s">
        <v>1539</v>
      </c>
      <c r="L35" s="17" t="s">
        <v>1543</v>
      </c>
      <c r="M35" s="18">
        <v>219900</v>
      </c>
      <c r="N35" s="9">
        <v>0.9</v>
      </c>
      <c r="O35" s="8">
        <f t="shared" si="0"/>
        <v>21990</v>
      </c>
      <c r="P35" s="6" t="s">
        <v>15</v>
      </c>
    </row>
    <row r="36" spans="1:16" x14ac:dyDescent="0.25">
      <c r="A36" s="6" t="str">
        <f t="shared" si="1"/>
        <v>2020-2021 ALL D90</v>
      </c>
      <c r="B36" s="7">
        <f t="shared" si="2"/>
        <v>46114</v>
      </c>
      <c r="C36" s="7">
        <f t="shared" si="3"/>
        <v>46120</v>
      </c>
      <c r="D36" s="6">
        <v>3280</v>
      </c>
      <c r="E36" s="6">
        <v>337</v>
      </c>
      <c r="F36" s="6">
        <v>4</v>
      </c>
      <c r="G36" s="17">
        <v>1</v>
      </c>
      <c r="H36" s="17"/>
      <c r="I36" s="17" t="s">
        <v>1505</v>
      </c>
      <c r="J36" s="17">
        <v>26980172</v>
      </c>
      <c r="K36" s="17" t="s">
        <v>1539</v>
      </c>
      <c r="L36" s="17" t="s">
        <v>1544</v>
      </c>
      <c r="M36" s="18">
        <v>219900</v>
      </c>
      <c r="N36" s="9">
        <v>0.9</v>
      </c>
      <c r="O36" s="8">
        <f t="shared" si="0"/>
        <v>21990</v>
      </c>
      <c r="P36" s="6" t="s">
        <v>15</v>
      </c>
    </row>
    <row r="37" spans="1:16" x14ac:dyDescent="0.25">
      <c r="A37" s="6" t="str">
        <f t="shared" si="1"/>
        <v>2020-2021 ALL D90</v>
      </c>
      <c r="B37" s="7">
        <f t="shared" si="2"/>
        <v>46114</v>
      </c>
      <c r="C37" s="7">
        <f t="shared" si="3"/>
        <v>46120</v>
      </c>
      <c r="D37" s="6">
        <v>3280</v>
      </c>
      <c r="E37" s="6">
        <v>337</v>
      </c>
      <c r="F37" s="6">
        <v>4</v>
      </c>
      <c r="G37" s="17">
        <v>1</v>
      </c>
      <c r="H37" s="17"/>
      <c r="I37" s="17" t="s">
        <v>1505</v>
      </c>
      <c r="J37" s="17">
        <v>26501402</v>
      </c>
      <c r="K37" s="17" t="s">
        <v>1545</v>
      </c>
      <c r="L37" s="17" t="s">
        <v>1546</v>
      </c>
      <c r="M37" s="18">
        <v>239900</v>
      </c>
      <c r="N37" s="9">
        <v>0.9</v>
      </c>
      <c r="O37" s="8">
        <f t="shared" si="0"/>
        <v>23990</v>
      </c>
      <c r="P37" s="6" t="s">
        <v>15</v>
      </c>
    </row>
    <row r="38" spans="1:16" x14ac:dyDescent="0.25">
      <c r="A38" s="6" t="str">
        <f t="shared" si="1"/>
        <v>2020-2021 ALL D90</v>
      </c>
      <c r="B38" s="7">
        <f t="shared" si="2"/>
        <v>46114</v>
      </c>
      <c r="C38" s="7">
        <f t="shared" si="3"/>
        <v>46120</v>
      </c>
      <c r="D38" s="6">
        <v>3280</v>
      </c>
      <c r="E38" s="6">
        <v>337</v>
      </c>
      <c r="F38" s="6">
        <v>4</v>
      </c>
      <c r="G38" s="17">
        <v>1</v>
      </c>
      <c r="H38" s="17"/>
      <c r="I38" s="17" t="s">
        <v>1505</v>
      </c>
      <c r="J38" s="17">
        <v>26501411</v>
      </c>
      <c r="K38" s="17" t="s">
        <v>1545</v>
      </c>
      <c r="L38" s="17" t="s">
        <v>1547</v>
      </c>
      <c r="M38" s="18">
        <v>239900</v>
      </c>
      <c r="N38" s="9">
        <v>0.9</v>
      </c>
      <c r="O38" s="8">
        <f t="shared" si="0"/>
        <v>23990</v>
      </c>
      <c r="P38" s="6" t="s">
        <v>15</v>
      </c>
    </row>
    <row r="39" spans="1:16" x14ac:dyDescent="0.25">
      <c r="A39" s="6" t="str">
        <f t="shared" si="1"/>
        <v>2020-2021 ALL D90</v>
      </c>
      <c r="B39" s="7">
        <f t="shared" si="2"/>
        <v>46114</v>
      </c>
      <c r="C39" s="7">
        <f t="shared" si="3"/>
        <v>46120</v>
      </c>
      <c r="D39" s="6">
        <v>3280</v>
      </c>
      <c r="E39" s="6">
        <v>337</v>
      </c>
      <c r="F39" s="6">
        <v>4</v>
      </c>
      <c r="G39" s="17">
        <v>1</v>
      </c>
      <c r="H39" s="17"/>
      <c r="I39" s="17" t="s">
        <v>1505</v>
      </c>
      <c r="J39" s="17">
        <v>26501420</v>
      </c>
      <c r="K39" s="17" t="s">
        <v>1545</v>
      </c>
      <c r="L39" s="17" t="s">
        <v>1548</v>
      </c>
      <c r="M39" s="18">
        <v>239900</v>
      </c>
      <c r="N39" s="9">
        <v>0.9</v>
      </c>
      <c r="O39" s="8">
        <f t="shared" si="0"/>
        <v>23990</v>
      </c>
      <c r="P39" s="6" t="s">
        <v>15</v>
      </c>
    </row>
    <row r="40" spans="1:16" x14ac:dyDescent="0.25">
      <c r="A40" s="6" t="str">
        <f t="shared" si="1"/>
        <v>2020-2021 ALL D90</v>
      </c>
      <c r="B40" s="7">
        <f t="shared" si="2"/>
        <v>46114</v>
      </c>
      <c r="C40" s="7">
        <f t="shared" si="3"/>
        <v>46120</v>
      </c>
      <c r="D40" s="6">
        <v>3280</v>
      </c>
      <c r="E40" s="6">
        <v>337</v>
      </c>
      <c r="F40" s="6">
        <v>4</v>
      </c>
      <c r="G40" s="17">
        <v>1</v>
      </c>
      <c r="H40" s="17"/>
      <c r="I40" s="17" t="s">
        <v>1505</v>
      </c>
      <c r="J40" s="17">
        <v>26501439</v>
      </c>
      <c r="K40" s="17" t="s">
        <v>1545</v>
      </c>
      <c r="L40" s="17" t="s">
        <v>1549</v>
      </c>
      <c r="M40" s="18">
        <v>249900</v>
      </c>
      <c r="N40" s="9">
        <v>0.9</v>
      </c>
      <c r="O40" s="8">
        <f t="shared" si="0"/>
        <v>24990</v>
      </c>
      <c r="P40" s="6" t="s">
        <v>15</v>
      </c>
    </row>
    <row r="41" spans="1:16" x14ac:dyDescent="0.25">
      <c r="A41" s="6" t="str">
        <f t="shared" si="1"/>
        <v>2020-2021 ALL D90</v>
      </c>
      <c r="B41" s="7">
        <f t="shared" si="2"/>
        <v>46114</v>
      </c>
      <c r="C41" s="7">
        <f t="shared" si="3"/>
        <v>46120</v>
      </c>
      <c r="D41" s="6">
        <v>3280</v>
      </c>
      <c r="E41" s="6">
        <v>337</v>
      </c>
      <c r="F41" s="6">
        <v>4</v>
      </c>
      <c r="G41" s="17">
        <v>1</v>
      </c>
      <c r="H41" s="17"/>
      <c r="I41" s="17" t="s">
        <v>1505</v>
      </c>
      <c r="J41" s="17">
        <v>26501448</v>
      </c>
      <c r="K41" s="17" t="s">
        <v>1545</v>
      </c>
      <c r="L41" s="17" t="s">
        <v>1550</v>
      </c>
      <c r="M41" s="18">
        <v>249900</v>
      </c>
      <c r="N41" s="9">
        <v>0.9</v>
      </c>
      <c r="O41" s="8">
        <f t="shared" si="0"/>
        <v>24990</v>
      </c>
      <c r="P41" s="6" t="s">
        <v>15</v>
      </c>
    </row>
    <row r="42" spans="1:16" x14ac:dyDescent="0.25">
      <c r="A42" s="6" t="str">
        <f t="shared" si="1"/>
        <v>2020-2021 ALL D90</v>
      </c>
      <c r="B42" s="7">
        <f t="shared" si="2"/>
        <v>46114</v>
      </c>
      <c r="C42" s="7">
        <f t="shared" si="3"/>
        <v>46120</v>
      </c>
      <c r="D42" s="6">
        <v>3280</v>
      </c>
      <c r="E42" s="6">
        <v>337</v>
      </c>
      <c r="F42" s="6">
        <v>4</v>
      </c>
      <c r="G42" s="17">
        <v>1</v>
      </c>
      <c r="H42" s="17"/>
      <c r="I42" s="17" t="s">
        <v>1505</v>
      </c>
      <c r="J42" s="17">
        <v>26501457</v>
      </c>
      <c r="K42" s="17" t="s">
        <v>1545</v>
      </c>
      <c r="L42" s="17" t="s">
        <v>1551</v>
      </c>
      <c r="M42" s="18">
        <v>249900</v>
      </c>
      <c r="N42" s="9">
        <v>0.9</v>
      </c>
      <c r="O42" s="8">
        <f t="shared" si="0"/>
        <v>24990</v>
      </c>
      <c r="P42" s="6" t="s">
        <v>15</v>
      </c>
    </row>
    <row r="43" spans="1:16" x14ac:dyDescent="0.25">
      <c r="A43" s="6" t="str">
        <f t="shared" si="1"/>
        <v>2020-2021 ALL D90</v>
      </c>
      <c r="B43" s="7">
        <f t="shared" si="2"/>
        <v>46114</v>
      </c>
      <c r="C43" s="7">
        <f t="shared" si="3"/>
        <v>46120</v>
      </c>
      <c r="D43" s="6">
        <v>3280</v>
      </c>
      <c r="E43" s="6">
        <v>337</v>
      </c>
      <c r="F43" s="6">
        <v>4</v>
      </c>
      <c r="G43" s="17">
        <v>1</v>
      </c>
      <c r="H43" s="17"/>
      <c r="I43" s="17" t="s">
        <v>1505</v>
      </c>
      <c r="J43" s="17">
        <v>28109191</v>
      </c>
      <c r="K43" s="17" t="s">
        <v>1552</v>
      </c>
      <c r="L43" s="17" t="s">
        <v>1553</v>
      </c>
      <c r="M43" s="18">
        <v>219900</v>
      </c>
      <c r="N43" s="9">
        <v>0.9</v>
      </c>
      <c r="O43" s="8">
        <f t="shared" si="0"/>
        <v>21990</v>
      </c>
      <c r="P43" s="6" t="s">
        <v>15</v>
      </c>
    </row>
    <row r="44" spans="1:16" x14ac:dyDescent="0.25">
      <c r="A44" s="6" t="str">
        <f t="shared" si="1"/>
        <v>2020-2021 ALL D90</v>
      </c>
      <c r="B44" s="7">
        <f t="shared" si="2"/>
        <v>46114</v>
      </c>
      <c r="C44" s="7">
        <f t="shared" si="3"/>
        <v>46120</v>
      </c>
      <c r="D44" s="6">
        <v>3280</v>
      </c>
      <c r="E44" s="6">
        <v>337</v>
      </c>
      <c r="F44" s="6">
        <v>4</v>
      </c>
      <c r="G44" s="17">
        <v>1</v>
      </c>
      <c r="H44" s="17"/>
      <c r="I44" s="17" t="s">
        <v>1505</v>
      </c>
      <c r="J44" s="17">
        <v>28109208</v>
      </c>
      <c r="K44" s="17" t="s">
        <v>1552</v>
      </c>
      <c r="L44" s="17" t="s">
        <v>1554</v>
      </c>
      <c r="M44" s="18">
        <v>219900</v>
      </c>
      <c r="N44" s="9">
        <v>0.9</v>
      </c>
      <c r="O44" s="8">
        <f t="shared" si="0"/>
        <v>21990</v>
      </c>
      <c r="P44" s="6" t="s">
        <v>15</v>
      </c>
    </row>
    <row r="45" spans="1:16" x14ac:dyDescent="0.25">
      <c r="A45" s="6" t="str">
        <f t="shared" si="1"/>
        <v>2020-2021 ALL D90</v>
      </c>
      <c r="B45" s="7">
        <f t="shared" si="2"/>
        <v>46114</v>
      </c>
      <c r="C45" s="7">
        <f t="shared" si="3"/>
        <v>46120</v>
      </c>
      <c r="D45" s="6">
        <v>3280</v>
      </c>
      <c r="E45" s="6">
        <v>337</v>
      </c>
      <c r="F45" s="6">
        <v>4</v>
      </c>
      <c r="G45" s="17">
        <v>1</v>
      </c>
      <c r="H45" s="17"/>
      <c r="I45" s="17" t="s">
        <v>1505</v>
      </c>
      <c r="J45" s="17">
        <v>28109217</v>
      </c>
      <c r="K45" s="17" t="s">
        <v>1552</v>
      </c>
      <c r="L45" s="17" t="s">
        <v>1555</v>
      </c>
      <c r="M45" s="18">
        <v>219900</v>
      </c>
      <c r="N45" s="9">
        <v>0.9</v>
      </c>
      <c r="O45" s="8">
        <f t="shared" si="0"/>
        <v>21990</v>
      </c>
      <c r="P45" s="6" t="s">
        <v>15</v>
      </c>
    </row>
    <row r="46" spans="1:16" x14ac:dyDescent="0.25">
      <c r="A46" s="6" t="str">
        <f t="shared" si="1"/>
        <v>2020-2021 ALL D90</v>
      </c>
      <c r="B46" s="7">
        <f t="shared" si="2"/>
        <v>46114</v>
      </c>
      <c r="C46" s="7">
        <f t="shared" si="3"/>
        <v>46120</v>
      </c>
      <c r="D46" s="6">
        <v>3280</v>
      </c>
      <c r="E46" s="6">
        <v>337</v>
      </c>
      <c r="F46" s="6">
        <v>4</v>
      </c>
      <c r="G46" s="17">
        <v>1</v>
      </c>
      <c r="H46" s="17"/>
      <c r="I46" s="17" t="s">
        <v>1505</v>
      </c>
      <c r="J46" s="17">
        <v>28109226</v>
      </c>
      <c r="K46" s="17" t="s">
        <v>1552</v>
      </c>
      <c r="L46" s="17" t="s">
        <v>1556</v>
      </c>
      <c r="M46" s="18">
        <v>229900</v>
      </c>
      <c r="N46" s="9">
        <v>0.9</v>
      </c>
      <c r="O46" s="8">
        <f t="shared" si="0"/>
        <v>22990</v>
      </c>
      <c r="P46" s="6" t="s">
        <v>15</v>
      </c>
    </row>
    <row r="47" spans="1:16" x14ac:dyDescent="0.25">
      <c r="A47" s="6" t="str">
        <f t="shared" si="1"/>
        <v>2020-2021 ALL D90</v>
      </c>
      <c r="B47" s="7">
        <f t="shared" si="2"/>
        <v>46114</v>
      </c>
      <c r="C47" s="7">
        <f t="shared" si="3"/>
        <v>46120</v>
      </c>
      <c r="D47" s="6">
        <v>3280</v>
      </c>
      <c r="E47" s="6">
        <v>337</v>
      </c>
      <c r="F47" s="6">
        <v>4</v>
      </c>
      <c r="G47" s="17">
        <v>1</v>
      </c>
      <c r="H47" s="17"/>
      <c r="I47" s="17" t="s">
        <v>1505</v>
      </c>
      <c r="J47" s="17">
        <v>28109235</v>
      </c>
      <c r="K47" s="17" t="s">
        <v>1552</v>
      </c>
      <c r="L47" s="17" t="s">
        <v>1557</v>
      </c>
      <c r="M47" s="18">
        <v>229900</v>
      </c>
      <c r="N47" s="9">
        <v>0.9</v>
      </c>
      <c r="O47" s="8">
        <f t="shared" si="0"/>
        <v>22990</v>
      </c>
      <c r="P47" s="6" t="s">
        <v>15</v>
      </c>
    </row>
    <row r="48" spans="1:16" x14ac:dyDescent="0.25">
      <c r="A48" s="6" t="str">
        <f t="shared" si="1"/>
        <v>2020-2021 ALL D90</v>
      </c>
      <c r="B48" s="7">
        <f t="shared" si="2"/>
        <v>46114</v>
      </c>
      <c r="C48" s="7">
        <f t="shared" si="3"/>
        <v>46120</v>
      </c>
      <c r="D48" s="6">
        <v>3280</v>
      </c>
      <c r="E48" s="6">
        <v>337</v>
      </c>
      <c r="F48" s="6">
        <v>4</v>
      </c>
      <c r="G48" s="17">
        <v>1</v>
      </c>
      <c r="H48" s="17"/>
      <c r="I48" s="17" t="s">
        <v>1505</v>
      </c>
      <c r="J48" s="17">
        <v>28109244</v>
      </c>
      <c r="K48" s="17" t="s">
        <v>1552</v>
      </c>
      <c r="L48" s="17" t="s">
        <v>1558</v>
      </c>
      <c r="M48" s="18">
        <v>229900</v>
      </c>
      <c r="N48" s="9">
        <v>0.9</v>
      </c>
      <c r="O48" s="8">
        <f t="shared" si="0"/>
        <v>22990</v>
      </c>
      <c r="P48" s="6" t="s">
        <v>15</v>
      </c>
    </row>
    <row r="49" spans="1:16" x14ac:dyDescent="0.25">
      <c r="A49" s="6" t="str">
        <f t="shared" si="1"/>
        <v>2020-2021 ALL D90</v>
      </c>
      <c r="B49" s="7">
        <f t="shared" si="2"/>
        <v>46114</v>
      </c>
      <c r="C49" s="7">
        <f t="shared" si="3"/>
        <v>46120</v>
      </c>
      <c r="D49" s="6">
        <v>3280</v>
      </c>
      <c r="E49" s="6">
        <v>337</v>
      </c>
      <c r="F49" s="6">
        <v>4</v>
      </c>
      <c r="G49" s="17">
        <v>1</v>
      </c>
      <c r="H49" s="17"/>
      <c r="I49" s="17" t="s">
        <v>1505</v>
      </c>
      <c r="J49" s="17">
        <v>26510876</v>
      </c>
      <c r="K49" s="17" t="s">
        <v>1559</v>
      </c>
      <c r="L49" s="17" t="s">
        <v>1560</v>
      </c>
      <c r="M49" s="18">
        <v>229900</v>
      </c>
      <c r="N49" s="9">
        <v>0.9</v>
      </c>
      <c r="O49" s="8">
        <f t="shared" si="0"/>
        <v>22990</v>
      </c>
      <c r="P49" s="6" t="s">
        <v>15</v>
      </c>
    </row>
    <row r="50" spans="1:16" x14ac:dyDescent="0.25">
      <c r="A50" s="6" t="str">
        <f t="shared" si="1"/>
        <v>2020-2021 ALL D90</v>
      </c>
      <c r="B50" s="7">
        <f t="shared" si="2"/>
        <v>46114</v>
      </c>
      <c r="C50" s="7">
        <f t="shared" si="3"/>
        <v>46120</v>
      </c>
      <c r="D50" s="6">
        <v>3280</v>
      </c>
      <c r="E50" s="6">
        <v>337</v>
      </c>
      <c r="F50" s="6">
        <v>4</v>
      </c>
      <c r="G50" s="17">
        <v>1</v>
      </c>
      <c r="H50" s="17"/>
      <c r="I50" s="17" t="s">
        <v>1505</v>
      </c>
      <c r="J50" s="17">
        <v>26510885</v>
      </c>
      <c r="K50" s="17" t="s">
        <v>1559</v>
      </c>
      <c r="L50" s="17" t="s">
        <v>1561</v>
      </c>
      <c r="M50" s="18">
        <v>229900</v>
      </c>
      <c r="N50" s="9">
        <v>0.9</v>
      </c>
      <c r="O50" s="8">
        <f t="shared" si="0"/>
        <v>22990</v>
      </c>
      <c r="P50" s="6" t="s">
        <v>15</v>
      </c>
    </row>
    <row r="51" spans="1:16" x14ac:dyDescent="0.25">
      <c r="A51" s="6" t="str">
        <f t="shared" si="1"/>
        <v>2020-2021 ALL D90</v>
      </c>
      <c r="B51" s="7">
        <f t="shared" si="2"/>
        <v>46114</v>
      </c>
      <c r="C51" s="7">
        <f t="shared" si="3"/>
        <v>46120</v>
      </c>
      <c r="D51" s="6">
        <v>3280</v>
      </c>
      <c r="E51" s="6">
        <v>337</v>
      </c>
      <c r="F51" s="6">
        <v>4</v>
      </c>
      <c r="G51" s="17">
        <v>1</v>
      </c>
      <c r="H51" s="17"/>
      <c r="I51" s="17" t="s">
        <v>1505</v>
      </c>
      <c r="J51" s="17">
        <v>26510894</v>
      </c>
      <c r="K51" s="17" t="s">
        <v>1559</v>
      </c>
      <c r="L51" s="17" t="s">
        <v>1562</v>
      </c>
      <c r="M51" s="18">
        <v>229900</v>
      </c>
      <c r="N51" s="9">
        <v>0.9</v>
      </c>
      <c r="O51" s="8">
        <f t="shared" si="0"/>
        <v>22990</v>
      </c>
      <c r="P51" s="6" t="s">
        <v>15</v>
      </c>
    </row>
    <row r="52" spans="1:16" x14ac:dyDescent="0.25">
      <c r="A52" s="6" t="str">
        <f t="shared" si="1"/>
        <v>2020-2021 ALL D90</v>
      </c>
      <c r="B52" s="7">
        <f t="shared" si="2"/>
        <v>46114</v>
      </c>
      <c r="C52" s="7">
        <f t="shared" si="3"/>
        <v>46120</v>
      </c>
      <c r="D52" s="6">
        <v>3280</v>
      </c>
      <c r="E52" s="6">
        <v>337</v>
      </c>
      <c r="F52" s="6">
        <v>4</v>
      </c>
      <c r="G52" s="17">
        <v>1</v>
      </c>
      <c r="H52" s="17"/>
      <c r="I52" s="17" t="s">
        <v>1505</v>
      </c>
      <c r="J52" s="17">
        <v>26510901</v>
      </c>
      <c r="K52" s="17" t="s">
        <v>1559</v>
      </c>
      <c r="L52" s="17" t="s">
        <v>1563</v>
      </c>
      <c r="M52" s="18">
        <v>229900</v>
      </c>
      <c r="N52" s="9">
        <v>0.9</v>
      </c>
      <c r="O52" s="8">
        <f t="shared" si="0"/>
        <v>22990</v>
      </c>
      <c r="P52" s="6" t="s">
        <v>15</v>
      </c>
    </row>
    <row r="53" spans="1:16" x14ac:dyDescent="0.25">
      <c r="A53" s="6" t="str">
        <f t="shared" si="1"/>
        <v>2020-2021 ALL D90</v>
      </c>
      <c r="B53" s="7">
        <f t="shared" si="2"/>
        <v>46114</v>
      </c>
      <c r="C53" s="7">
        <f t="shared" si="3"/>
        <v>46120</v>
      </c>
      <c r="D53" s="6">
        <v>3280</v>
      </c>
      <c r="E53" s="6">
        <v>337</v>
      </c>
      <c r="F53" s="6">
        <v>4</v>
      </c>
      <c r="G53" s="17">
        <v>1</v>
      </c>
      <c r="H53" s="17"/>
      <c r="I53" s="17" t="s">
        <v>1505</v>
      </c>
      <c r="J53" s="17">
        <v>26510910</v>
      </c>
      <c r="K53" s="17" t="s">
        <v>1559</v>
      </c>
      <c r="L53" s="17" t="s">
        <v>1564</v>
      </c>
      <c r="M53" s="18">
        <v>229900</v>
      </c>
      <c r="N53" s="9">
        <v>0.9</v>
      </c>
      <c r="O53" s="8">
        <f t="shared" si="0"/>
        <v>22990</v>
      </c>
      <c r="P53" s="6" t="s">
        <v>15</v>
      </c>
    </row>
    <row r="54" spans="1:16" x14ac:dyDescent="0.25">
      <c r="A54" s="6" t="str">
        <f t="shared" si="1"/>
        <v>2020-2021 ALL D90</v>
      </c>
      <c r="B54" s="7">
        <f t="shared" si="2"/>
        <v>46114</v>
      </c>
      <c r="C54" s="7">
        <f t="shared" si="3"/>
        <v>46120</v>
      </c>
      <c r="D54" s="6">
        <v>3280</v>
      </c>
      <c r="E54" s="6">
        <v>337</v>
      </c>
      <c r="F54" s="6">
        <v>4</v>
      </c>
      <c r="G54" s="17">
        <v>1</v>
      </c>
      <c r="H54" s="17"/>
      <c r="I54" s="17" t="s">
        <v>1505</v>
      </c>
      <c r="J54" s="17">
        <v>26510929</v>
      </c>
      <c r="K54" s="17" t="s">
        <v>1559</v>
      </c>
      <c r="L54" s="17" t="s">
        <v>1565</v>
      </c>
      <c r="M54" s="18">
        <v>229900</v>
      </c>
      <c r="N54" s="9">
        <v>0.9</v>
      </c>
      <c r="O54" s="8">
        <f t="shared" si="0"/>
        <v>22990</v>
      </c>
      <c r="P54" s="6" t="s">
        <v>15</v>
      </c>
    </row>
    <row r="55" spans="1:16" x14ac:dyDescent="0.25">
      <c r="A55" s="6" t="str">
        <f t="shared" si="1"/>
        <v>2020-2021 ALL D90</v>
      </c>
      <c r="B55" s="7">
        <f t="shared" si="2"/>
        <v>46114</v>
      </c>
      <c r="C55" s="7">
        <f t="shared" si="3"/>
        <v>46120</v>
      </c>
      <c r="D55" s="6">
        <v>3280</v>
      </c>
      <c r="E55" s="6">
        <v>337</v>
      </c>
      <c r="F55" s="6">
        <v>4</v>
      </c>
      <c r="G55" s="17">
        <v>1</v>
      </c>
      <c r="H55" s="17"/>
      <c r="I55" s="17" t="s">
        <v>1505</v>
      </c>
      <c r="J55" s="17">
        <v>28116325</v>
      </c>
      <c r="K55" s="17" t="s">
        <v>1566</v>
      </c>
      <c r="L55" s="17" t="s">
        <v>1567</v>
      </c>
      <c r="M55" s="18">
        <v>229900</v>
      </c>
      <c r="N55" s="9">
        <v>0.9</v>
      </c>
      <c r="O55" s="8">
        <f t="shared" si="0"/>
        <v>22990</v>
      </c>
      <c r="P55" s="6" t="s">
        <v>15</v>
      </c>
    </row>
    <row r="56" spans="1:16" x14ac:dyDescent="0.25">
      <c r="A56" s="6" t="str">
        <f t="shared" si="1"/>
        <v>2020-2021 ALL D90</v>
      </c>
      <c r="B56" s="7">
        <f t="shared" si="2"/>
        <v>46114</v>
      </c>
      <c r="C56" s="7">
        <f t="shared" si="3"/>
        <v>46120</v>
      </c>
      <c r="D56" s="6">
        <v>3280</v>
      </c>
      <c r="E56" s="6">
        <v>337</v>
      </c>
      <c r="F56" s="6">
        <v>4</v>
      </c>
      <c r="G56" s="17">
        <v>1</v>
      </c>
      <c r="H56" s="17"/>
      <c r="I56" s="17" t="s">
        <v>1505</v>
      </c>
      <c r="J56" s="17">
        <v>28116334</v>
      </c>
      <c r="K56" s="17" t="s">
        <v>1566</v>
      </c>
      <c r="L56" s="17" t="s">
        <v>1568</v>
      </c>
      <c r="M56" s="18">
        <v>229900</v>
      </c>
      <c r="N56" s="9">
        <v>0.9</v>
      </c>
      <c r="O56" s="8">
        <f t="shared" si="0"/>
        <v>22990</v>
      </c>
      <c r="P56" s="6" t="s">
        <v>15</v>
      </c>
    </row>
    <row r="57" spans="1:16" x14ac:dyDescent="0.25">
      <c r="A57" s="6" t="str">
        <f t="shared" si="1"/>
        <v>2020-2021 ALL D90</v>
      </c>
      <c r="B57" s="7">
        <f t="shared" si="2"/>
        <v>46114</v>
      </c>
      <c r="C57" s="7">
        <f t="shared" si="3"/>
        <v>46120</v>
      </c>
      <c r="D57" s="6">
        <v>3280</v>
      </c>
      <c r="E57" s="6">
        <v>337</v>
      </c>
      <c r="F57" s="6">
        <v>4</v>
      </c>
      <c r="G57" s="17">
        <v>1</v>
      </c>
      <c r="H57" s="17"/>
      <c r="I57" s="17" t="s">
        <v>1505</v>
      </c>
      <c r="J57" s="17">
        <v>28116343</v>
      </c>
      <c r="K57" s="17" t="s">
        <v>1566</v>
      </c>
      <c r="L57" s="17" t="s">
        <v>1569</v>
      </c>
      <c r="M57" s="18">
        <v>229900</v>
      </c>
      <c r="N57" s="9">
        <v>0.9</v>
      </c>
      <c r="O57" s="8">
        <f t="shared" si="0"/>
        <v>22990</v>
      </c>
      <c r="P57" s="6" t="s">
        <v>15</v>
      </c>
    </row>
    <row r="58" spans="1:16" x14ac:dyDescent="0.25">
      <c r="A58" s="6" t="str">
        <f t="shared" si="1"/>
        <v>2020-2021 ALL D90</v>
      </c>
      <c r="B58" s="7">
        <f t="shared" si="2"/>
        <v>46114</v>
      </c>
      <c r="C58" s="7">
        <f t="shared" si="3"/>
        <v>46120</v>
      </c>
      <c r="D58" s="6">
        <v>3280</v>
      </c>
      <c r="E58" s="6">
        <v>337</v>
      </c>
      <c r="F58" s="6">
        <v>4</v>
      </c>
      <c r="G58" s="17">
        <v>1</v>
      </c>
      <c r="H58" s="17"/>
      <c r="I58" s="17" t="s">
        <v>1505</v>
      </c>
      <c r="J58" s="17">
        <v>28116352</v>
      </c>
      <c r="K58" s="17" t="s">
        <v>1566</v>
      </c>
      <c r="L58" s="17" t="s">
        <v>1570</v>
      </c>
      <c r="M58" s="18">
        <v>239900</v>
      </c>
      <c r="N58" s="9">
        <v>0.9</v>
      </c>
      <c r="O58" s="8">
        <f t="shared" si="0"/>
        <v>23990</v>
      </c>
      <c r="P58" s="6" t="s">
        <v>15</v>
      </c>
    </row>
    <row r="59" spans="1:16" x14ac:dyDescent="0.25">
      <c r="A59" s="6" t="str">
        <f t="shared" si="1"/>
        <v>2020-2021 ALL D90</v>
      </c>
      <c r="B59" s="7">
        <f t="shared" si="2"/>
        <v>46114</v>
      </c>
      <c r="C59" s="7">
        <f t="shared" si="3"/>
        <v>46120</v>
      </c>
      <c r="D59" s="6">
        <v>3280</v>
      </c>
      <c r="E59" s="6">
        <v>337</v>
      </c>
      <c r="F59" s="6">
        <v>4</v>
      </c>
      <c r="G59" s="17">
        <v>1</v>
      </c>
      <c r="H59" s="17"/>
      <c r="I59" s="17" t="s">
        <v>1505</v>
      </c>
      <c r="J59" s="17">
        <v>28116361</v>
      </c>
      <c r="K59" s="17" t="s">
        <v>1566</v>
      </c>
      <c r="L59" s="17" t="s">
        <v>1571</v>
      </c>
      <c r="M59" s="18">
        <v>239900</v>
      </c>
      <c r="N59" s="9">
        <v>0.9</v>
      </c>
      <c r="O59" s="8">
        <f t="shared" si="0"/>
        <v>23990</v>
      </c>
      <c r="P59" s="6" t="s">
        <v>15</v>
      </c>
    </row>
    <row r="60" spans="1:16" x14ac:dyDescent="0.25">
      <c r="A60" s="6" t="str">
        <f t="shared" si="1"/>
        <v>2020-2021 ALL D90</v>
      </c>
      <c r="B60" s="7">
        <f t="shared" si="2"/>
        <v>46114</v>
      </c>
      <c r="C60" s="7">
        <f t="shared" si="3"/>
        <v>46120</v>
      </c>
      <c r="D60" s="6">
        <v>3280</v>
      </c>
      <c r="E60" s="6">
        <v>337</v>
      </c>
      <c r="F60" s="6">
        <v>4</v>
      </c>
      <c r="G60" s="17">
        <v>1</v>
      </c>
      <c r="H60" s="17"/>
      <c r="I60" s="17" t="s">
        <v>1505</v>
      </c>
      <c r="J60" s="17">
        <v>28116370</v>
      </c>
      <c r="K60" s="17" t="s">
        <v>1566</v>
      </c>
      <c r="L60" s="17" t="s">
        <v>1572</v>
      </c>
      <c r="M60" s="18">
        <v>239900</v>
      </c>
      <c r="N60" s="9">
        <v>0.9</v>
      </c>
      <c r="O60" s="8">
        <f t="shared" si="0"/>
        <v>23990</v>
      </c>
      <c r="P60" s="6" t="s">
        <v>15</v>
      </c>
    </row>
    <row r="61" spans="1:16" x14ac:dyDescent="0.25">
      <c r="A61" s="6" t="str">
        <f t="shared" si="1"/>
        <v>2020-2021 ALL D90</v>
      </c>
      <c r="B61" s="7">
        <f t="shared" si="2"/>
        <v>46114</v>
      </c>
      <c r="C61" s="7">
        <f t="shared" si="3"/>
        <v>46120</v>
      </c>
      <c r="D61" s="6">
        <v>3280</v>
      </c>
      <c r="E61" s="6">
        <v>337</v>
      </c>
      <c r="F61" s="6">
        <v>4</v>
      </c>
      <c r="G61" s="17">
        <v>1</v>
      </c>
      <c r="H61" s="17"/>
      <c r="I61" s="17" t="s">
        <v>1505</v>
      </c>
      <c r="J61" s="17">
        <v>26486000</v>
      </c>
      <c r="K61" s="17" t="s">
        <v>1573</v>
      </c>
      <c r="L61" s="17" t="s">
        <v>1574</v>
      </c>
      <c r="M61" s="18">
        <v>209900</v>
      </c>
      <c r="N61" s="9">
        <v>0.9</v>
      </c>
      <c r="O61" s="8">
        <f t="shared" si="0"/>
        <v>20990</v>
      </c>
      <c r="P61" s="6" t="s">
        <v>15</v>
      </c>
    </row>
    <row r="62" spans="1:16" x14ac:dyDescent="0.25">
      <c r="A62" s="6" t="str">
        <f t="shared" si="1"/>
        <v>2020-2021 ALL D90</v>
      </c>
      <c r="B62" s="7">
        <f t="shared" si="2"/>
        <v>46114</v>
      </c>
      <c r="C62" s="7">
        <f t="shared" si="3"/>
        <v>46120</v>
      </c>
      <c r="D62" s="6">
        <v>3280</v>
      </c>
      <c r="E62" s="6">
        <v>337</v>
      </c>
      <c r="F62" s="6">
        <v>4</v>
      </c>
      <c r="G62" s="17">
        <v>1</v>
      </c>
      <c r="H62" s="17"/>
      <c r="I62" s="17" t="s">
        <v>1505</v>
      </c>
      <c r="J62" s="17">
        <v>26486019</v>
      </c>
      <c r="K62" s="17" t="s">
        <v>1573</v>
      </c>
      <c r="L62" s="17" t="s">
        <v>1575</v>
      </c>
      <c r="M62" s="18">
        <v>209900</v>
      </c>
      <c r="N62" s="9">
        <v>0.9</v>
      </c>
      <c r="O62" s="8">
        <f t="shared" si="0"/>
        <v>20990</v>
      </c>
      <c r="P62" s="6" t="s">
        <v>15</v>
      </c>
    </row>
    <row r="63" spans="1:16" x14ac:dyDescent="0.25">
      <c r="A63" s="6" t="str">
        <f t="shared" si="1"/>
        <v>2020-2021 ALL D90</v>
      </c>
      <c r="B63" s="7">
        <f t="shared" si="2"/>
        <v>46114</v>
      </c>
      <c r="C63" s="7">
        <f t="shared" si="3"/>
        <v>46120</v>
      </c>
      <c r="D63" s="6">
        <v>3280</v>
      </c>
      <c r="E63" s="6">
        <v>337</v>
      </c>
      <c r="F63" s="6">
        <v>4</v>
      </c>
      <c r="G63" s="17">
        <v>1</v>
      </c>
      <c r="H63" s="17"/>
      <c r="I63" s="17" t="s">
        <v>1505</v>
      </c>
      <c r="J63" s="17">
        <v>26486028</v>
      </c>
      <c r="K63" s="17" t="s">
        <v>1573</v>
      </c>
      <c r="L63" s="17" t="s">
        <v>1576</v>
      </c>
      <c r="M63" s="18">
        <v>209900</v>
      </c>
      <c r="N63" s="9">
        <v>0.9</v>
      </c>
      <c r="O63" s="8">
        <f t="shared" si="0"/>
        <v>20990</v>
      </c>
      <c r="P63" s="6" t="s">
        <v>15</v>
      </c>
    </row>
    <row r="64" spans="1:16" x14ac:dyDescent="0.25">
      <c r="A64" s="6" t="str">
        <f t="shared" si="1"/>
        <v>2020-2021 ALL D90</v>
      </c>
      <c r="B64" s="7">
        <f t="shared" si="2"/>
        <v>46114</v>
      </c>
      <c r="C64" s="7">
        <f t="shared" si="3"/>
        <v>46120</v>
      </c>
      <c r="D64" s="6">
        <v>3280</v>
      </c>
      <c r="E64" s="6">
        <v>337</v>
      </c>
      <c r="F64" s="6">
        <v>4</v>
      </c>
      <c r="G64" s="17">
        <v>1</v>
      </c>
      <c r="H64" s="17"/>
      <c r="I64" s="17" t="s">
        <v>1505</v>
      </c>
      <c r="J64" s="17">
        <v>26486037</v>
      </c>
      <c r="K64" s="17" t="s">
        <v>1573</v>
      </c>
      <c r="L64" s="17" t="s">
        <v>1577</v>
      </c>
      <c r="M64" s="18">
        <v>219900</v>
      </c>
      <c r="N64" s="9">
        <v>0.9</v>
      </c>
      <c r="O64" s="8">
        <f t="shared" si="0"/>
        <v>21990</v>
      </c>
      <c r="P64" s="6" t="s">
        <v>15</v>
      </c>
    </row>
    <row r="65" spans="1:16" x14ac:dyDescent="0.25">
      <c r="A65" s="6" t="str">
        <f t="shared" si="1"/>
        <v>2020-2021 ALL D90</v>
      </c>
      <c r="B65" s="7">
        <f t="shared" si="2"/>
        <v>46114</v>
      </c>
      <c r="C65" s="7">
        <f t="shared" si="3"/>
        <v>46120</v>
      </c>
      <c r="D65" s="6">
        <v>3280</v>
      </c>
      <c r="E65" s="6">
        <v>337</v>
      </c>
      <c r="F65" s="6">
        <v>4</v>
      </c>
      <c r="G65" s="17">
        <v>1</v>
      </c>
      <c r="H65" s="17"/>
      <c r="I65" s="17" t="s">
        <v>1505</v>
      </c>
      <c r="J65" s="17">
        <v>26486046</v>
      </c>
      <c r="K65" s="17" t="s">
        <v>1573</v>
      </c>
      <c r="L65" s="17" t="s">
        <v>1578</v>
      </c>
      <c r="M65" s="18">
        <v>219900</v>
      </c>
      <c r="N65" s="9">
        <v>0.9</v>
      </c>
      <c r="O65" s="8">
        <f t="shared" si="0"/>
        <v>21990</v>
      </c>
      <c r="P65" s="6" t="s">
        <v>15</v>
      </c>
    </row>
    <row r="66" spans="1:16" x14ac:dyDescent="0.25">
      <c r="A66" s="6" t="str">
        <f t="shared" si="1"/>
        <v>2020-2021 ALL D90</v>
      </c>
      <c r="B66" s="7">
        <f t="shared" si="2"/>
        <v>46114</v>
      </c>
      <c r="C66" s="7">
        <f t="shared" si="3"/>
        <v>46120</v>
      </c>
      <c r="D66" s="6">
        <v>3280</v>
      </c>
      <c r="E66" s="6">
        <v>337</v>
      </c>
      <c r="F66" s="6">
        <v>4</v>
      </c>
      <c r="G66" s="17">
        <v>1</v>
      </c>
      <c r="H66" s="17"/>
      <c r="I66" s="17" t="s">
        <v>1505</v>
      </c>
      <c r="J66" s="17">
        <v>26486055</v>
      </c>
      <c r="K66" s="17" t="s">
        <v>1573</v>
      </c>
      <c r="L66" s="17" t="s">
        <v>1579</v>
      </c>
      <c r="M66" s="18">
        <v>219900</v>
      </c>
      <c r="N66" s="9">
        <v>0.9</v>
      </c>
      <c r="O66" s="8">
        <f t="shared" si="0"/>
        <v>21990</v>
      </c>
      <c r="P66" s="6" t="s">
        <v>15</v>
      </c>
    </row>
    <row r="67" spans="1:16" x14ac:dyDescent="0.25">
      <c r="A67" s="6" t="str">
        <f t="shared" si="1"/>
        <v>2020-2021 ALL D90</v>
      </c>
      <c r="B67" s="7">
        <f t="shared" si="2"/>
        <v>46114</v>
      </c>
      <c r="C67" s="7">
        <f t="shared" si="3"/>
        <v>46120</v>
      </c>
      <c r="D67" s="6">
        <v>3280</v>
      </c>
      <c r="E67" s="6">
        <v>337</v>
      </c>
      <c r="F67" s="6">
        <v>4</v>
      </c>
      <c r="G67" s="17">
        <v>1</v>
      </c>
      <c r="H67" s="17"/>
      <c r="I67" s="17" t="s">
        <v>1505</v>
      </c>
      <c r="J67" s="17">
        <v>28105631</v>
      </c>
      <c r="K67" s="17" t="s">
        <v>1580</v>
      </c>
      <c r="L67" s="17" t="s">
        <v>1581</v>
      </c>
      <c r="M67" s="18">
        <v>229900</v>
      </c>
      <c r="N67" s="9">
        <v>0.9</v>
      </c>
      <c r="O67" s="8">
        <f t="shared" ref="O67:O130" si="4">M67-((90*M67)/100)</f>
        <v>22990</v>
      </c>
      <c r="P67" s="6" t="s">
        <v>15</v>
      </c>
    </row>
    <row r="68" spans="1:16" x14ac:dyDescent="0.25">
      <c r="A68" s="6" t="str">
        <f t="shared" ref="A68:A131" si="5">A67</f>
        <v>2020-2021 ALL D90</v>
      </c>
      <c r="B68" s="7">
        <f t="shared" ref="B68:B131" si="6">B67</f>
        <v>46114</v>
      </c>
      <c r="C68" s="7">
        <f t="shared" ref="C68:C131" si="7">C67</f>
        <v>46120</v>
      </c>
      <c r="D68" s="6">
        <v>3280</v>
      </c>
      <c r="E68" s="6">
        <v>337</v>
      </c>
      <c r="F68" s="6">
        <v>4</v>
      </c>
      <c r="G68" s="17">
        <v>1</v>
      </c>
      <c r="H68" s="17"/>
      <c r="I68" s="17" t="s">
        <v>1505</v>
      </c>
      <c r="J68" s="17">
        <v>28105640</v>
      </c>
      <c r="K68" s="17" t="s">
        <v>1580</v>
      </c>
      <c r="L68" s="17" t="s">
        <v>1582</v>
      </c>
      <c r="M68" s="18">
        <v>229900</v>
      </c>
      <c r="N68" s="9">
        <v>0.9</v>
      </c>
      <c r="O68" s="8">
        <f t="shared" si="4"/>
        <v>22990</v>
      </c>
      <c r="P68" s="6" t="s">
        <v>15</v>
      </c>
    </row>
    <row r="69" spans="1:16" x14ac:dyDescent="0.25">
      <c r="A69" s="6" t="str">
        <f t="shared" si="5"/>
        <v>2020-2021 ALL D90</v>
      </c>
      <c r="B69" s="7">
        <f t="shared" si="6"/>
        <v>46114</v>
      </c>
      <c r="C69" s="7">
        <f t="shared" si="7"/>
        <v>46120</v>
      </c>
      <c r="D69" s="6">
        <v>3280</v>
      </c>
      <c r="E69" s="6">
        <v>337</v>
      </c>
      <c r="F69" s="6">
        <v>4</v>
      </c>
      <c r="G69" s="17">
        <v>1</v>
      </c>
      <c r="H69" s="17"/>
      <c r="I69" s="17" t="s">
        <v>1505</v>
      </c>
      <c r="J69" s="17">
        <v>28105659</v>
      </c>
      <c r="K69" s="17" t="s">
        <v>1580</v>
      </c>
      <c r="L69" s="17" t="s">
        <v>1583</v>
      </c>
      <c r="M69" s="18">
        <v>229900</v>
      </c>
      <c r="N69" s="9">
        <v>0.9</v>
      </c>
      <c r="O69" s="8">
        <f t="shared" si="4"/>
        <v>22990</v>
      </c>
      <c r="P69" s="6" t="s">
        <v>15</v>
      </c>
    </row>
    <row r="70" spans="1:16" x14ac:dyDescent="0.25">
      <c r="A70" s="6" t="str">
        <f t="shared" si="5"/>
        <v>2020-2021 ALL D90</v>
      </c>
      <c r="B70" s="7">
        <f t="shared" si="6"/>
        <v>46114</v>
      </c>
      <c r="C70" s="7">
        <f t="shared" si="7"/>
        <v>46120</v>
      </c>
      <c r="D70" s="6">
        <v>3280</v>
      </c>
      <c r="E70" s="6">
        <v>337</v>
      </c>
      <c r="F70" s="6">
        <v>4</v>
      </c>
      <c r="G70" s="17">
        <v>1</v>
      </c>
      <c r="H70" s="17"/>
      <c r="I70" s="17" t="s">
        <v>1505</v>
      </c>
      <c r="J70" s="17">
        <v>28105668</v>
      </c>
      <c r="K70" s="17" t="s">
        <v>1580</v>
      </c>
      <c r="L70" s="17" t="s">
        <v>1584</v>
      </c>
      <c r="M70" s="18">
        <v>239900</v>
      </c>
      <c r="N70" s="9">
        <v>0.9</v>
      </c>
      <c r="O70" s="8">
        <f t="shared" si="4"/>
        <v>23990</v>
      </c>
      <c r="P70" s="6" t="s">
        <v>15</v>
      </c>
    </row>
    <row r="71" spans="1:16" x14ac:dyDescent="0.25">
      <c r="A71" s="6" t="str">
        <f t="shared" si="5"/>
        <v>2020-2021 ALL D90</v>
      </c>
      <c r="B71" s="7">
        <f t="shared" si="6"/>
        <v>46114</v>
      </c>
      <c r="C71" s="7">
        <f t="shared" si="7"/>
        <v>46120</v>
      </c>
      <c r="D71" s="6">
        <v>3280</v>
      </c>
      <c r="E71" s="6">
        <v>337</v>
      </c>
      <c r="F71" s="6">
        <v>4</v>
      </c>
      <c r="G71" s="17">
        <v>1</v>
      </c>
      <c r="H71" s="17"/>
      <c r="I71" s="17" t="s">
        <v>1505</v>
      </c>
      <c r="J71" s="17">
        <v>28105677</v>
      </c>
      <c r="K71" s="17" t="s">
        <v>1580</v>
      </c>
      <c r="L71" s="17" t="s">
        <v>1585</v>
      </c>
      <c r="M71" s="18">
        <v>239900</v>
      </c>
      <c r="N71" s="9">
        <v>0.9</v>
      </c>
      <c r="O71" s="8">
        <f t="shared" si="4"/>
        <v>23990</v>
      </c>
      <c r="P71" s="6" t="s">
        <v>15</v>
      </c>
    </row>
    <row r="72" spans="1:16" x14ac:dyDescent="0.25">
      <c r="A72" s="6" t="str">
        <f t="shared" si="5"/>
        <v>2020-2021 ALL D90</v>
      </c>
      <c r="B72" s="7">
        <f t="shared" si="6"/>
        <v>46114</v>
      </c>
      <c r="C72" s="7">
        <f t="shared" si="7"/>
        <v>46120</v>
      </c>
      <c r="D72" s="6">
        <v>3280</v>
      </c>
      <c r="E72" s="6">
        <v>337</v>
      </c>
      <c r="F72" s="6">
        <v>4</v>
      </c>
      <c r="G72" s="17">
        <v>1</v>
      </c>
      <c r="H72" s="17"/>
      <c r="I72" s="17" t="s">
        <v>1505</v>
      </c>
      <c r="J72" s="17">
        <v>28105686</v>
      </c>
      <c r="K72" s="17" t="s">
        <v>1580</v>
      </c>
      <c r="L72" s="17" t="s">
        <v>1586</v>
      </c>
      <c r="M72" s="18">
        <v>239900</v>
      </c>
      <c r="N72" s="9">
        <v>0.9</v>
      </c>
      <c r="O72" s="8">
        <f t="shared" si="4"/>
        <v>23990</v>
      </c>
      <c r="P72" s="6" t="s">
        <v>15</v>
      </c>
    </row>
    <row r="73" spans="1:16" x14ac:dyDescent="0.25">
      <c r="A73" s="6" t="str">
        <f t="shared" si="5"/>
        <v>2020-2021 ALL D90</v>
      </c>
      <c r="B73" s="7">
        <f t="shared" si="6"/>
        <v>46114</v>
      </c>
      <c r="C73" s="7">
        <f t="shared" si="7"/>
        <v>46120</v>
      </c>
      <c r="D73" s="6">
        <v>3280</v>
      </c>
      <c r="E73" s="6">
        <v>337</v>
      </c>
      <c r="F73" s="6">
        <v>4</v>
      </c>
      <c r="G73" s="17">
        <v>1</v>
      </c>
      <c r="H73" s="17"/>
      <c r="I73" s="17" t="s">
        <v>1505</v>
      </c>
      <c r="J73" s="17">
        <v>28105579</v>
      </c>
      <c r="K73" s="17" t="s">
        <v>1587</v>
      </c>
      <c r="L73" s="17" t="s">
        <v>1588</v>
      </c>
      <c r="M73" s="18">
        <v>229900</v>
      </c>
      <c r="N73" s="9">
        <v>0.9</v>
      </c>
      <c r="O73" s="8">
        <f t="shared" si="4"/>
        <v>22990</v>
      </c>
      <c r="P73" s="6" t="s">
        <v>15</v>
      </c>
    </row>
    <row r="74" spans="1:16" x14ac:dyDescent="0.25">
      <c r="A74" s="6" t="str">
        <f t="shared" si="5"/>
        <v>2020-2021 ALL D90</v>
      </c>
      <c r="B74" s="7">
        <f t="shared" si="6"/>
        <v>46114</v>
      </c>
      <c r="C74" s="7">
        <f t="shared" si="7"/>
        <v>46120</v>
      </c>
      <c r="D74" s="6">
        <v>3280</v>
      </c>
      <c r="E74" s="6">
        <v>337</v>
      </c>
      <c r="F74" s="6">
        <v>4</v>
      </c>
      <c r="G74" s="17">
        <v>1</v>
      </c>
      <c r="H74" s="17"/>
      <c r="I74" s="17" t="s">
        <v>1505</v>
      </c>
      <c r="J74" s="17">
        <v>28105588</v>
      </c>
      <c r="K74" s="17" t="s">
        <v>1587</v>
      </c>
      <c r="L74" s="17" t="s">
        <v>1589</v>
      </c>
      <c r="M74" s="18">
        <v>229900</v>
      </c>
      <c r="N74" s="9">
        <v>0.9</v>
      </c>
      <c r="O74" s="8">
        <f t="shared" si="4"/>
        <v>22990</v>
      </c>
      <c r="P74" s="6" t="s">
        <v>15</v>
      </c>
    </row>
    <row r="75" spans="1:16" x14ac:dyDescent="0.25">
      <c r="A75" s="6" t="str">
        <f t="shared" si="5"/>
        <v>2020-2021 ALL D90</v>
      </c>
      <c r="B75" s="7">
        <f t="shared" si="6"/>
        <v>46114</v>
      </c>
      <c r="C75" s="7">
        <f t="shared" si="7"/>
        <v>46120</v>
      </c>
      <c r="D75" s="6">
        <v>3280</v>
      </c>
      <c r="E75" s="6">
        <v>337</v>
      </c>
      <c r="F75" s="6">
        <v>4</v>
      </c>
      <c r="G75" s="17">
        <v>1</v>
      </c>
      <c r="H75" s="17"/>
      <c r="I75" s="17" t="s">
        <v>1505</v>
      </c>
      <c r="J75" s="17">
        <v>28105597</v>
      </c>
      <c r="K75" s="17" t="s">
        <v>1587</v>
      </c>
      <c r="L75" s="17" t="s">
        <v>1590</v>
      </c>
      <c r="M75" s="18">
        <v>229900</v>
      </c>
      <c r="N75" s="9">
        <v>0.9</v>
      </c>
      <c r="O75" s="8">
        <f t="shared" si="4"/>
        <v>22990</v>
      </c>
      <c r="P75" s="6" t="s">
        <v>15</v>
      </c>
    </row>
    <row r="76" spans="1:16" x14ac:dyDescent="0.25">
      <c r="A76" s="6" t="str">
        <f t="shared" si="5"/>
        <v>2020-2021 ALL D90</v>
      </c>
      <c r="B76" s="7">
        <f t="shared" si="6"/>
        <v>46114</v>
      </c>
      <c r="C76" s="7">
        <f t="shared" si="7"/>
        <v>46120</v>
      </c>
      <c r="D76" s="6">
        <v>3280</v>
      </c>
      <c r="E76" s="6">
        <v>337</v>
      </c>
      <c r="F76" s="6">
        <v>4</v>
      </c>
      <c r="G76" s="17">
        <v>1</v>
      </c>
      <c r="H76" s="17"/>
      <c r="I76" s="17" t="s">
        <v>1505</v>
      </c>
      <c r="J76" s="17">
        <v>28105604</v>
      </c>
      <c r="K76" s="17" t="s">
        <v>1587</v>
      </c>
      <c r="L76" s="17" t="s">
        <v>1591</v>
      </c>
      <c r="M76" s="18">
        <v>239900</v>
      </c>
      <c r="N76" s="9">
        <v>0.9</v>
      </c>
      <c r="O76" s="8">
        <f t="shared" si="4"/>
        <v>23990</v>
      </c>
      <c r="P76" s="6" t="s">
        <v>15</v>
      </c>
    </row>
    <row r="77" spans="1:16" x14ac:dyDescent="0.25">
      <c r="A77" s="6" t="str">
        <f t="shared" si="5"/>
        <v>2020-2021 ALL D90</v>
      </c>
      <c r="B77" s="7">
        <f t="shared" si="6"/>
        <v>46114</v>
      </c>
      <c r="C77" s="7">
        <f t="shared" si="7"/>
        <v>46120</v>
      </c>
      <c r="D77" s="6">
        <v>3280</v>
      </c>
      <c r="E77" s="6">
        <v>337</v>
      </c>
      <c r="F77" s="6">
        <v>4</v>
      </c>
      <c r="G77" s="17">
        <v>1</v>
      </c>
      <c r="H77" s="17"/>
      <c r="I77" s="17" t="s">
        <v>1505</v>
      </c>
      <c r="J77" s="17">
        <v>28105613</v>
      </c>
      <c r="K77" s="17" t="s">
        <v>1587</v>
      </c>
      <c r="L77" s="17" t="s">
        <v>1592</v>
      </c>
      <c r="M77" s="18">
        <v>239900</v>
      </c>
      <c r="N77" s="9">
        <v>0.9</v>
      </c>
      <c r="O77" s="8">
        <f t="shared" si="4"/>
        <v>23990</v>
      </c>
      <c r="P77" s="6" t="s">
        <v>15</v>
      </c>
    </row>
    <row r="78" spans="1:16" x14ac:dyDescent="0.25">
      <c r="A78" s="6" t="str">
        <f t="shared" si="5"/>
        <v>2020-2021 ALL D90</v>
      </c>
      <c r="B78" s="7">
        <f t="shared" si="6"/>
        <v>46114</v>
      </c>
      <c r="C78" s="7">
        <f t="shared" si="7"/>
        <v>46120</v>
      </c>
      <c r="D78" s="6">
        <v>3280</v>
      </c>
      <c r="E78" s="6">
        <v>337</v>
      </c>
      <c r="F78" s="6">
        <v>4</v>
      </c>
      <c r="G78" s="17">
        <v>1</v>
      </c>
      <c r="H78" s="17"/>
      <c r="I78" s="17" t="s">
        <v>1505</v>
      </c>
      <c r="J78" s="17">
        <v>28105622</v>
      </c>
      <c r="K78" s="17" t="s">
        <v>1587</v>
      </c>
      <c r="L78" s="17" t="s">
        <v>1593</v>
      </c>
      <c r="M78" s="18">
        <v>239900</v>
      </c>
      <c r="N78" s="9">
        <v>0.9</v>
      </c>
      <c r="O78" s="8">
        <f t="shared" si="4"/>
        <v>23990</v>
      </c>
      <c r="P78" s="6" t="s">
        <v>15</v>
      </c>
    </row>
    <row r="79" spans="1:16" x14ac:dyDescent="0.25">
      <c r="A79" s="6" t="str">
        <f t="shared" si="5"/>
        <v>2020-2021 ALL D90</v>
      </c>
      <c r="B79" s="7">
        <f t="shared" si="6"/>
        <v>46114</v>
      </c>
      <c r="C79" s="7">
        <f t="shared" si="7"/>
        <v>46120</v>
      </c>
      <c r="D79" s="6">
        <v>3280</v>
      </c>
      <c r="E79" s="6">
        <v>337</v>
      </c>
      <c r="F79" s="6">
        <v>4</v>
      </c>
      <c r="G79" s="17">
        <v>1</v>
      </c>
      <c r="H79" s="17"/>
      <c r="I79" s="17" t="s">
        <v>1505</v>
      </c>
      <c r="J79" s="17">
        <v>26501760</v>
      </c>
      <c r="K79" s="17" t="s">
        <v>1594</v>
      </c>
      <c r="L79" s="17" t="s">
        <v>1595</v>
      </c>
      <c r="M79" s="18">
        <v>229900</v>
      </c>
      <c r="N79" s="9">
        <v>0.9</v>
      </c>
      <c r="O79" s="8">
        <f t="shared" si="4"/>
        <v>22990</v>
      </c>
      <c r="P79" s="6" t="s">
        <v>15</v>
      </c>
    </row>
    <row r="80" spans="1:16" x14ac:dyDescent="0.25">
      <c r="A80" s="6" t="str">
        <f t="shared" si="5"/>
        <v>2020-2021 ALL D90</v>
      </c>
      <c r="B80" s="7">
        <f t="shared" si="6"/>
        <v>46114</v>
      </c>
      <c r="C80" s="7">
        <f t="shared" si="7"/>
        <v>46120</v>
      </c>
      <c r="D80" s="6">
        <v>3280</v>
      </c>
      <c r="E80" s="6">
        <v>337</v>
      </c>
      <c r="F80" s="6">
        <v>4</v>
      </c>
      <c r="G80" s="17">
        <v>1</v>
      </c>
      <c r="H80" s="17"/>
      <c r="I80" s="17" t="s">
        <v>1505</v>
      </c>
      <c r="J80" s="17">
        <v>26501779</v>
      </c>
      <c r="K80" s="17" t="s">
        <v>1594</v>
      </c>
      <c r="L80" s="17" t="s">
        <v>1596</v>
      </c>
      <c r="M80" s="18">
        <v>229900</v>
      </c>
      <c r="N80" s="9">
        <v>0.9</v>
      </c>
      <c r="O80" s="8">
        <f t="shared" si="4"/>
        <v>22990</v>
      </c>
      <c r="P80" s="6" t="s">
        <v>15</v>
      </c>
    </row>
    <row r="81" spans="1:16" x14ac:dyDescent="0.25">
      <c r="A81" s="6" t="str">
        <f t="shared" si="5"/>
        <v>2020-2021 ALL D90</v>
      </c>
      <c r="B81" s="7">
        <f t="shared" si="6"/>
        <v>46114</v>
      </c>
      <c r="C81" s="7">
        <f t="shared" si="7"/>
        <v>46120</v>
      </c>
      <c r="D81" s="6">
        <v>3280</v>
      </c>
      <c r="E81" s="6">
        <v>337</v>
      </c>
      <c r="F81" s="6">
        <v>4</v>
      </c>
      <c r="G81" s="17">
        <v>1</v>
      </c>
      <c r="H81" s="17"/>
      <c r="I81" s="17" t="s">
        <v>1505</v>
      </c>
      <c r="J81" s="17">
        <v>26501788</v>
      </c>
      <c r="K81" s="17" t="s">
        <v>1594</v>
      </c>
      <c r="L81" s="17" t="s">
        <v>1597</v>
      </c>
      <c r="M81" s="18">
        <v>229900</v>
      </c>
      <c r="N81" s="9">
        <v>0.9</v>
      </c>
      <c r="O81" s="8">
        <f t="shared" si="4"/>
        <v>22990</v>
      </c>
      <c r="P81" s="6" t="s">
        <v>15</v>
      </c>
    </row>
    <row r="82" spans="1:16" x14ac:dyDescent="0.25">
      <c r="A82" s="6" t="str">
        <f t="shared" si="5"/>
        <v>2020-2021 ALL D90</v>
      </c>
      <c r="B82" s="7">
        <f t="shared" si="6"/>
        <v>46114</v>
      </c>
      <c r="C82" s="7">
        <f t="shared" si="7"/>
        <v>46120</v>
      </c>
      <c r="D82" s="6">
        <v>3280</v>
      </c>
      <c r="E82" s="6">
        <v>337</v>
      </c>
      <c r="F82" s="6">
        <v>4</v>
      </c>
      <c r="G82" s="17">
        <v>1</v>
      </c>
      <c r="H82" s="17"/>
      <c r="I82" s="17" t="s">
        <v>1505</v>
      </c>
      <c r="J82" s="17">
        <v>26501797</v>
      </c>
      <c r="K82" s="17" t="s">
        <v>1594</v>
      </c>
      <c r="L82" s="17" t="s">
        <v>1598</v>
      </c>
      <c r="M82" s="18">
        <v>239900</v>
      </c>
      <c r="N82" s="9">
        <v>0.9</v>
      </c>
      <c r="O82" s="8">
        <f t="shared" si="4"/>
        <v>23990</v>
      </c>
      <c r="P82" s="6" t="s">
        <v>15</v>
      </c>
    </row>
    <row r="83" spans="1:16" x14ac:dyDescent="0.25">
      <c r="A83" s="6" t="str">
        <f t="shared" si="5"/>
        <v>2020-2021 ALL D90</v>
      </c>
      <c r="B83" s="7">
        <f t="shared" si="6"/>
        <v>46114</v>
      </c>
      <c r="C83" s="7">
        <f t="shared" si="7"/>
        <v>46120</v>
      </c>
      <c r="D83" s="6">
        <v>3280</v>
      </c>
      <c r="E83" s="6">
        <v>337</v>
      </c>
      <c r="F83" s="6">
        <v>4</v>
      </c>
      <c r="G83" s="17">
        <v>1</v>
      </c>
      <c r="H83" s="17"/>
      <c r="I83" s="17" t="s">
        <v>1505</v>
      </c>
      <c r="J83" s="17">
        <v>26501804</v>
      </c>
      <c r="K83" s="17" t="s">
        <v>1594</v>
      </c>
      <c r="L83" s="17" t="s">
        <v>1599</v>
      </c>
      <c r="M83" s="18">
        <v>239900</v>
      </c>
      <c r="N83" s="9">
        <v>0.9</v>
      </c>
      <c r="O83" s="8">
        <f t="shared" si="4"/>
        <v>23990</v>
      </c>
      <c r="P83" s="6" t="s">
        <v>15</v>
      </c>
    </row>
    <row r="84" spans="1:16" x14ac:dyDescent="0.25">
      <c r="A84" s="6" t="str">
        <f t="shared" si="5"/>
        <v>2020-2021 ALL D90</v>
      </c>
      <c r="B84" s="7">
        <f t="shared" si="6"/>
        <v>46114</v>
      </c>
      <c r="C84" s="7">
        <f t="shared" si="7"/>
        <v>46120</v>
      </c>
      <c r="D84" s="6">
        <v>3280</v>
      </c>
      <c r="E84" s="6">
        <v>337</v>
      </c>
      <c r="F84" s="6">
        <v>4</v>
      </c>
      <c r="G84" s="17">
        <v>1</v>
      </c>
      <c r="H84" s="17"/>
      <c r="I84" s="17" t="s">
        <v>1505</v>
      </c>
      <c r="J84" s="17">
        <v>26501813</v>
      </c>
      <c r="K84" s="17" t="s">
        <v>1594</v>
      </c>
      <c r="L84" s="17" t="s">
        <v>1600</v>
      </c>
      <c r="M84" s="18">
        <v>239900</v>
      </c>
      <c r="N84" s="9">
        <v>0.9</v>
      </c>
      <c r="O84" s="8">
        <f t="shared" si="4"/>
        <v>23990</v>
      </c>
      <c r="P84" s="6" t="s">
        <v>15</v>
      </c>
    </row>
    <row r="85" spans="1:16" x14ac:dyDescent="0.25">
      <c r="A85" s="6" t="str">
        <f t="shared" si="5"/>
        <v>2020-2021 ALL D90</v>
      </c>
      <c r="B85" s="7">
        <f t="shared" si="6"/>
        <v>46114</v>
      </c>
      <c r="C85" s="7">
        <f t="shared" si="7"/>
        <v>46120</v>
      </c>
      <c r="D85" s="6">
        <v>3280</v>
      </c>
      <c r="E85" s="6">
        <v>337</v>
      </c>
      <c r="F85" s="6">
        <v>4</v>
      </c>
      <c r="G85" s="17">
        <v>1</v>
      </c>
      <c r="H85" s="17"/>
      <c r="I85" s="17" t="s">
        <v>1505</v>
      </c>
      <c r="J85" s="17">
        <v>28105355</v>
      </c>
      <c r="K85" s="17" t="s">
        <v>1601</v>
      </c>
      <c r="L85" s="17" t="s">
        <v>1602</v>
      </c>
      <c r="M85" s="18">
        <v>229900</v>
      </c>
      <c r="N85" s="9">
        <v>0.9</v>
      </c>
      <c r="O85" s="8">
        <f t="shared" si="4"/>
        <v>22990</v>
      </c>
      <c r="P85" s="6" t="s">
        <v>15</v>
      </c>
    </row>
    <row r="86" spans="1:16" x14ac:dyDescent="0.25">
      <c r="A86" s="6" t="str">
        <f t="shared" si="5"/>
        <v>2020-2021 ALL D90</v>
      </c>
      <c r="B86" s="7">
        <f t="shared" si="6"/>
        <v>46114</v>
      </c>
      <c r="C86" s="7">
        <f t="shared" si="7"/>
        <v>46120</v>
      </c>
      <c r="D86" s="6">
        <v>3280</v>
      </c>
      <c r="E86" s="6">
        <v>337</v>
      </c>
      <c r="F86" s="6">
        <v>4</v>
      </c>
      <c r="G86" s="17">
        <v>1</v>
      </c>
      <c r="H86" s="17"/>
      <c r="I86" s="17" t="s">
        <v>1505</v>
      </c>
      <c r="J86" s="17">
        <v>28105364</v>
      </c>
      <c r="K86" s="17" t="s">
        <v>1601</v>
      </c>
      <c r="L86" s="17" t="s">
        <v>1603</v>
      </c>
      <c r="M86" s="18">
        <v>229900</v>
      </c>
      <c r="N86" s="9">
        <v>0.9</v>
      </c>
      <c r="O86" s="8">
        <f t="shared" si="4"/>
        <v>22990</v>
      </c>
      <c r="P86" s="6" t="s">
        <v>15</v>
      </c>
    </row>
    <row r="87" spans="1:16" x14ac:dyDescent="0.25">
      <c r="A87" s="6" t="str">
        <f t="shared" si="5"/>
        <v>2020-2021 ALL D90</v>
      </c>
      <c r="B87" s="7">
        <f t="shared" si="6"/>
        <v>46114</v>
      </c>
      <c r="C87" s="7">
        <f t="shared" si="7"/>
        <v>46120</v>
      </c>
      <c r="D87" s="6">
        <v>3280</v>
      </c>
      <c r="E87" s="6">
        <v>337</v>
      </c>
      <c r="F87" s="6">
        <v>4</v>
      </c>
      <c r="G87" s="17">
        <v>1</v>
      </c>
      <c r="H87" s="17"/>
      <c r="I87" s="17" t="s">
        <v>1505</v>
      </c>
      <c r="J87" s="17">
        <v>28105373</v>
      </c>
      <c r="K87" s="17" t="s">
        <v>1601</v>
      </c>
      <c r="L87" s="17" t="s">
        <v>1604</v>
      </c>
      <c r="M87" s="18">
        <v>229900</v>
      </c>
      <c r="N87" s="9">
        <v>0.9</v>
      </c>
      <c r="O87" s="8">
        <f t="shared" si="4"/>
        <v>22990</v>
      </c>
      <c r="P87" s="6" t="s">
        <v>15</v>
      </c>
    </row>
    <row r="88" spans="1:16" x14ac:dyDescent="0.25">
      <c r="A88" s="6" t="str">
        <f t="shared" si="5"/>
        <v>2020-2021 ALL D90</v>
      </c>
      <c r="B88" s="7">
        <f t="shared" si="6"/>
        <v>46114</v>
      </c>
      <c r="C88" s="7">
        <f t="shared" si="7"/>
        <v>46120</v>
      </c>
      <c r="D88" s="6">
        <v>3280</v>
      </c>
      <c r="E88" s="6">
        <v>337</v>
      </c>
      <c r="F88" s="6">
        <v>4</v>
      </c>
      <c r="G88" s="17">
        <v>1</v>
      </c>
      <c r="H88" s="17"/>
      <c r="I88" s="17" t="s">
        <v>1505</v>
      </c>
      <c r="J88" s="17">
        <v>28105382</v>
      </c>
      <c r="K88" s="17" t="s">
        <v>1601</v>
      </c>
      <c r="L88" s="17" t="s">
        <v>1605</v>
      </c>
      <c r="M88" s="18">
        <v>239900</v>
      </c>
      <c r="N88" s="9">
        <v>0.9</v>
      </c>
      <c r="O88" s="8">
        <f t="shared" si="4"/>
        <v>23990</v>
      </c>
      <c r="P88" s="6" t="s">
        <v>15</v>
      </c>
    </row>
    <row r="89" spans="1:16" x14ac:dyDescent="0.25">
      <c r="A89" s="6" t="str">
        <f t="shared" si="5"/>
        <v>2020-2021 ALL D90</v>
      </c>
      <c r="B89" s="7">
        <f t="shared" si="6"/>
        <v>46114</v>
      </c>
      <c r="C89" s="7">
        <f t="shared" si="7"/>
        <v>46120</v>
      </c>
      <c r="D89" s="6">
        <v>3280</v>
      </c>
      <c r="E89" s="6">
        <v>337</v>
      </c>
      <c r="F89" s="6">
        <v>4</v>
      </c>
      <c r="G89" s="17">
        <v>1</v>
      </c>
      <c r="H89" s="17"/>
      <c r="I89" s="17" t="s">
        <v>1505</v>
      </c>
      <c r="J89" s="17">
        <v>28105391</v>
      </c>
      <c r="K89" s="17" t="s">
        <v>1601</v>
      </c>
      <c r="L89" s="17" t="s">
        <v>1606</v>
      </c>
      <c r="M89" s="18">
        <v>239900</v>
      </c>
      <c r="N89" s="9">
        <v>0.9</v>
      </c>
      <c r="O89" s="8">
        <f t="shared" si="4"/>
        <v>23990</v>
      </c>
      <c r="P89" s="6" t="s">
        <v>15</v>
      </c>
    </row>
    <row r="90" spans="1:16" x14ac:dyDescent="0.25">
      <c r="A90" s="6" t="str">
        <f t="shared" si="5"/>
        <v>2020-2021 ALL D90</v>
      </c>
      <c r="B90" s="7">
        <f t="shared" si="6"/>
        <v>46114</v>
      </c>
      <c r="C90" s="7">
        <f t="shared" si="7"/>
        <v>46120</v>
      </c>
      <c r="D90" s="6">
        <v>3280</v>
      </c>
      <c r="E90" s="6">
        <v>337</v>
      </c>
      <c r="F90" s="6">
        <v>4</v>
      </c>
      <c r="G90" s="17">
        <v>1</v>
      </c>
      <c r="H90" s="17"/>
      <c r="I90" s="17" t="s">
        <v>1505</v>
      </c>
      <c r="J90" s="17">
        <v>28105408</v>
      </c>
      <c r="K90" s="17" t="s">
        <v>1601</v>
      </c>
      <c r="L90" s="17" t="s">
        <v>1607</v>
      </c>
      <c r="M90" s="18">
        <v>239900</v>
      </c>
      <c r="N90" s="9">
        <v>0.9</v>
      </c>
      <c r="O90" s="8">
        <f t="shared" si="4"/>
        <v>23990</v>
      </c>
      <c r="P90" s="6" t="s">
        <v>15</v>
      </c>
    </row>
    <row r="91" spans="1:16" x14ac:dyDescent="0.25">
      <c r="A91" s="6" t="str">
        <f t="shared" si="5"/>
        <v>2020-2021 ALL D90</v>
      </c>
      <c r="B91" s="7">
        <f t="shared" si="6"/>
        <v>46114</v>
      </c>
      <c r="C91" s="7">
        <f t="shared" si="7"/>
        <v>46120</v>
      </c>
      <c r="D91" s="6">
        <v>3280</v>
      </c>
      <c r="E91" s="6">
        <v>337</v>
      </c>
      <c r="F91" s="6">
        <v>4</v>
      </c>
      <c r="G91" s="17">
        <v>1</v>
      </c>
      <c r="H91" s="17"/>
      <c r="I91" s="17" t="s">
        <v>1505</v>
      </c>
      <c r="J91" s="17">
        <v>28428373</v>
      </c>
      <c r="K91" s="17" t="s">
        <v>1608</v>
      </c>
      <c r="L91" s="17" t="s">
        <v>1609</v>
      </c>
      <c r="M91" s="18">
        <v>239900</v>
      </c>
      <c r="N91" s="9">
        <v>0.9</v>
      </c>
      <c r="O91" s="8">
        <f t="shared" si="4"/>
        <v>23990</v>
      </c>
      <c r="P91" s="6" t="s">
        <v>15</v>
      </c>
    </row>
    <row r="92" spans="1:16" x14ac:dyDescent="0.25">
      <c r="A92" s="6" t="str">
        <f t="shared" si="5"/>
        <v>2020-2021 ALL D90</v>
      </c>
      <c r="B92" s="7">
        <f t="shared" si="6"/>
        <v>46114</v>
      </c>
      <c r="C92" s="7">
        <f t="shared" si="7"/>
        <v>46120</v>
      </c>
      <c r="D92" s="6">
        <v>3280</v>
      </c>
      <c r="E92" s="6">
        <v>337</v>
      </c>
      <c r="F92" s="6">
        <v>4</v>
      </c>
      <c r="G92" s="17">
        <v>1</v>
      </c>
      <c r="H92" s="17"/>
      <c r="I92" s="17" t="s">
        <v>1505</v>
      </c>
      <c r="J92" s="17">
        <v>28428382</v>
      </c>
      <c r="K92" s="17" t="s">
        <v>1608</v>
      </c>
      <c r="L92" s="17" t="s">
        <v>1610</v>
      </c>
      <c r="M92" s="18">
        <v>239900</v>
      </c>
      <c r="N92" s="9">
        <v>0.9</v>
      </c>
      <c r="O92" s="8">
        <f t="shared" si="4"/>
        <v>23990</v>
      </c>
      <c r="P92" s="6" t="s">
        <v>15</v>
      </c>
    </row>
    <row r="93" spans="1:16" x14ac:dyDescent="0.25">
      <c r="A93" s="6" t="str">
        <f t="shared" si="5"/>
        <v>2020-2021 ALL D90</v>
      </c>
      <c r="B93" s="7">
        <f t="shared" si="6"/>
        <v>46114</v>
      </c>
      <c r="C93" s="7">
        <f t="shared" si="7"/>
        <v>46120</v>
      </c>
      <c r="D93" s="6">
        <v>3280</v>
      </c>
      <c r="E93" s="6">
        <v>337</v>
      </c>
      <c r="F93" s="6">
        <v>4</v>
      </c>
      <c r="G93" s="17">
        <v>1</v>
      </c>
      <c r="H93" s="17"/>
      <c r="I93" s="17" t="s">
        <v>1505</v>
      </c>
      <c r="J93" s="17">
        <v>28428391</v>
      </c>
      <c r="K93" s="17" t="s">
        <v>1608</v>
      </c>
      <c r="L93" s="17" t="s">
        <v>1611</v>
      </c>
      <c r="M93" s="18">
        <v>239900</v>
      </c>
      <c r="N93" s="9">
        <v>0.9</v>
      </c>
      <c r="O93" s="8">
        <f t="shared" si="4"/>
        <v>23990</v>
      </c>
      <c r="P93" s="6" t="s">
        <v>15</v>
      </c>
    </row>
    <row r="94" spans="1:16" x14ac:dyDescent="0.25">
      <c r="A94" s="6" t="str">
        <f t="shared" si="5"/>
        <v>2020-2021 ALL D90</v>
      </c>
      <c r="B94" s="7">
        <f t="shared" si="6"/>
        <v>46114</v>
      </c>
      <c r="C94" s="7">
        <f t="shared" si="7"/>
        <v>46120</v>
      </c>
      <c r="D94" s="6">
        <v>3280</v>
      </c>
      <c r="E94" s="6">
        <v>337</v>
      </c>
      <c r="F94" s="6">
        <v>4</v>
      </c>
      <c r="G94" s="17">
        <v>1</v>
      </c>
      <c r="H94" s="17"/>
      <c r="I94" s="17" t="s">
        <v>1505</v>
      </c>
      <c r="J94" s="17">
        <v>28428408</v>
      </c>
      <c r="K94" s="17" t="s">
        <v>1608</v>
      </c>
      <c r="L94" s="17" t="s">
        <v>1612</v>
      </c>
      <c r="M94" s="18">
        <v>249900</v>
      </c>
      <c r="N94" s="9">
        <v>0.9</v>
      </c>
      <c r="O94" s="8">
        <f t="shared" si="4"/>
        <v>24990</v>
      </c>
      <c r="P94" s="6" t="s">
        <v>15</v>
      </c>
    </row>
    <row r="95" spans="1:16" x14ac:dyDescent="0.25">
      <c r="A95" s="6" t="str">
        <f t="shared" si="5"/>
        <v>2020-2021 ALL D90</v>
      </c>
      <c r="B95" s="7">
        <f t="shared" si="6"/>
        <v>46114</v>
      </c>
      <c r="C95" s="7">
        <f t="shared" si="7"/>
        <v>46120</v>
      </c>
      <c r="D95" s="6">
        <v>3280</v>
      </c>
      <c r="E95" s="6">
        <v>337</v>
      </c>
      <c r="F95" s="6">
        <v>4</v>
      </c>
      <c r="G95" s="17">
        <v>1</v>
      </c>
      <c r="H95" s="17"/>
      <c r="I95" s="17" t="s">
        <v>1505</v>
      </c>
      <c r="J95" s="17">
        <v>28428417</v>
      </c>
      <c r="K95" s="17" t="s">
        <v>1608</v>
      </c>
      <c r="L95" s="17" t="s">
        <v>1613</v>
      </c>
      <c r="M95" s="18">
        <v>249900</v>
      </c>
      <c r="N95" s="9">
        <v>0.9</v>
      </c>
      <c r="O95" s="8">
        <f t="shared" si="4"/>
        <v>24990</v>
      </c>
      <c r="P95" s="6" t="s">
        <v>15</v>
      </c>
    </row>
    <row r="96" spans="1:16" x14ac:dyDescent="0.25">
      <c r="A96" s="6" t="str">
        <f t="shared" si="5"/>
        <v>2020-2021 ALL D90</v>
      </c>
      <c r="B96" s="7">
        <f t="shared" si="6"/>
        <v>46114</v>
      </c>
      <c r="C96" s="7">
        <f t="shared" si="7"/>
        <v>46120</v>
      </c>
      <c r="D96" s="6">
        <v>3280</v>
      </c>
      <c r="E96" s="6">
        <v>337</v>
      </c>
      <c r="F96" s="6">
        <v>4</v>
      </c>
      <c r="G96" s="17">
        <v>1</v>
      </c>
      <c r="H96" s="17"/>
      <c r="I96" s="17" t="s">
        <v>1505</v>
      </c>
      <c r="J96" s="17">
        <v>28428426</v>
      </c>
      <c r="K96" s="17" t="s">
        <v>1608</v>
      </c>
      <c r="L96" s="17" t="s">
        <v>1614</v>
      </c>
      <c r="M96" s="18">
        <v>249900</v>
      </c>
      <c r="N96" s="9">
        <v>0.9</v>
      </c>
      <c r="O96" s="8">
        <f t="shared" si="4"/>
        <v>24990</v>
      </c>
      <c r="P96" s="6" t="s">
        <v>15</v>
      </c>
    </row>
    <row r="97" spans="1:16" x14ac:dyDescent="0.25">
      <c r="A97" s="6" t="str">
        <f t="shared" si="5"/>
        <v>2020-2021 ALL D90</v>
      </c>
      <c r="B97" s="7">
        <f t="shared" si="6"/>
        <v>46114</v>
      </c>
      <c r="C97" s="7">
        <f t="shared" si="7"/>
        <v>46120</v>
      </c>
      <c r="D97" s="6">
        <v>3280</v>
      </c>
      <c r="E97" s="6">
        <v>337</v>
      </c>
      <c r="F97" s="6">
        <v>4</v>
      </c>
      <c r="G97" s="17">
        <v>1</v>
      </c>
      <c r="H97" s="17"/>
      <c r="I97" s="17" t="s">
        <v>1505</v>
      </c>
      <c r="J97" s="17">
        <v>29220451</v>
      </c>
      <c r="K97" s="17" t="s">
        <v>1615</v>
      </c>
      <c r="L97" s="17" t="s">
        <v>1616</v>
      </c>
      <c r="M97" s="18">
        <v>219900</v>
      </c>
      <c r="N97" s="9">
        <v>0.9</v>
      </c>
      <c r="O97" s="8">
        <f t="shared" si="4"/>
        <v>21990</v>
      </c>
      <c r="P97" s="6" t="s">
        <v>15</v>
      </c>
    </row>
    <row r="98" spans="1:16" x14ac:dyDescent="0.25">
      <c r="A98" s="6" t="str">
        <f t="shared" si="5"/>
        <v>2020-2021 ALL D90</v>
      </c>
      <c r="B98" s="7">
        <f t="shared" si="6"/>
        <v>46114</v>
      </c>
      <c r="C98" s="7">
        <f t="shared" si="7"/>
        <v>46120</v>
      </c>
      <c r="D98" s="6">
        <v>3280</v>
      </c>
      <c r="E98" s="6">
        <v>337</v>
      </c>
      <c r="F98" s="6">
        <v>4</v>
      </c>
      <c r="G98" s="17">
        <v>1</v>
      </c>
      <c r="H98" s="17"/>
      <c r="I98" s="17" t="s">
        <v>1505</v>
      </c>
      <c r="J98" s="17">
        <v>29220460</v>
      </c>
      <c r="K98" s="17" t="s">
        <v>1615</v>
      </c>
      <c r="L98" s="17" t="s">
        <v>1617</v>
      </c>
      <c r="M98" s="18">
        <v>219900</v>
      </c>
      <c r="N98" s="9">
        <v>0.9</v>
      </c>
      <c r="O98" s="8">
        <f t="shared" si="4"/>
        <v>21990</v>
      </c>
      <c r="P98" s="6" t="s">
        <v>15</v>
      </c>
    </row>
    <row r="99" spans="1:16" x14ac:dyDescent="0.25">
      <c r="A99" s="6" t="str">
        <f t="shared" si="5"/>
        <v>2020-2021 ALL D90</v>
      </c>
      <c r="B99" s="7">
        <f t="shared" si="6"/>
        <v>46114</v>
      </c>
      <c r="C99" s="7">
        <f t="shared" si="7"/>
        <v>46120</v>
      </c>
      <c r="D99" s="6">
        <v>3280</v>
      </c>
      <c r="E99" s="6">
        <v>337</v>
      </c>
      <c r="F99" s="6">
        <v>4</v>
      </c>
      <c r="G99" s="17">
        <v>1</v>
      </c>
      <c r="H99" s="17"/>
      <c r="I99" s="17" t="s">
        <v>1505</v>
      </c>
      <c r="J99" s="17">
        <v>29220479</v>
      </c>
      <c r="K99" s="17" t="s">
        <v>1615</v>
      </c>
      <c r="L99" s="17" t="s">
        <v>1618</v>
      </c>
      <c r="M99" s="18">
        <v>219900</v>
      </c>
      <c r="N99" s="9">
        <v>0.9</v>
      </c>
      <c r="O99" s="8">
        <f t="shared" si="4"/>
        <v>21990</v>
      </c>
      <c r="P99" s="6" t="s">
        <v>15</v>
      </c>
    </row>
    <row r="100" spans="1:16" x14ac:dyDescent="0.25">
      <c r="A100" s="6" t="str">
        <f t="shared" si="5"/>
        <v>2020-2021 ALL D90</v>
      </c>
      <c r="B100" s="7">
        <f t="shared" si="6"/>
        <v>46114</v>
      </c>
      <c r="C100" s="7">
        <f t="shared" si="7"/>
        <v>46120</v>
      </c>
      <c r="D100" s="6">
        <v>3280</v>
      </c>
      <c r="E100" s="6">
        <v>337</v>
      </c>
      <c r="F100" s="6">
        <v>4</v>
      </c>
      <c r="G100" s="17">
        <v>1</v>
      </c>
      <c r="H100" s="17"/>
      <c r="I100" s="17" t="s">
        <v>1505</v>
      </c>
      <c r="J100" s="17">
        <v>29220488</v>
      </c>
      <c r="K100" s="17" t="s">
        <v>1615</v>
      </c>
      <c r="L100" s="17" t="s">
        <v>1619</v>
      </c>
      <c r="M100" s="18">
        <v>229900</v>
      </c>
      <c r="N100" s="9">
        <v>0.9</v>
      </c>
      <c r="O100" s="8">
        <f t="shared" si="4"/>
        <v>22990</v>
      </c>
      <c r="P100" s="6" t="s">
        <v>15</v>
      </c>
    </row>
    <row r="101" spans="1:16" x14ac:dyDescent="0.25">
      <c r="A101" s="6" t="str">
        <f t="shared" si="5"/>
        <v>2020-2021 ALL D90</v>
      </c>
      <c r="B101" s="7">
        <f t="shared" si="6"/>
        <v>46114</v>
      </c>
      <c r="C101" s="7">
        <f t="shared" si="7"/>
        <v>46120</v>
      </c>
      <c r="D101" s="6">
        <v>3280</v>
      </c>
      <c r="E101" s="6">
        <v>337</v>
      </c>
      <c r="F101" s="6">
        <v>4</v>
      </c>
      <c r="G101" s="17">
        <v>1</v>
      </c>
      <c r="H101" s="17"/>
      <c r="I101" s="17" t="s">
        <v>1505</v>
      </c>
      <c r="J101" s="17">
        <v>29220497</v>
      </c>
      <c r="K101" s="17" t="s">
        <v>1615</v>
      </c>
      <c r="L101" s="17" t="s">
        <v>1620</v>
      </c>
      <c r="M101" s="18">
        <v>229900</v>
      </c>
      <c r="N101" s="9">
        <v>0.9</v>
      </c>
      <c r="O101" s="8">
        <f t="shared" si="4"/>
        <v>22990</v>
      </c>
      <c r="P101" s="6" t="s">
        <v>15</v>
      </c>
    </row>
    <row r="102" spans="1:16" x14ac:dyDescent="0.25">
      <c r="A102" s="6" t="str">
        <f t="shared" si="5"/>
        <v>2020-2021 ALL D90</v>
      </c>
      <c r="B102" s="7">
        <f t="shared" si="6"/>
        <v>46114</v>
      </c>
      <c r="C102" s="7">
        <f t="shared" si="7"/>
        <v>46120</v>
      </c>
      <c r="D102" s="6">
        <v>3280</v>
      </c>
      <c r="E102" s="6">
        <v>337</v>
      </c>
      <c r="F102" s="6">
        <v>4</v>
      </c>
      <c r="G102" s="17">
        <v>1</v>
      </c>
      <c r="H102" s="17"/>
      <c r="I102" s="17" t="s">
        <v>1505</v>
      </c>
      <c r="J102" s="17">
        <v>29220504</v>
      </c>
      <c r="K102" s="17" t="s">
        <v>1615</v>
      </c>
      <c r="L102" s="17" t="s">
        <v>1621</v>
      </c>
      <c r="M102" s="18">
        <v>229900</v>
      </c>
      <c r="N102" s="9">
        <v>0.9</v>
      </c>
      <c r="O102" s="8">
        <f t="shared" si="4"/>
        <v>22990</v>
      </c>
      <c r="P102" s="6" t="s">
        <v>15</v>
      </c>
    </row>
    <row r="103" spans="1:16" x14ac:dyDescent="0.25">
      <c r="A103" s="6" t="str">
        <f t="shared" si="5"/>
        <v>2020-2021 ALL D90</v>
      </c>
      <c r="B103" s="7">
        <f t="shared" si="6"/>
        <v>46114</v>
      </c>
      <c r="C103" s="7">
        <f t="shared" si="7"/>
        <v>46120</v>
      </c>
      <c r="D103" s="6">
        <v>3280</v>
      </c>
      <c r="E103" s="6">
        <v>337</v>
      </c>
      <c r="F103" s="6">
        <v>4</v>
      </c>
      <c r="G103" s="17">
        <v>1</v>
      </c>
      <c r="H103" s="17"/>
      <c r="I103" s="17" t="s">
        <v>1505</v>
      </c>
      <c r="J103" s="17">
        <v>32620610</v>
      </c>
      <c r="K103" s="17" t="s">
        <v>1622</v>
      </c>
      <c r="L103" s="17" t="s">
        <v>1623</v>
      </c>
      <c r="M103" s="18">
        <v>219900</v>
      </c>
      <c r="N103" s="9">
        <v>0.9</v>
      </c>
      <c r="O103" s="8">
        <f t="shared" si="4"/>
        <v>21990</v>
      </c>
      <c r="P103" s="6" t="s">
        <v>15</v>
      </c>
    </row>
    <row r="104" spans="1:16" x14ac:dyDescent="0.25">
      <c r="A104" s="6" t="str">
        <f t="shared" si="5"/>
        <v>2020-2021 ALL D90</v>
      </c>
      <c r="B104" s="7">
        <f t="shared" si="6"/>
        <v>46114</v>
      </c>
      <c r="C104" s="7">
        <f t="shared" si="7"/>
        <v>46120</v>
      </c>
      <c r="D104" s="6">
        <v>3280</v>
      </c>
      <c r="E104" s="6">
        <v>337</v>
      </c>
      <c r="F104" s="6">
        <v>4</v>
      </c>
      <c r="G104" s="17">
        <v>1</v>
      </c>
      <c r="H104" s="17"/>
      <c r="I104" s="17" t="s">
        <v>1505</v>
      </c>
      <c r="J104" s="17">
        <v>32620629</v>
      </c>
      <c r="K104" s="17" t="s">
        <v>1622</v>
      </c>
      <c r="L104" s="17" t="s">
        <v>1624</v>
      </c>
      <c r="M104" s="18">
        <v>219900</v>
      </c>
      <c r="N104" s="9">
        <v>0.9</v>
      </c>
      <c r="O104" s="8">
        <f t="shared" si="4"/>
        <v>21990</v>
      </c>
      <c r="P104" s="6" t="s">
        <v>15</v>
      </c>
    </row>
    <row r="105" spans="1:16" x14ac:dyDescent="0.25">
      <c r="A105" s="6" t="str">
        <f t="shared" si="5"/>
        <v>2020-2021 ALL D90</v>
      </c>
      <c r="B105" s="7">
        <f t="shared" si="6"/>
        <v>46114</v>
      </c>
      <c r="C105" s="7">
        <f t="shared" si="7"/>
        <v>46120</v>
      </c>
      <c r="D105" s="6">
        <v>3280</v>
      </c>
      <c r="E105" s="6">
        <v>337</v>
      </c>
      <c r="F105" s="6">
        <v>4</v>
      </c>
      <c r="G105" s="17">
        <v>1</v>
      </c>
      <c r="H105" s="17"/>
      <c r="I105" s="17" t="s">
        <v>1505</v>
      </c>
      <c r="J105" s="17">
        <v>32620638</v>
      </c>
      <c r="K105" s="17" t="s">
        <v>1622</v>
      </c>
      <c r="L105" s="17" t="s">
        <v>1625</v>
      </c>
      <c r="M105" s="18">
        <v>219900</v>
      </c>
      <c r="N105" s="9">
        <v>0.9</v>
      </c>
      <c r="O105" s="8">
        <f t="shared" si="4"/>
        <v>21990</v>
      </c>
      <c r="P105" s="6" t="s">
        <v>15</v>
      </c>
    </row>
    <row r="106" spans="1:16" x14ac:dyDescent="0.25">
      <c r="A106" s="6" t="str">
        <f t="shared" si="5"/>
        <v>2020-2021 ALL D90</v>
      </c>
      <c r="B106" s="7">
        <f t="shared" si="6"/>
        <v>46114</v>
      </c>
      <c r="C106" s="7">
        <f t="shared" si="7"/>
        <v>46120</v>
      </c>
      <c r="D106" s="6">
        <v>3280</v>
      </c>
      <c r="E106" s="6">
        <v>337</v>
      </c>
      <c r="F106" s="6">
        <v>4</v>
      </c>
      <c r="G106" s="17">
        <v>1</v>
      </c>
      <c r="H106" s="17"/>
      <c r="I106" s="17" t="s">
        <v>1505</v>
      </c>
      <c r="J106" s="17">
        <v>32620647</v>
      </c>
      <c r="K106" s="17" t="s">
        <v>1622</v>
      </c>
      <c r="L106" s="17" t="s">
        <v>1626</v>
      </c>
      <c r="M106" s="18">
        <v>229900</v>
      </c>
      <c r="N106" s="9">
        <v>0.9</v>
      </c>
      <c r="O106" s="8">
        <f t="shared" si="4"/>
        <v>22990</v>
      </c>
      <c r="P106" s="6" t="s">
        <v>15</v>
      </c>
    </row>
    <row r="107" spans="1:16" x14ac:dyDescent="0.25">
      <c r="A107" s="6" t="str">
        <f t="shared" si="5"/>
        <v>2020-2021 ALL D90</v>
      </c>
      <c r="B107" s="7">
        <f t="shared" si="6"/>
        <v>46114</v>
      </c>
      <c r="C107" s="7">
        <f t="shared" si="7"/>
        <v>46120</v>
      </c>
      <c r="D107" s="6">
        <v>3280</v>
      </c>
      <c r="E107" s="6">
        <v>337</v>
      </c>
      <c r="F107" s="6">
        <v>4</v>
      </c>
      <c r="G107" s="17">
        <v>1</v>
      </c>
      <c r="H107" s="17"/>
      <c r="I107" s="17" t="s">
        <v>1505</v>
      </c>
      <c r="J107" s="17">
        <v>32620656</v>
      </c>
      <c r="K107" s="17" t="s">
        <v>1622</v>
      </c>
      <c r="L107" s="17" t="s">
        <v>1627</v>
      </c>
      <c r="M107" s="18">
        <v>229900</v>
      </c>
      <c r="N107" s="9">
        <v>0.9</v>
      </c>
      <c r="O107" s="8">
        <f t="shared" si="4"/>
        <v>22990</v>
      </c>
      <c r="P107" s="6" t="s">
        <v>15</v>
      </c>
    </row>
    <row r="108" spans="1:16" x14ac:dyDescent="0.25">
      <c r="A108" s="6" t="str">
        <f t="shared" si="5"/>
        <v>2020-2021 ALL D90</v>
      </c>
      <c r="B108" s="7">
        <f t="shared" si="6"/>
        <v>46114</v>
      </c>
      <c r="C108" s="7">
        <f t="shared" si="7"/>
        <v>46120</v>
      </c>
      <c r="D108" s="6">
        <v>3280</v>
      </c>
      <c r="E108" s="6">
        <v>337</v>
      </c>
      <c r="F108" s="6">
        <v>4</v>
      </c>
      <c r="G108" s="17">
        <v>1</v>
      </c>
      <c r="H108" s="17"/>
      <c r="I108" s="17" t="s">
        <v>1505</v>
      </c>
      <c r="J108" s="17">
        <v>32620665</v>
      </c>
      <c r="K108" s="17" t="s">
        <v>1622</v>
      </c>
      <c r="L108" s="17" t="s">
        <v>1628</v>
      </c>
      <c r="M108" s="18">
        <v>229900</v>
      </c>
      <c r="N108" s="9">
        <v>0.9</v>
      </c>
      <c r="O108" s="8">
        <f t="shared" si="4"/>
        <v>22990</v>
      </c>
      <c r="P108" s="6" t="s">
        <v>15</v>
      </c>
    </row>
    <row r="109" spans="1:16" x14ac:dyDescent="0.25">
      <c r="A109" s="6" t="str">
        <f t="shared" si="5"/>
        <v>2020-2021 ALL D90</v>
      </c>
      <c r="B109" s="7">
        <f t="shared" si="6"/>
        <v>46114</v>
      </c>
      <c r="C109" s="7">
        <f t="shared" si="7"/>
        <v>46120</v>
      </c>
      <c r="D109" s="6">
        <v>3280</v>
      </c>
      <c r="E109" s="6">
        <v>337</v>
      </c>
      <c r="F109" s="6">
        <v>4</v>
      </c>
      <c r="G109" s="17">
        <v>1</v>
      </c>
      <c r="H109" s="17"/>
      <c r="I109" s="17" t="s">
        <v>1505</v>
      </c>
      <c r="J109" s="17">
        <v>32736880</v>
      </c>
      <c r="K109" s="17" t="s">
        <v>1629</v>
      </c>
      <c r="L109" s="17" t="s">
        <v>1630</v>
      </c>
      <c r="M109" s="18">
        <v>239900</v>
      </c>
      <c r="N109" s="9">
        <v>0.9</v>
      </c>
      <c r="O109" s="8">
        <f t="shared" si="4"/>
        <v>23990</v>
      </c>
      <c r="P109" s="6" t="s">
        <v>15</v>
      </c>
    </row>
    <row r="110" spans="1:16" x14ac:dyDescent="0.25">
      <c r="A110" s="6" t="str">
        <f t="shared" si="5"/>
        <v>2020-2021 ALL D90</v>
      </c>
      <c r="B110" s="7">
        <f t="shared" si="6"/>
        <v>46114</v>
      </c>
      <c r="C110" s="7">
        <f t="shared" si="7"/>
        <v>46120</v>
      </c>
      <c r="D110" s="6">
        <v>3280</v>
      </c>
      <c r="E110" s="6">
        <v>337</v>
      </c>
      <c r="F110" s="6">
        <v>4</v>
      </c>
      <c r="G110" s="17">
        <v>1</v>
      </c>
      <c r="H110" s="17"/>
      <c r="I110" s="17" t="s">
        <v>1505</v>
      </c>
      <c r="J110" s="17">
        <v>32736899</v>
      </c>
      <c r="K110" s="17" t="s">
        <v>1629</v>
      </c>
      <c r="L110" s="17" t="s">
        <v>1631</v>
      </c>
      <c r="M110" s="18">
        <v>239900</v>
      </c>
      <c r="N110" s="9">
        <v>0.9</v>
      </c>
      <c r="O110" s="8">
        <f t="shared" si="4"/>
        <v>23990</v>
      </c>
      <c r="P110" s="6" t="s">
        <v>15</v>
      </c>
    </row>
    <row r="111" spans="1:16" x14ac:dyDescent="0.25">
      <c r="A111" s="6" t="str">
        <f t="shared" si="5"/>
        <v>2020-2021 ALL D90</v>
      </c>
      <c r="B111" s="7">
        <f t="shared" si="6"/>
        <v>46114</v>
      </c>
      <c r="C111" s="7">
        <f t="shared" si="7"/>
        <v>46120</v>
      </c>
      <c r="D111" s="6">
        <v>3280</v>
      </c>
      <c r="E111" s="6">
        <v>337</v>
      </c>
      <c r="F111" s="6">
        <v>4</v>
      </c>
      <c r="G111" s="17">
        <v>1</v>
      </c>
      <c r="H111" s="17"/>
      <c r="I111" s="17" t="s">
        <v>1505</v>
      </c>
      <c r="J111" s="17">
        <v>32736906</v>
      </c>
      <c r="K111" s="17" t="s">
        <v>1629</v>
      </c>
      <c r="L111" s="17" t="s">
        <v>1632</v>
      </c>
      <c r="M111" s="18">
        <v>239900</v>
      </c>
      <c r="N111" s="9">
        <v>0.9</v>
      </c>
      <c r="O111" s="8">
        <f t="shared" si="4"/>
        <v>23990</v>
      </c>
      <c r="P111" s="6" t="s">
        <v>15</v>
      </c>
    </row>
    <row r="112" spans="1:16" x14ac:dyDescent="0.25">
      <c r="A112" s="6" t="str">
        <f t="shared" si="5"/>
        <v>2020-2021 ALL D90</v>
      </c>
      <c r="B112" s="7">
        <f t="shared" si="6"/>
        <v>46114</v>
      </c>
      <c r="C112" s="7">
        <f t="shared" si="7"/>
        <v>46120</v>
      </c>
      <c r="D112" s="6">
        <v>3280</v>
      </c>
      <c r="E112" s="6">
        <v>337</v>
      </c>
      <c r="F112" s="6">
        <v>4</v>
      </c>
      <c r="G112" s="17">
        <v>1</v>
      </c>
      <c r="H112" s="17"/>
      <c r="I112" s="17" t="s">
        <v>1505</v>
      </c>
      <c r="J112" s="17">
        <v>32736915</v>
      </c>
      <c r="K112" s="17" t="s">
        <v>1629</v>
      </c>
      <c r="L112" s="17" t="s">
        <v>1633</v>
      </c>
      <c r="M112" s="18">
        <v>249900</v>
      </c>
      <c r="N112" s="9">
        <v>0.9</v>
      </c>
      <c r="O112" s="8">
        <f t="shared" si="4"/>
        <v>24990</v>
      </c>
      <c r="P112" s="6" t="s">
        <v>15</v>
      </c>
    </row>
    <row r="113" spans="1:16" x14ac:dyDescent="0.25">
      <c r="A113" s="6" t="str">
        <f t="shared" si="5"/>
        <v>2020-2021 ALL D90</v>
      </c>
      <c r="B113" s="7">
        <f t="shared" si="6"/>
        <v>46114</v>
      </c>
      <c r="C113" s="7">
        <f t="shared" si="7"/>
        <v>46120</v>
      </c>
      <c r="D113" s="6">
        <v>3280</v>
      </c>
      <c r="E113" s="6">
        <v>337</v>
      </c>
      <c r="F113" s="6">
        <v>4</v>
      </c>
      <c r="G113" s="17">
        <v>1</v>
      </c>
      <c r="H113" s="17"/>
      <c r="I113" s="17" t="s">
        <v>1505</v>
      </c>
      <c r="J113" s="17">
        <v>32736924</v>
      </c>
      <c r="K113" s="17" t="s">
        <v>1629</v>
      </c>
      <c r="L113" s="17" t="s">
        <v>1634</v>
      </c>
      <c r="M113" s="18">
        <v>249900</v>
      </c>
      <c r="N113" s="9">
        <v>0.9</v>
      </c>
      <c r="O113" s="8">
        <f t="shared" si="4"/>
        <v>24990</v>
      </c>
      <c r="P113" s="6" t="s">
        <v>15</v>
      </c>
    </row>
    <row r="114" spans="1:16" x14ac:dyDescent="0.25">
      <c r="A114" s="6" t="str">
        <f t="shared" si="5"/>
        <v>2020-2021 ALL D90</v>
      </c>
      <c r="B114" s="7">
        <f t="shared" si="6"/>
        <v>46114</v>
      </c>
      <c r="C114" s="7">
        <f t="shared" si="7"/>
        <v>46120</v>
      </c>
      <c r="D114" s="6">
        <v>3280</v>
      </c>
      <c r="E114" s="6">
        <v>337</v>
      </c>
      <c r="F114" s="6">
        <v>4</v>
      </c>
      <c r="G114" s="17">
        <v>1</v>
      </c>
      <c r="H114" s="17"/>
      <c r="I114" s="17" t="s">
        <v>1505</v>
      </c>
      <c r="J114" s="17">
        <v>32736933</v>
      </c>
      <c r="K114" s="17" t="s">
        <v>1629</v>
      </c>
      <c r="L114" s="17" t="s">
        <v>1635</v>
      </c>
      <c r="M114" s="18">
        <v>249900</v>
      </c>
      <c r="N114" s="9">
        <v>0.9</v>
      </c>
      <c r="O114" s="8">
        <f t="shared" si="4"/>
        <v>24990</v>
      </c>
      <c r="P114" s="6" t="s">
        <v>15</v>
      </c>
    </row>
    <row r="115" spans="1:16" x14ac:dyDescent="0.25">
      <c r="A115" s="6" t="str">
        <f t="shared" si="5"/>
        <v>2020-2021 ALL D90</v>
      </c>
      <c r="B115" s="7">
        <f t="shared" si="6"/>
        <v>46114</v>
      </c>
      <c r="C115" s="7">
        <f t="shared" si="7"/>
        <v>46120</v>
      </c>
      <c r="D115" s="6">
        <v>3280</v>
      </c>
      <c r="E115" s="6">
        <v>337</v>
      </c>
      <c r="F115" s="6">
        <v>4</v>
      </c>
      <c r="G115" s="17">
        <v>1</v>
      </c>
      <c r="H115" s="17"/>
      <c r="I115" s="17" t="s">
        <v>1505</v>
      </c>
      <c r="J115" s="17">
        <v>33371227</v>
      </c>
      <c r="K115" s="17" t="s">
        <v>1636</v>
      </c>
      <c r="L115" s="17" t="s">
        <v>1637</v>
      </c>
      <c r="M115" s="18">
        <v>239900</v>
      </c>
      <c r="N115" s="9">
        <v>0.9</v>
      </c>
      <c r="O115" s="8">
        <f t="shared" si="4"/>
        <v>23990</v>
      </c>
      <c r="P115" s="6" t="s">
        <v>15</v>
      </c>
    </row>
    <row r="116" spans="1:16" x14ac:dyDescent="0.25">
      <c r="A116" s="6" t="str">
        <f t="shared" si="5"/>
        <v>2020-2021 ALL D90</v>
      </c>
      <c r="B116" s="7">
        <f t="shared" si="6"/>
        <v>46114</v>
      </c>
      <c r="C116" s="7">
        <f t="shared" si="7"/>
        <v>46120</v>
      </c>
      <c r="D116" s="6">
        <v>3280</v>
      </c>
      <c r="E116" s="6">
        <v>337</v>
      </c>
      <c r="F116" s="6">
        <v>4</v>
      </c>
      <c r="G116" s="17">
        <v>1</v>
      </c>
      <c r="H116" s="17"/>
      <c r="I116" s="17" t="s">
        <v>1505</v>
      </c>
      <c r="J116" s="17">
        <v>33371236</v>
      </c>
      <c r="K116" s="17" t="s">
        <v>1636</v>
      </c>
      <c r="L116" s="17" t="s">
        <v>1638</v>
      </c>
      <c r="M116" s="18">
        <v>239900</v>
      </c>
      <c r="N116" s="9">
        <v>0.9</v>
      </c>
      <c r="O116" s="8">
        <f t="shared" si="4"/>
        <v>23990</v>
      </c>
      <c r="P116" s="6" t="s">
        <v>15</v>
      </c>
    </row>
    <row r="117" spans="1:16" x14ac:dyDescent="0.25">
      <c r="A117" s="6" t="str">
        <f t="shared" si="5"/>
        <v>2020-2021 ALL D90</v>
      </c>
      <c r="B117" s="7">
        <f t="shared" si="6"/>
        <v>46114</v>
      </c>
      <c r="C117" s="7">
        <f t="shared" si="7"/>
        <v>46120</v>
      </c>
      <c r="D117" s="6">
        <v>3280</v>
      </c>
      <c r="E117" s="6">
        <v>337</v>
      </c>
      <c r="F117" s="6">
        <v>4</v>
      </c>
      <c r="G117" s="17">
        <v>1</v>
      </c>
      <c r="H117" s="17"/>
      <c r="I117" s="17" t="s">
        <v>1505</v>
      </c>
      <c r="J117" s="17">
        <v>33371245</v>
      </c>
      <c r="K117" s="17" t="s">
        <v>1636</v>
      </c>
      <c r="L117" s="17" t="s">
        <v>1639</v>
      </c>
      <c r="M117" s="18">
        <v>239900</v>
      </c>
      <c r="N117" s="9">
        <v>0.9</v>
      </c>
      <c r="O117" s="8">
        <f t="shared" si="4"/>
        <v>23990</v>
      </c>
      <c r="P117" s="6" t="s">
        <v>15</v>
      </c>
    </row>
    <row r="118" spans="1:16" x14ac:dyDescent="0.25">
      <c r="A118" s="6" t="str">
        <f t="shared" si="5"/>
        <v>2020-2021 ALL D90</v>
      </c>
      <c r="B118" s="7">
        <f t="shared" si="6"/>
        <v>46114</v>
      </c>
      <c r="C118" s="7">
        <f t="shared" si="7"/>
        <v>46120</v>
      </c>
      <c r="D118" s="6">
        <v>3280</v>
      </c>
      <c r="E118" s="6">
        <v>337</v>
      </c>
      <c r="F118" s="6">
        <v>4</v>
      </c>
      <c r="G118" s="17">
        <v>1</v>
      </c>
      <c r="H118" s="17"/>
      <c r="I118" s="17" t="s">
        <v>1505</v>
      </c>
      <c r="J118" s="17">
        <v>33371254</v>
      </c>
      <c r="K118" s="17" t="s">
        <v>1636</v>
      </c>
      <c r="L118" s="17" t="s">
        <v>1640</v>
      </c>
      <c r="M118" s="18">
        <v>249900</v>
      </c>
      <c r="N118" s="9">
        <v>0.9</v>
      </c>
      <c r="O118" s="8">
        <f t="shared" si="4"/>
        <v>24990</v>
      </c>
      <c r="P118" s="6" t="s">
        <v>15</v>
      </c>
    </row>
    <row r="119" spans="1:16" x14ac:dyDescent="0.25">
      <c r="A119" s="6" t="str">
        <f t="shared" si="5"/>
        <v>2020-2021 ALL D90</v>
      </c>
      <c r="B119" s="7">
        <f t="shared" si="6"/>
        <v>46114</v>
      </c>
      <c r="C119" s="7">
        <f t="shared" si="7"/>
        <v>46120</v>
      </c>
      <c r="D119" s="6">
        <v>3280</v>
      </c>
      <c r="E119" s="6">
        <v>337</v>
      </c>
      <c r="F119" s="6">
        <v>4</v>
      </c>
      <c r="G119" s="17">
        <v>1</v>
      </c>
      <c r="H119" s="17"/>
      <c r="I119" s="17" t="s">
        <v>1505</v>
      </c>
      <c r="J119" s="17">
        <v>33371263</v>
      </c>
      <c r="K119" s="17" t="s">
        <v>1636</v>
      </c>
      <c r="L119" s="17" t="s">
        <v>1641</v>
      </c>
      <c r="M119" s="18">
        <v>249900</v>
      </c>
      <c r="N119" s="9">
        <v>0.9</v>
      </c>
      <c r="O119" s="8">
        <f t="shared" si="4"/>
        <v>24990</v>
      </c>
      <c r="P119" s="6" t="s">
        <v>15</v>
      </c>
    </row>
    <row r="120" spans="1:16" x14ac:dyDescent="0.25">
      <c r="A120" s="6" t="str">
        <f t="shared" si="5"/>
        <v>2020-2021 ALL D90</v>
      </c>
      <c r="B120" s="7">
        <f t="shared" si="6"/>
        <v>46114</v>
      </c>
      <c r="C120" s="7">
        <f t="shared" si="7"/>
        <v>46120</v>
      </c>
      <c r="D120" s="6">
        <v>3280</v>
      </c>
      <c r="E120" s="6">
        <v>337</v>
      </c>
      <c r="F120" s="6">
        <v>4</v>
      </c>
      <c r="G120" s="17">
        <v>1</v>
      </c>
      <c r="H120" s="17"/>
      <c r="I120" s="17" t="s">
        <v>1505</v>
      </c>
      <c r="J120" s="17">
        <v>33371272</v>
      </c>
      <c r="K120" s="17" t="s">
        <v>1636</v>
      </c>
      <c r="L120" s="17" t="s">
        <v>1642</v>
      </c>
      <c r="M120" s="18">
        <v>249900</v>
      </c>
      <c r="N120" s="9">
        <v>0.9</v>
      </c>
      <c r="O120" s="8">
        <f t="shared" si="4"/>
        <v>24990</v>
      </c>
      <c r="P120" s="6" t="s">
        <v>15</v>
      </c>
    </row>
    <row r="121" spans="1:16" x14ac:dyDescent="0.25">
      <c r="A121" s="6" t="str">
        <f t="shared" si="5"/>
        <v>2020-2021 ALL D90</v>
      </c>
      <c r="B121" s="7">
        <f t="shared" si="6"/>
        <v>46114</v>
      </c>
      <c r="C121" s="7">
        <f t="shared" si="7"/>
        <v>46120</v>
      </c>
      <c r="D121" s="6">
        <v>3280</v>
      </c>
      <c r="E121" s="6">
        <v>337</v>
      </c>
      <c r="F121" s="6">
        <v>4</v>
      </c>
      <c r="G121" s="17">
        <v>1</v>
      </c>
      <c r="H121" s="17"/>
      <c r="I121" s="17" t="s">
        <v>1505</v>
      </c>
      <c r="J121" s="17">
        <v>33432732</v>
      </c>
      <c r="K121" s="17" t="s">
        <v>1643</v>
      </c>
      <c r="L121" s="17" t="s">
        <v>1644</v>
      </c>
      <c r="M121" s="18">
        <v>269900</v>
      </c>
      <c r="N121" s="9">
        <v>0.9</v>
      </c>
      <c r="O121" s="8">
        <f t="shared" si="4"/>
        <v>26990</v>
      </c>
      <c r="P121" s="6" t="s">
        <v>15</v>
      </c>
    </row>
    <row r="122" spans="1:16" x14ac:dyDescent="0.25">
      <c r="A122" s="6" t="str">
        <f t="shared" si="5"/>
        <v>2020-2021 ALL D90</v>
      </c>
      <c r="B122" s="7">
        <f t="shared" si="6"/>
        <v>46114</v>
      </c>
      <c r="C122" s="7">
        <f t="shared" si="7"/>
        <v>46120</v>
      </c>
      <c r="D122" s="6">
        <v>3280</v>
      </c>
      <c r="E122" s="6">
        <v>337</v>
      </c>
      <c r="F122" s="6">
        <v>4</v>
      </c>
      <c r="G122" s="17">
        <v>1</v>
      </c>
      <c r="H122" s="17"/>
      <c r="I122" s="17" t="s">
        <v>1505</v>
      </c>
      <c r="J122" s="17">
        <v>33432741</v>
      </c>
      <c r="K122" s="17" t="s">
        <v>1643</v>
      </c>
      <c r="L122" s="17" t="s">
        <v>1645</v>
      </c>
      <c r="M122" s="18">
        <v>269900</v>
      </c>
      <c r="N122" s="9">
        <v>0.9</v>
      </c>
      <c r="O122" s="8">
        <f t="shared" si="4"/>
        <v>26990</v>
      </c>
      <c r="P122" s="6" t="s">
        <v>15</v>
      </c>
    </row>
    <row r="123" spans="1:16" x14ac:dyDescent="0.25">
      <c r="A123" s="6" t="str">
        <f t="shared" si="5"/>
        <v>2020-2021 ALL D90</v>
      </c>
      <c r="B123" s="7">
        <f t="shared" si="6"/>
        <v>46114</v>
      </c>
      <c r="C123" s="7">
        <f t="shared" si="7"/>
        <v>46120</v>
      </c>
      <c r="D123" s="6">
        <v>3280</v>
      </c>
      <c r="E123" s="6">
        <v>337</v>
      </c>
      <c r="F123" s="6">
        <v>4</v>
      </c>
      <c r="G123" s="17">
        <v>1</v>
      </c>
      <c r="H123" s="17"/>
      <c r="I123" s="17" t="s">
        <v>1505</v>
      </c>
      <c r="J123" s="17">
        <v>33432750</v>
      </c>
      <c r="K123" s="17" t="s">
        <v>1643</v>
      </c>
      <c r="L123" s="17" t="s">
        <v>1646</v>
      </c>
      <c r="M123" s="18">
        <v>269900</v>
      </c>
      <c r="N123" s="9">
        <v>0.9</v>
      </c>
      <c r="O123" s="8">
        <f t="shared" si="4"/>
        <v>26990</v>
      </c>
      <c r="P123" s="6" t="s">
        <v>15</v>
      </c>
    </row>
    <row r="124" spans="1:16" x14ac:dyDescent="0.25">
      <c r="A124" s="6" t="str">
        <f t="shared" si="5"/>
        <v>2020-2021 ALL D90</v>
      </c>
      <c r="B124" s="7">
        <f t="shared" si="6"/>
        <v>46114</v>
      </c>
      <c r="C124" s="7">
        <f t="shared" si="7"/>
        <v>46120</v>
      </c>
      <c r="D124" s="6">
        <v>3280</v>
      </c>
      <c r="E124" s="6">
        <v>337</v>
      </c>
      <c r="F124" s="6">
        <v>4</v>
      </c>
      <c r="G124" s="17">
        <v>1</v>
      </c>
      <c r="H124" s="17"/>
      <c r="I124" s="17" t="s">
        <v>1505</v>
      </c>
      <c r="J124" s="17">
        <v>33432769</v>
      </c>
      <c r="K124" s="17" t="s">
        <v>1643</v>
      </c>
      <c r="L124" s="17" t="s">
        <v>1647</v>
      </c>
      <c r="M124" s="18">
        <v>279900</v>
      </c>
      <c r="N124" s="9">
        <v>0.9</v>
      </c>
      <c r="O124" s="8">
        <f t="shared" si="4"/>
        <v>27990</v>
      </c>
      <c r="P124" s="6" t="s">
        <v>15</v>
      </c>
    </row>
    <row r="125" spans="1:16" x14ac:dyDescent="0.25">
      <c r="A125" s="6" t="str">
        <f t="shared" si="5"/>
        <v>2020-2021 ALL D90</v>
      </c>
      <c r="B125" s="7">
        <f t="shared" si="6"/>
        <v>46114</v>
      </c>
      <c r="C125" s="7">
        <f t="shared" si="7"/>
        <v>46120</v>
      </c>
      <c r="D125" s="6">
        <v>3280</v>
      </c>
      <c r="E125" s="6">
        <v>337</v>
      </c>
      <c r="F125" s="6">
        <v>4</v>
      </c>
      <c r="G125" s="17">
        <v>1</v>
      </c>
      <c r="H125" s="17"/>
      <c r="I125" s="17" t="s">
        <v>1505</v>
      </c>
      <c r="J125" s="17">
        <v>33432778</v>
      </c>
      <c r="K125" s="17" t="s">
        <v>1643</v>
      </c>
      <c r="L125" s="17" t="s">
        <v>1648</v>
      </c>
      <c r="M125" s="18">
        <v>279900</v>
      </c>
      <c r="N125" s="9">
        <v>0.9</v>
      </c>
      <c r="O125" s="8">
        <f t="shared" si="4"/>
        <v>27990</v>
      </c>
      <c r="P125" s="6" t="s">
        <v>15</v>
      </c>
    </row>
    <row r="126" spans="1:16" x14ac:dyDescent="0.25">
      <c r="A126" s="6" t="str">
        <f t="shared" si="5"/>
        <v>2020-2021 ALL D90</v>
      </c>
      <c r="B126" s="7">
        <f t="shared" si="6"/>
        <v>46114</v>
      </c>
      <c r="C126" s="7">
        <f t="shared" si="7"/>
        <v>46120</v>
      </c>
      <c r="D126" s="6">
        <v>3280</v>
      </c>
      <c r="E126" s="6">
        <v>337</v>
      </c>
      <c r="F126" s="6">
        <v>4</v>
      </c>
      <c r="G126" s="17">
        <v>1</v>
      </c>
      <c r="H126" s="17"/>
      <c r="I126" s="17" t="s">
        <v>1505</v>
      </c>
      <c r="J126" s="17">
        <v>33432787</v>
      </c>
      <c r="K126" s="17" t="s">
        <v>1643</v>
      </c>
      <c r="L126" s="17" t="s">
        <v>1649</v>
      </c>
      <c r="M126" s="18">
        <v>279900</v>
      </c>
      <c r="N126" s="9">
        <v>0.9</v>
      </c>
      <c r="O126" s="8">
        <f t="shared" si="4"/>
        <v>27990</v>
      </c>
      <c r="P126" s="6" t="s">
        <v>15</v>
      </c>
    </row>
    <row r="127" spans="1:16" x14ac:dyDescent="0.25">
      <c r="A127" s="6" t="str">
        <f t="shared" si="5"/>
        <v>2020-2021 ALL D90</v>
      </c>
      <c r="B127" s="7">
        <f t="shared" si="6"/>
        <v>46114</v>
      </c>
      <c r="C127" s="7">
        <f t="shared" si="7"/>
        <v>46120</v>
      </c>
      <c r="D127" s="6">
        <v>3280</v>
      </c>
      <c r="E127" s="6">
        <v>337</v>
      </c>
      <c r="F127" s="6">
        <v>4</v>
      </c>
      <c r="G127" s="17">
        <v>1</v>
      </c>
      <c r="H127" s="17"/>
      <c r="I127" s="17" t="s">
        <v>1505</v>
      </c>
      <c r="J127" s="17">
        <v>33432590</v>
      </c>
      <c r="K127" s="17" t="s">
        <v>1650</v>
      </c>
      <c r="L127" s="17" t="s">
        <v>1651</v>
      </c>
      <c r="M127" s="18">
        <v>269900</v>
      </c>
      <c r="N127" s="9">
        <v>0.9</v>
      </c>
      <c r="O127" s="8">
        <f t="shared" si="4"/>
        <v>26990</v>
      </c>
      <c r="P127" s="6" t="s">
        <v>15</v>
      </c>
    </row>
    <row r="128" spans="1:16" x14ac:dyDescent="0.25">
      <c r="A128" s="6" t="str">
        <f t="shared" si="5"/>
        <v>2020-2021 ALL D90</v>
      </c>
      <c r="B128" s="7">
        <f t="shared" si="6"/>
        <v>46114</v>
      </c>
      <c r="C128" s="7">
        <f t="shared" si="7"/>
        <v>46120</v>
      </c>
      <c r="D128" s="6">
        <v>3280</v>
      </c>
      <c r="E128" s="6">
        <v>337</v>
      </c>
      <c r="F128" s="6">
        <v>4</v>
      </c>
      <c r="G128" s="17">
        <v>1</v>
      </c>
      <c r="H128" s="17"/>
      <c r="I128" s="17" t="s">
        <v>1505</v>
      </c>
      <c r="J128" s="17">
        <v>33432607</v>
      </c>
      <c r="K128" s="17" t="s">
        <v>1650</v>
      </c>
      <c r="L128" s="17" t="s">
        <v>1652</v>
      </c>
      <c r="M128" s="18">
        <v>269900</v>
      </c>
      <c r="N128" s="9">
        <v>0.9</v>
      </c>
      <c r="O128" s="8">
        <f t="shared" si="4"/>
        <v>26990</v>
      </c>
      <c r="P128" s="6" t="s">
        <v>15</v>
      </c>
    </row>
    <row r="129" spans="1:16" x14ac:dyDescent="0.25">
      <c r="A129" s="6" t="str">
        <f t="shared" si="5"/>
        <v>2020-2021 ALL D90</v>
      </c>
      <c r="B129" s="7">
        <f t="shared" si="6"/>
        <v>46114</v>
      </c>
      <c r="C129" s="7">
        <f t="shared" si="7"/>
        <v>46120</v>
      </c>
      <c r="D129" s="6">
        <v>3280</v>
      </c>
      <c r="E129" s="6">
        <v>337</v>
      </c>
      <c r="F129" s="6">
        <v>4</v>
      </c>
      <c r="G129" s="17">
        <v>1</v>
      </c>
      <c r="H129" s="17"/>
      <c r="I129" s="17" t="s">
        <v>1505</v>
      </c>
      <c r="J129" s="17">
        <v>33432616</v>
      </c>
      <c r="K129" s="17" t="s">
        <v>1650</v>
      </c>
      <c r="L129" s="17" t="s">
        <v>1653</v>
      </c>
      <c r="M129" s="18">
        <v>269900</v>
      </c>
      <c r="N129" s="9">
        <v>0.9</v>
      </c>
      <c r="O129" s="8">
        <f t="shared" si="4"/>
        <v>26990</v>
      </c>
      <c r="P129" s="6" t="s">
        <v>15</v>
      </c>
    </row>
    <row r="130" spans="1:16" x14ac:dyDescent="0.25">
      <c r="A130" s="6" t="str">
        <f t="shared" si="5"/>
        <v>2020-2021 ALL D90</v>
      </c>
      <c r="B130" s="7">
        <f t="shared" si="6"/>
        <v>46114</v>
      </c>
      <c r="C130" s="7">
        <f t="shared" si="7"/>
        <v>46120</v>
      </c>
      <c r="D130" s="6">
        <v>3280</v>
      </c>
      <c r="E130" s="6">
        <v>337</v>
      </c>
      <c r="F130" s="6">
        <v>4</v>
      </c>
      <c r="G130" s="17">
        <v>1</v>
      </c>
      <c r="H130" s="17"/>
      <c r="I130" s="17" t="s">
        <v>1505</v>
      </c>
      <c r="J130" s="17">
        <v>33432625</v>
      </c>
      <c r="K130" s="17" t="s">
        <v>1650</v>
      </c>
      <c r="L130" s="17" t="s">
        <v>1654</v>
      </c>
      <c r="M130" s="18">
        <v>279900</v>
      </c>
      <c r="N130" s="9">
        <v>0.9</v>
      </c>
      <c r="O130" s="8">
        <f t="shared" si="4"/>
        <v>27990</v>
      </c>
      <c r="P130" s="6" t="s">
        <v>15</v>
      </c>
    </row>
    <row r="131" spans="1:16" x14ac:dyDescent="0.25">
      <c r="A131" s="6" t="str">
        <f t="shared" si="5"/>
        <v>2020-2021 ALL D90</v>
      </c>
      <c r="B131" s="7">
        <f t="shared" si="6"/>
        <v>46114</v>
      </c>
      <c r="C131" s="7">
        <f t="shared" si="7"/>
        <v>46120</v>
      </c>
      <c r="D131" s="6">
        <v>3280</v>
      </c>
      <c r="E131" s="6">
        <v>337</v>
      </c>
      <c r="F131" s="6">
        <v>4</v>
      </c>
      <c r="G131" s="17">
        <v>1</v>
      </c>
      <c r="H131" s="17"/>
      <c r="I131" s="17" t="s">
        <v>1505</v>
      </c>
      <c r="J131" s="17">
        <v>33432634</v>
      </c>
      <c r="K131" s="17" t="s">
        <v>1650</v>
      </c>
      <c r="L131" s="17" t="s">
        <v>1655</v>
      </c>
      <c r="M131" s="18">
        <v>279900</v>
      </c>
      <c r="N131" s="9">
        <v>0.9</v>
      </c>
      <c r="O131" s="8">
        <f t="shared" ref="O131:O194" si="8">M131-((90*M131)/100)</f>
        <v>27990</v>
      </c>
      <c r="P131" s="6" t="s">
        <v>15</v>
      </c>
    </row>
    <row r="132" spans="1:16" x14ac:dyDescent="0.25">
      <c r="A132" s="6" t="str">
        <f t="shared" ref="A132:A195" si="9">A131</f>
        <v>2020-2021 ALL D90</v>
      </c>
      <c r="B132" s="7">
        <f t="shared" ref="B132:B195" si="10">B131</f>
        <v>46114</v>
      </c>
      <c r="C132" s="7">
        <f t="shared" ref="C132:C195" si="11">C131</f>
        <v>46120</v>
      </c>
      <c r="D132" s="6">
        <v>3280</v>
      </c>
      <c r="E132" s="6">
        <v>337</v>
      </c>
      <c r="F132" s="6">
        <v>4</v>
      </c>
      <c r="G132" s="17">
        <v>1</v>
      </c>
      <c r="H132" s="17"/>
      <c r="I132" s="17" t="s">
        <v>1505</v>
      </c>
      <c r="J132" s="17">
        <v>33432643</v>
      </c>
      <c r="K132" s="17" t="s">
        <v>1650</v>
      </c>
      <c r="L132" s="17" t="s">
        <v>1656</v>
      </c>
      <c r="M132" s="18">
        <v>279900</v>
      </c>
      <c r="N132" s="9">
        <v>0.9</v>
      </c>
      <c r="O132" s="8">
        <f t="shared" si="8"/>
        <v>27990</v>
      </c>
      <c r="P132" s="6" t="s">
        <v>15</v>
      </c>
    </row>
    <row r="133" spans="1:16" x14ac:dyDescent="0.25">
      <c r="A133" s="6" t="str">
        <f t="shared" si="9"/>
        <v>2020-2021 ALL D90</v>
      </c>
      <c r="B133" s="7">
        <f t="shared" si="10"/>
        <v>46114</v>
      </c>
      <c r="C133" s="7">
        <f t="shared" si="11"/>
        <v>46120</v>
      </c>
      <c r="D133" s="6">
        <v>3280</v>
      </c>
      <c r="E133" s="6">
        <v>337</v>
      </c>
      <c r="F133" s="6">
        <v>4</v>
      </c>
      <c r="G133" s="17">
        <v>1</v>
      </c>
      <c r="H133" s="17"/>
      <c r="I133" s="17" t="s">
        <v>1505</v>
      </c>
      <c r="J133" s="17">
        <v>33432796</v>
      </c>
      <c r="K133" s="17" t="s">
        <v>1664</v>
      </c>
      <c r="L133" s="17" t="s">
        <v>1665</v>
      </c>
      <c r="M133" s="18">
        <v>249900</v>
      </c>
      <c r="N133" s="9">
        <v>0.9</v>
      </c>
      <c r="O133" s="8">
        <f t="shared" si="8"/>
        <v>24990</v>
      </c>
      <c r="P133" s="6" t="s">
        <v>15</v>
      </c>
    </row>
    <row r="134" spans="1:16" x14ac:dyDescent="0.25">
      <c r="A134" s="6" t="str">
        <f t="shared" si="9"/>
        <v>2020-2021 ALL D90</v>
      </c>
      <c r="B134" s="7">
        <f t="shared" si="10"/>
        <v>46114</v>
      </c>
      <c r="C134" s="7">
        <f t="shared" si="11"/>
        <v>46120</v>
      </c>
      <c r="D134" s="6">
        <v>3280</v>
      </c>
      <c r="E134" s="6">
        <v>337</v>
      </c>
      <c r="F134" s="6">
        <v>4</v>
      </c>
      <c r="G134" s="17">
        <v>1</v>
      </c>
      <c r="H134" s="17"/>
      <c r="I134" s="17" t="s">
        <v>1505</v>
      </c>
      <c r="J134" s="17">
        <v>33432803</v>
      </c>
      <c r="K134" s="17" t="s">
        <v>1664</v>
      </c>
      <c r="L134" s="17" t="s">
        <v>1666</v>
      </c>
      <c r="M134" s="18">
        <v>249900</v>
      </c>
      <c r="N134" s="9">
        <v>0.9</v>
      </c>
      <c r="O134" s="8">
        <f t="shared" si="8"/>
        <v>24990</v>
      </c>
      <c r="P134" s="6" t="s">
        <v>15</v>
      </c>
    </row>
    <row r="135" spans="1:16" x14ac:dyDescent="0.25">
      <c r="A135" s="6" t="str">
        <f t="shared" si="9"/>
        <v>2020-2021 ALL D90</v>
      </c>
      <c r="B135" s="7">
        <f t="shared" si="10"/>
        <v>46114</v>
      </c>
      <c r="C135" s="7">
        <f t="shared" si="11"/>
        <v>46120</v>
      </c>
      <c r="D135" s="6">
        <v>3280</v>
      </c>
      <c r="E135" s="6">
        <v>337</v>
      </c>
      <c r="F135" s="6">
        <v>4</v>
      </c>
      <c r="G135" s="17">
        <v>1</v>
      </c>
      <c r="H135" s="17"/>
      <c r="I135" s="17" t="s">
        <v>1505</v>
      </c>
      <c r="J135" s="17">
        <v>33432812</v>
      </c>
      <c r="K135" s="17" t="s">
        <v>1664</v>
      </c>
      <c r="L135" s="17" t="s">
        <v>1667</v>
      </c>
      <c r="M135" s="18">
        <v>249900</v>
      </c>
      <c r="N135" s="9">
        <v>0.9</v>
      </c>
      <c r="O135" s="8">
        <f t="shared" si="8"/>
        <v>24990</v>
      </c>
      <c r="P135" s="6" t="s">
        <v>15</v>
      </c>
    </row>
    <row r="136" spans="1:16" x14ac:dyDescent="0.25">
      <c r="A136" s="6" t="str">
        <f t="shared" si="9"/>
        <v>2020-2021 ALL D90</v>
      </c>
      <c r="B136" s="7">
        <f t="shared" si="10"/>
        <v>46114</v>
      </c>
      <c r="C136" s="7">
        <f t="shared" si="11"/>
        <v>46120</v>
      </c>
      <c r="D136" s="6">
        <v>3280</v>
      </c>
      <c r="E136" s="6">
        <v>337</v>
      </c>
      <c r="F136" s="6">
        <v>4</v>
      </c>
      <c r="G136" s="17">
        <v>1</v>
      </c>
      <c r="H136" s="17"/>
      <c r="I136" s="17" t="s">
        <v>1505</v>
      </c>
      <c r="J136" s="17">
        <v>33432821</v>
      </c>
      <c r="K136" s="17" t="s">
        <v>1664</v>
      </c>
      <c r="L136" s="17" t="s">
        <v>1668</v>
      </c>
      <c r="M136" s="18">
        <v>259900</v>
      </c>
      <c r="N136" s="9">
        <v>0.9</v>
      </c>
      <c r="O136" s="8">
        <f t="shared" si="8"/>
        <v>25990</v>
      </c>
      <c r="P136" s="6" t="s">
        <v>15</v>
      </c>
    </row>
    <row r="137" spans="1:16" x14ac:dyDescent="0.25">
      <c r="A137" s="6" t="str">
        <f t="shared" si="9"/>
        <v>2020-2021 ALL D90</v>
      </c>
      <c r="B137" s="7">
        <f t="shared" si="10"/>
        <v>46114</v>
      </c>
      <c r="C137" s="7">
        <f t="shared" si="11"/>
        <v>46120</v>
      </c>
      <c r="D137" s="6">
        <v>3280</v>
      </c>
      <c r="E137" s="6">
        <v>337</v>
      </c>
      <c r="F137" s="6">
        <v>4</v>
      </c>
      <c r="G137" s="17">
        <v>1</v>
      </c>
      <c r="H137" s="17"/>
      <c r="I137" s="17" t="s">
        <v>1505</v>
      </c>
      <c r="J137" s="17">
        <v>33432830</v>
      </c>
      <c r="K137" s="17" t="s">
        <v>1664</v>
      </c>
      <c r="L137" s="17" t="s">
        <v>1669</v>
      </c>
      <c r="M137" s="18">
        <v>259900</v>
      </c>
      <c r="N137" s="9">
        <v>0.9</v>
      </c>
      <c r="O137" s="8">
        <f t="shared" si="8"/>
        <v>25990</v>
      </c>
      <c r="P137" s="6" t="s">
        <v>15</v>
      </c>
    </row>
    <row r="138" spans="1:16" x14ac:dyDescent="0.25">
      <c r="A138" s="6" t="str">
        <f t="shared" si="9"/>
        <v>2020-2021 ALL D90</v>
      </c>
      <c r="B138" s="7">
        <f t="shared" si="10"/>
        <v>46114</v>
      </c>
      <c r="C138" s="7">
        <f t="shared" si="11"/>
        <v>46120</v>
      </c>
      <c r="D138" s="6">
        <v>3280</v>
      </c>
      <c r="E138" s="6">
        <v>337</v>
      </c>
      <c r="F138" s="6">
        <v>4</v>
      </c>
      <c r="G138" s="17">
        <v>1</v>
      </c>
      <c r="H138" s="17"/>
      <c r="I138" s="17" t="s">
        <v>1505</v>
      </c>
      <c r="J138" s="17">
        <v>33432849</v>
      </c>
      <c r="K138" s="17" t="s">
        <v>1664</v>
      </c>
      <c r="L138" s="17" t="s">
        <v>1670</v>
      </c>
      <c r="M138" s="18">
        <v>259900</v>
      </c>
      <c r="N138" s="9">
        <v>0.9</v>
      </c>
      <c r="O138" s="8">
        <f t="shared" si="8"/>
        <v>25990</v>
      </c>
      <c r="P138" s="6" t="s">
        <v>15</v>
      </c>
    </row>
    <row r="139" spans="1:16" x14ac:dyDescent="0.25">
      <c r="A139" s="6" t="str">
        <f t="shared" si="9"/>
        <v>2020-2021 ALL D90</v>
      </c>
      <c r="B139" s="7">
        <f t="shared" si="10"/>
        <v>46114</v>
      </c>
      <c r="C139" s="7">
        <f t="shared" si="11"/>
        <v>46120</v>
      </c>
      <c r="D139" s="6">
        <v>3280</v>
      </c>
      <c r="E139" s="6">
        <v>337</v>
      </c>
      <c r="F139" s="6">
        <v>4</v>
      </c>
      <c r="G139" s="17">
        <v>1</v>
      </c>
      <c r="H139" s="17"/>
      <c r="I139" s="17" t="s">
        <v>1505</v>
      </c>
      <c r="J139" s="17">
        <v>33433179</v>
      </c>
      <c r="K139" s="17" t="s">
        <v>1671</v>
      </c>
      <c r="L139" s="17" t="s">
        <v>1672</v>
      </c>
      <c r="M139" s="18">
        <v>259900</v>
      </c>
      <c r="N139" s="9">
        <v>0.9</v>
      </c>
      <c r="O139" s="8">
        <f t="shared" si="8"/>
        <v>25990</v>
      </c>
      <c r="P139" s="6" t="s">
        <v>15</v>
      </c>
    </row>
    <row r="140" spans="1:16" x14ac:dyDescent="0.25">
      <c r="A140" s="6" t="str">
        <f t="shared" si="9"/>
        <v>2020-2021 ALL D90</v>
      </c>
      <c r="B140" s="7">
        <f t="shared" si="10"/>
        <v>46114</v>
      </c>
      <c r="C140" s="7">
        <f t="shared" si="11"/>
        <v>46120</v>
      </c>
      <c r="D140" s="6">
        <v>3280</v>
      </c>
      <c r="E140" s="6">
        <v>337</v>
      </c>
      <c r="F140" s="6">
        <v>4</v>
      </c>
      <c r="G140" s="17">
        <v>1</v>
      </c>
      <c r="H140" s="17"/>
      <c r="I140" s="17" t="s">
        <v>1505</v>
      </c>
      <c r="J140" s="17">
        <v>33433188</v>
      </c>
      <c r="K140" s="17" t="s">
        <v>1671</v>
      </c>
      <c r="L140" s="17" t="s">
        <v>1673</v>
      </c>
      <c r="M140" s="18">
        <v>259900</v>
      </c>
      <c r="N140" s="9">
        <v>0.9</v>
      </c>
      <c r="O140" s="8">
        <f t="shared" si="8"/>
        <v>25990</v>
      </c>
      <c r="P140" s="6" t="s">
        <v>15</v>
      </c>
    </row>
    <row r="141" spans="1:16" x14ac:dyDescent="0.25">
      <c r="A141" s="6" t="str">
        <f t="shared" si="9"/>
        <v>2020-2021 ALL D90</v>
      </c>
      <c r="B141" s="7">
        <f t="shared" si="10"/>
        <v>46114</v>
      </c>
      <c r="C141" s="7">
        <f t="shared" si="11"/>
        <v>46120</v>
      </c>
      <c r="D141" s="6">
        <v>3280</v>
      </c>
      <c r="E141" s="6">
        <v>337</v>
      </c>
      <c r="F141" s="6">
        <v>4</v>
      </c>
      <c r="G141" s="17">
        <v>1</v>
      </c>
      <c r="H141" s="17"/>
      <c r="I141" s="17" t="s">
        <v>1505</v>
      </c>
      <c r="J141" s="17">
        <v>33433197</v>
      </c>
      <c r="K141" s="17" t="s">
        <v>1671</v>
      </c>
      <c r="L141" s="17" t="s">
        <v>1674</v>
      </c>
      <c r="M141" s="18">
        <v>259900</v>
      </c>
      <c r="N141" s="9">
        <v>0.9</v>
      </c>
      <c r="O141" s="8">
        <f t="shared" si="8"/>
        <v>25990</v>
      </c>
      <c r="P141" s="6" t="s">
        <v>15</v>
      </c>
    </row>
    <row r="142" spans="1:16" x14ac:dyDescent="0.25">
      <c r="A142" s="6" t="str">
        <f t="shared" si="9"/>
        <v>2020-2021 ALL D90</v>
      </c>
      <c r="B142" s="7">
        <f t="shared" si="10"/>
        <v>46114</v>
      </c>
      <c r="C142" s="7">
        <f t="shared" si="11"/>
        <v>46120</v>
      </c>
      <c r="D142" s="6">
        <v>3280</v>
      </c>
      <c r="E142" s="6">
        <v>337</v>
      </c>
      <c r="F142" s="6">
        <v>4</v>
      </c>
      <c r="G142" s="17">
        <v>1</v>
      </c>
      <c r="H142" s="17"/>
      <c r="I142" s="17" t="s">
        <v>1505</v>
      </c>
      <c r="J142" s="17">
        <v>33433204</v>
      </c>
      <c r="K142" s="17" t="s">
        <v>1671</v>
      </c>
      <c r="L142" s="17" t="s">
        <v>1675</v>
      </c>
      <c r="M142" s="18">
        <v>269900</v>
      </c>
      <c r="N142" s="9">
        <v>0.9</v>
      </c>
      <c r="O142" s="8">
        <f t="shared" si="8"/>
        <v>26990</v>
      </c>
      <c r="P142" s="6" t="s">
        <v>15</v>
      </c>
    </row>
    <row r="143" spans="1:16" x14ac:dyDescent="0.25">
      <c r="A143" s="6" t="str">
        <f t="shared" si="9"/>
        <v>2020-2021 ALL D90</v>
      </c>
      <c r="B143" s="7">
        <f t="shared" si="10"/>
        <v>46114</v>
      </c>
      <c r="C143" s="7">
        <f t="shared" si="11"/>
        <v>46120</v>
      </c>
      <c r="D143" s="6">
        <v>3280</v>
      </c>
      <c r="E143" s="6">
        <v>337</v>
      </c>
      <c r="F143" s="6">
        <v>4</v>
      </c>
      <c r="G143" s="17">
        <v>1</v>
      </c>
      <c r="H143" s="17"/>
      <c r="I143" s="17" t="s">
        <v>1505</v>
      </c>
      <c r="J143" s="17">
        <v>33433213</v>
      </c>
      <c r="K143" s="17" t="s">
        <v>1671</v>
      </c>
      <c r="L143" s="17" t="s">
        <v>1676</v>
      </c>
      <c r="M143" s="18">
        <v>269900</v>
      </c>
      <c r="N143" s="9">
        <v>0.9</v>
      </c>
      <c r="O143" s="8">
        <f t="shared" si="8"/>
        <v>26990</v>
      </c>
      <c r="P143" s="6" t="s">
        <v>15</v>
      </c>
    </row>
    <row r="144" spans="1:16" x14ac:dyDescent="0.25">
      <c r="A144" s="6" t="str">
        <f t="shared" si="9"/>
        <v>2020-2021 ALL D90</v>
      </c>
      <c r="B144" s="7">
        <f t="shared" si="10"/>
        <v>46114</v>
      </c>
      <c r="C144" s="7">
        <f t="shared" si="11"/>
        <v>46120</v>
      </c>
      <c r="D144" s="6">
        <v>3280</v>
      </c>
      <c r="E144" s="6">
        <v>337</v>
      </c>
      <c r="F144" s="6">
        <v>4</v>
      </c>
      <c r="G144" s="17">
        <v>1</v>
      </c>
      <c r="H144" s="17"/>
      <c r="I144" s="17" t="s">
        <v>1505</v>
      </c>
      <c r="J144" s="17">
        <v>33433222</v>
      </c>
      <c r="K144" s="17" t="s">
        <v>1671</v>
      </c>
      <c r="L144" s="17" t="s">
        <v>1677</v>
      </c>
      <c r="M144" s="18">
        <v>269900</v>
      </c>
      <c r="N144" s="9">
        <v>0.9</v>
      </c>
      <c r="O144" s="8">
        <f t="shared" si="8"/>
        <v>26990</v>
      </c>
      <c r="P144" s="6" t="s">
        <v>15</v>
      </c>
    </row>
    <row r="145" spans="1:16" x14ac:dyDescent="0.25">
      <c r="A145" s="6" t="str">
        <f t="shared" si="9"/>
        <v>2020-2021 ALL D90</v>
      </c>
      <c r="B145" s="7">
        <f t="shared" si="10"/>
        <v>46114</v>
      </c>
      <c r="C145" s="7">
        <f t="shared" si="11"/>
        <v>46120</v>
      </c>
      <c r="D145" s="6">
        <v>3280</v>
      </c>
      <c r="E145" s="6">
        <v>337</v>
      </c>
      <c r="F145" s="6">
        <v>4</v>
      </c>
      <c r="G145" s="17">
        <v>1</v>
      </c>
      <c r="H145" s="17"/>
      <c r="I145" s="17" t="s">
        <v>1505</v>
      </c>
      <c r="J145" s="17">
        <v>33433017</v>
      </c>
      <c r="K145" s="17" t="s">
        <v>1678</v>
      </c>
      <c r="L145" s="17" t="s">
        <v>1679</v>
      </c>
      <c r="M145" s="18">
        <v>239900</v>
      </c>
      <c r="N145" s="9">
        <v>0.9</v>
      </c>
      <c r="O145" s="8">
        <f t="shared" si="8"/>
        <v>23990</v>
      </c>
      <c r="P145" s="6" t="s">
        <v>15</v>
      </c>
    </row>
    <row r="146" spans="1:16" x14ac:dyDescent="0.25">
      <c r="A146" s="6" t="str">
        <f t="shared" si="9"/>
        <v>2020-2021 ALL D90</v>
      </c>
      <c r="B146" s="7">
        <f t="shared" si="10"/>
        <v>46114</v>
      </c>
      <c r="C146" s="7">
        <f t="shared" si="11"/>
        <v>46120</v>
      </c>
      <c r="D146" s="6">
        <v>3280</v>
      </c>
      <c r="E146" s="6">
        <v>337</v>
      </c>
      <c r="F146" s="6">
        <v>4</v>
      </c>
      <c r="G146" s="17">
        <v>1</v>
      </c>
      <c r="H146" s="17"/>
      <c r="I146" s="17" t="s">
        <v>1505</v>
      </c>
      <c r="J146" s="17">
        <v>33433026</v>
      </c>
      <c r="K146" s="17" t="s">
        <v>1678</v>
      </c>
      <c r="L146" s="17" t="s">
        <v>1680</v>
      </c>
      <c r="M146" s="18">
        <v>239900</v>
      </c>
      <c r="N146" s="9">
        <v>0.9</v>
      </c>
      <c r="O146" s="8">
        <f t="shared" si="8"/>
        <v>23990</v>
      </c>
      <c r="P146" s="6" t="s">
        <v>15</v>
      </c>
    </row>
    <row r="147" spans="1:16" x14ac:dyDescent="0.25">
      <c r="A147" s="6" t="str">
        <f t="shared" si="9"/>
        <v>2020-2021 ALL D90</v>
      </c>
      <c r="B147" s="7">
        <f t="shared" si="10"/>
        <v>46114</v>
      </c>
      <c r="C147" s="7">
        <f t="shared" si="11"/>
        <v>46120</v>
      </c>
      <c r="D147" s="6">
        <v>3280</v>
      </c>
      <c r="E147" s="6">
        <v>337</v>
      </c>
      <c r="F147" s="6">
        <v>4</v>
      </c>
      <c r="G147" s="17">
        <v>1</v>
      </c>
      <c r="H147" s="17"/>
      <c r="I147" s="17" t="s">
        <v>1505</v>
      </c>
      <c r="J147" s="17">
        <v>33433035</v>
      </c>
      <c r="K147" s="17" t="s">
        <v>1678</v>
      </c>
      <c r="L147" s="17" t="s">
        <v>1681</v>
      </c>
      <c r="M147" s="18">
        <v>239900</v>
      </c>
      <c r="N147" s="9">
        <v>0.9</v>
      </c>
      <c r="O147" s="8">
        <f t="shared" si="8"/>
        <v>23990</v>
      </c>
      <c r="P147" s="6" t="s">
        <v>15</v>
      </c>
    </row>
    <row r="148" spans="1:16" x14ac:dyDescent="0.25">
      <c r="A148" s="6" t="str">
        <f t="shared" si="9"/>
        <v>2020-2021 ALL D90</v>
      </c>
      <c r="B148" s="7">
        <f t="shared" si="10"/>
        <v>46114</v>
      </c>
      <c r="C148" s="7">
        <f t="shared" si="11"/>
        <v>46120</v>
      </c>
      <c r="D148" s="6">
        <v>3280</v>
      </c>
      <c r="E148" s="6">
        <v>337</v>
      </c>
      <c r="F148" s="6">
        <v>4</v>
      </c>
      <c r="G148" s="17">
        <v>1</v>
      </c>
      <c r="H148" s="17"/>
      <c r="I148" s="17" t="s">
        <v>1505</v>
      </c>
      <c r="J148" s="17">
        <v>33433044</v>
      </c>
      <c r="K148" s="17" t="s">
        <v>1678</v>
      </c>
      <c r="L148" s="17" t="s">
        <v>1682</v>
      </c>
      <c r="M148" s="18">
        <v>249900</v>
      </c>
      <c r="N148" s="9">
        <v>0.9</v>
      </c>
      <c r="O148" s="8">
        <f t="shared" si="8"/>
        <v>24990</v>
      </c>
      <c r="P148" s="6" t="s">
        <v>15</v>
      </c>
    </row>
    <row r="149" spans="1:16" x14ac:dyDescent="0.25">
      <c r="A149" s="6" t="str">
        <f t="shared" si="9"/>
        <v>2020-2021 ALL D90</v>
      </c>
      <c r="B149" s="7">
        <f t="shared" si="10"/>
        <v>46114</v>
      </c>
      <c r="C149" s="7">
        <f t="shared" si="11"/>
        <v>46120</v>
      </c>
      <c r="D149" s="6">
        <v>3280</v>
      </c>
      <c r="E149" s="6">
        <v>337</v>
      </c>
      <c r="F149" s="6">
        <v>4</v>
      </c>
      <c r="G149" s="17">
        <v>1</v>
      </c>
      <c r="H149" s="17"/>
      <c r="I149" s="17" t="s">
        <v>1505</v>
      </c>
      <c r="J149" s="17">
        <v>33433053</v>
      </c>
      <c r="K149" s="17" t="s">
        <v>1678</v>
      </c>
      <c r="L149" s="17" t="s">
        <v>1683</v>
      </c>
      <c r="M149" s="18">
        <v>249900</v>
      </c>
      <c r="N149" s="9">
        <v>0.9</v>
      </c>
      <c r="O149" s="8">
        <f t="shared" si="8"/>
        <v>24990</v>
      </c>
      <c r="P149" s="6" t="s">
        <v>15</v>
      </c>
    </row>
    <row r="150" spans="1:16" x14ac:dyDescent="0.25">
      <c r="A150" s="6" t="str">
        <f t="shared" si="9"/>
        <v>2020-2021 ALL D90</v>
      </c>
      <c r="B150" s="7">
        <f t="shared" si="10"/>
        <v>46114</v>
      </c>
      <c r="C150" s="7">
        <f t="shared" si="11"/>
        <v>46120</v>
      </c>
      <c r="D150" s="6">
        <v>3280</v>
      </c>
      <c r="E150" s="6">
        <v>337</v>
      </c>
      <c r="F150" s="6">
        <v>4</v>
      </c>
      <c r="G150" s="17">
        <v>1</v>
      </c>
      <c r="H150" s="17"/>
      <c r="I150" s="17" t="s">
        <v>1505</v>
      </c>
      <c r="J150" s="17">
        <v>33433062</v>
      </c>
      <c r="K150" s="17" t="s">
        <v>1678</v>
      </c>
      <c r="L150" s="17" t="s">
        <v>1684</v>
      </c>
      <c r="M150" s="18">
        <v>249900</v>
      </c>
      <c r="N150" s="9">
        <v>0.9</v>
      </c>
      <c r="O150" s="8">
        <f t="shared" si="8"/>
        <v>24990</v>
      </c>
      <c r="P150" s="6" t="s">
        <v>15</v>
      </c>
    </row>
    <row r="151" spans="1:16" x14ac:dyDescent="0.25">
      <c r="A151" s="6" t="str">
        <f t="shared" si="9"/>
        <v>2020-2021 ALL D90</v>
      </c>
      <c r="B151" s="7">
        <f t="shared" si="10"/>
        <v>46114</v>
      </c>
      <c r="C151" s="7">
        <f t="shared" si="11"/>
        <v>46120</v>
      </c>
      <c r="D151" s="6">
        <v>3280</v>
      </c>
      <c r="E151" s="6">
        <v>337</v>
      </c>
      <c r="F151" s="6">
        <v>4</v>
      </c>
      <c r="G151" s="17">
        <v>1</v>
      </c>
      <c r="H151" s="17"/>
      <c r="I151" s="17" t="s">
        <v>1505</v>
      </c>
      <c r="J151" s="17">
        <v>33432910</v>
      </c>
      <c r="K151" s="17" t="s">
        <v>1685</v>
      </c>
      <c r="L151" s="17" t="s">
        <v>1686</v>
      </c>
      <c r="M151" s="18">
        <v>239900</v>
      </c>
      <c r="N151" s="9">
        <v>0.9</v>
      </c>
      <c r="O151" s="8">
        <f t="shared" si="8"/>
        <v>23990</v>
      </c>
      <c r="P151" s="6" t="s">
        <v>15</v>
      </c>
    </row>
    <row r="152" spans="1:16" x14ac:dyDescent="0.25">
      <c r="A152" s="6" t="str">
        <f t="shared" si="9"/>
        <v>2020-2021 ALL D90</v>
      </c>
      <c r="B152" s="7">
        <f t="shared" si="10"/>
        <v>46114</v>
      </c>
      <c r="C152" s="7">
        <f t="shared" si="11"/>
        <v>46120</v>
      </c>
      <c r="D152" s="6">
        <v>3280</v>
      </c>
      <c r="E152" s="6">
        <v>337</v>
      </c>
      <c r="F152" s="6">
        <v>4</v>
      </c>
      <c r="G152" s="17">
        <v>1</v>
      </c>
      <c r="H152" s="17"/>
      <c r="I152" s="17" t="s">
        <v>1505</v>
      </c>
      <c r="J152" s="17">
        <v>33432929</v>
      </c>
      <c r="K152" s="17" t="s">
        <v>1685</v>
      </c>
      <c r="L152" s="17" t="s">
        <v>1687</v>
      </c>
      <c r="M152" s="18">
        <v>239900</v>
      </c>
      <c r="N152" s="9">
        <v>0.9</v>
      </c>
      <c r="O152" s="8">
        <f t="shared" si="8"/>
        <v>23990</v>
      </c>
      <c r="P152" s="6" t="s">
        <v>15</v>
      </c>
    </row>
    <row r="153" spans="1:16" x14ac:dyDescent="0.25">
      <c r="A153" s="6" t="str">
        <f t="shared" si="9"/>
        <v>2020-2021 ALL D90</v>
      </c>
      <c r="B153" s="7">
        <f t="shared" si="10"/>
        <v>46114</v>
      </c>
      <c r="C153" s="7">
        <f t="shared" si="11"/>
        <v>46120</v>
      </c>
      <c r="D153" s="6">
        <v>3280</v>
      </c>
      <c r="E153" s="6">
        <v>337</v>
      </c>
      <c r="F153" s="6">
        <v>4</v>
      </c>
      <c r="G153" s="17">
        <v>1</v>
      </c>
      <c r="H153" s="17"/>
      <c r="I153" s="17" t="s">
        <v>1505</v>
      </c>
      <c r="J153" s="17">
        <v>33432938</v>
      </c>
      <c r="K153" s="17" t="s">
        <v>1685</v>
      </c>
      <c r="L153" s="17" t="s">
        <v>1688</v>
      </c>
      <c r="M153" s="18">
        <v>239900</v>
      </c>
      <c r="N153" s="9">
        <v>0.9</v>
      </c>
      <c r="O153" s="8">
        <f t="shared" si="8"/>
        <v>23990</v>
      </c>
      <c r="P153" s="6" t="s">
        <v>15</v>
      </c>
    </row>
    <row r="154" spans="1:16" x14ac:dyDescent="0.25">
      <c r="A154" s="6" t="str">
        <f t="shared" si="9"/>
        <v>2020-2021 ALL D90</v>
      </c>
      <c r="B154" s="7">
        <f t="shared" si="10"/>
        <v>46114</v>
      </c>
      <c r="C154" s="7">
        <f t="shared" si="11"/>
        <v>46120</v>
      </c>
      <c r="D154" s="6">
        <v>3280</v>
      </c>
      <c r="E154" s="6">
        <v>337</v>
      </c>
      <c r="F154" s="6">
        <v>4</v>
      </c>
      <c r="G154" s="17">
        <v>1</v>
      </c>
      <c r="H154" s="17"/>
      <c r="I154" s="17" t="s">
        <v>1505</v>
      </c>
      <c r="J154" s="17">
        <v>33432947</v>
      </c>
      <c r="K154" s="17" t="s">
        <v>1685</v>
      </c>
      <c r="L154" s="17" t="s">
        <v>1689</v>
      </c>
      <c r="M154" s="18">
        <v>249900</v>
      </c>
      <c r="N154" s="9">
        <v>0.9</v>
      </c>
      <c r="O154" s="8">
        <f t="shared" si="8"/>
        <v>24990</v>
      </c>
      <c r="P154" s="6" t="s">
        <v>15</v>
      </c>
    </row>
    <row r="155" spans="1:16" x14ac:dyDescent="0.25">
      <c r="A155" s="6" t="str">
        <f t="shared" si="9"/>
        <v>2020-2021 ALL D90</v>
      </c>
      <c r="B155" s="7">
        <f t="shared" si="10"/>
        <v>46114</v>
      </c>
      <c r="C155" s="7">
        <f t="shared" si="11"/>
        <v>46120</v>
      </c>
      <c r="D155" s="6">
        <v>3280</v>
      </c>
      <c r="E155" s="6">
        <v>337</v>
      </c>
      <c r="F155" s="6">
        <v>4</v>
      </c>
      <c r="G155" s="17">
        <v>1</v>
      </c>
      <c r="H155" s="17"/>
      <c r="I155" s="17" t="s">
        <v>1505</v>
      </c>
      <c r="J155" s="17">
        <v>33432956</v>
      </c>
      <c r="K155" s="17" t="s">
        <v>1685</v>
      </c>
      <c r="L155" s="17" t="s">
        <v>1690</v>
      </c>
      <c r="M155" s="18">
        <v>249900</v>
      </c>
      <c r="N155" s="9">
        <v>0.9</v>
      </c>
      <c r="O155" s="8">
        <f t="shared" si="8"/>
        <v>24990</v>
      </c>
      <c r="P155" s="6" t="s">
        <v>15</v>
      </c>
    </row>
    <row r="156" spans="1:16" x14ac:dyDescent="0.25">
      <c r="A156" s="6" t="str">
        <f t="shared" si="9"/>
        <v>2020-2021 ALL D90</v>
      </c>
      <c r="B156" s="7">
        <f t="shared" si="10"/>
        <v>46114</v>
      </c>
      <c r="C156" s="7">
        <f t="shared" si="11"/>
        <v>46120</v>
      </c>
      <c r="D156" s="6">
        <v>3280</v>
      </c>
      <c r="E156" s="6">
        <v>337</v>
      </c>
      <c r="F156" s="6">
        <v>4</v>
      </c>
      <c r="G156" s="17">
        <v>1</v>
      </c>
      <c r="H156" s="17"/>
      <c r="I156" s="17" t="s">
        <v>1505</v>
      </c>
      <c r="J156" s="17">
        <v>33432965</v>
      </c>
      <c r="K156" s="17" t="s">
        <v>1685</v>
      </c>
      <c r="L156" s="17" t="s">
        <v>1691</v>
      </c>
      <c r="M156" s="18">
        <v>249900</v>
      </c>
      <c r="N156" s="9">
        <v>0.9</v>
      </c>
      <c r="O156" s="8">
        <f t="shared" si="8"/>
        <v>24990</v>
      </c>
      <c r="P156" s="6" t="s">
        <v>15</v>
      </c>
    </row>
    <row r="157" spans="1:16" x14ac:dyDescent="0.25">
      <c r="A157" s="6" t="str">
        <f t="shared" si="9"/>
        <v>2020-2021 ALL D90</v>
      </c>
      <c r="B157" s="7">
        <f t="shared" si="10"/>
        <v>46114</v>
      </c>
      <c r="C157" s="7">
        <f t="shared" si="11"/>
        <v>46120</v>
      </c>
      <c r="D157" s="6">
        <v>3280</v>
      </c>
      <c r="E157" s="6">
        <v>337</v>
      </c>
      <c r="F157" s="6">
        <v>4</v>
      </c>
      <c r="G157" s="17">
        <v>1</v>
      </c>
      <c r="H157" s="17"/>
      <c r="I157" s="17" t="s">
        <v>1505</v>
      </c>
      <c r="J157" s="17">
        <v>33433071</v>
      </c>
      <c r="K157" s="17" t="s">
        <v>1692</v>
      </c>
      <c r="L157" s="17" t="s">
        <v>1693</v>
      </c>
      <c r="M157" s="18">
        <v>249900</v>
      </c>
      <c r="N157" s="9">
        <v>0.9</v>
      </c>
      <c r="O157" s="8">
        <f t="shared" si="8"/>
        <v>24990</v>
      </c>
      <c r="P157" s="6" t="s">
        <v>15</v>
      </c>
    </row>
    <row r="158" spans="1:16" x14ac:dyDescent="0.25">
      <c r="A158" s="6" t="str">
        <f t="shared" si="9"/>
        <v>2020-2021 ALL D90</v>
      </c>
      <c r="B158" s="7">
        <f t="shared" si="10"/>
        <v>46114</v>
      </c>
      <c r="C158" s="7">
        <f t="shared" si="11"/>
        <v>46120</v>
      </c>
      <c r="D158" s="6">
        <v>3280</v>
      </c>
      <c r="E158" s="6">
        <v>337</v>
      </c>
      <c r="F158" s="6">
        <v>4</v>
      </c>
      <c r="G158" s="17">
        <v>1</v>
      </c>
      <c r="H158" s="17"/>
      <c r="I158" s="17" t="s">
        <v>1505</v>
      </c>
      <c r="J158" s="17">
        <v>33433080</v>
      </c>
      <c r="K158" s="17" t="s">
        <v>1692</v>
      </c>
      <c r="L158" s="17" t="s">
        <v>1694</v>
      </c>
      <c r="M158" s="18">
        <v>249900</v>
      </c>
      <c r="N158" s="9">
        <v>0.9</v>
      </c>
      <c r="O158" s="8">
        <f t="shared" si="8"/>
        <v>24990</v>
      </c>
      <c r="P158" s="6" t="s">
        <v>15</v>
      </c>
    </row>
    <row r="159" spans="1:16" x14ac:dyDescent="0.25">
      <c r="A159" s="6" t="str">
        <f t="shared" si="9"/>
        <v>2020-2021 ALL D90</v>
      </c>
      <c r="B159" s="7">
        <f t="shared" si="10"/>
        <v>46114</v>
      </c>
      <c r="C159" s="7">
        <f t="shared" si="11"/>
        <v>46120</v>
      </c>
      <c r="D159" s="6">
        <v>3280</v>
      </c>
      <c r="E159" s="6">
        <v>337</v>
      </c>
      <c r="F159" s="6">
        <v>4</v>
      </c>
      <c r="G159" s="17">
        <v>1</v>
      </c>
      <c r="H159" s="17"/>
      <c r="I159" s="17" t="s">
        <v>1505</v>
      </c>
      <c r="J159" s="17">
        <v>33433099</v>
      </c>
      <c r="K159" s="17" t="s">
        <v>1692</v>
      </c>
      <c r="L159" s="17" t="s">
        <v>1695</v>
      </c>
      <c r="M159" s="18">
        <v>249900</v>
      </c>
      <c r="N159" s="9">
        <v>0.9</v>
      </c>
      <c r="O159" s="8">
        <f t="shared" si="8"/>
        <v>24990</v>
      </c>
      <c r="P159" s="6" t="s">
        <v>15</v>
      </c>
    </row>
    <row r="160" spans="1:16" x14ac:dyDescent="0.25">
      <c r="A160" s="6" t="str">
        <f t="shared" si="9"/>
        <v>2020-2021 ALL D90</v>
      </c>
      <c r="B160" s="7">
        <f t="shared" si="10"/>
        <v>46114</v>
      </c>
      <c r="C160" s="7">
        <f t="shared" si="11"/>
        <v>46120</v>
      </c>
      <c r="D160" s="6">
        <v>3280</v>
      </c>
      <c r="E160" s="6">
        <v>337</v>
      </c>
      <c r="F160" s="6">
        <v>4</v>
      </c>
      <c r="G160" s="17">
        <v>1</v>
      </c>
      <c r="H160" s="17"/>
      <c r="I160" s="17" t="s">
        <v>1505</v>
      </c>
      <c r="J160" s="17">
        <v>33433106</v>
      </c>
      <c r="K160" s="17" t="s">
        <v>1692</v>
      </c>
      <c r="L160" s="17" t="s">
        <v>1696</v>
      </c>
      <c r="M160" s="18">
        <v>259900</v>
      </c>
      <c r="N160" s="9">
        <v>0.9</v>
      </c>
      <c r="O160" s="8">
        <f t="shared" si="8"/>
        <v>25990</v>
      </c>
      <c r="P160" s="6" t="s">
        <v>15</v>
      </c>
    </row>
    <row r="161" spans="1:16" x14ac:dyDescent="0.25">
      <c r="A161" s="6" t="str">
        <f t="shared" si="9"/>
        <v>2020-2021 ALL D90</v>
      </c>
      <c r="B161" s="7">
        <f t="shared" si="10"/>
        <v>46114</v>
      </c>
      <c r="C161" s="7">
        <f t="shared" si="11"/>
        <v>46120</v>
      </c>
      <c r="D161" s="6">
        <v>3280</v>
      </c>
      <c r="E161" s="6">
        <v>337</v>
      </c>
      <c r="F161" s="6">
        <v>4</v>
      </c>
      <c r="G161" s="17">
        <v>1</v>
      </c>
      <c r="H161" s="17"/>
      <c r="I161" s="17" t="s">
        <v>1505</v>
      </c>
      <c r="J161" s="17">
        <v>33433115</v>
      </c>
      <c r="K161" s="17" t="s">
        <v>1692</v>
      </c>
      <c r="L161" s="17" t="s">
        <v>1697</v>
      </c>
      <c r="M161" s="18">
        <v>259900</v>
      </c>
      <c r="N161" s="9">
        <v>0.9</v>
      </c>
      <c r="O161" s="8">
        <f t="shared" si="8"/>
        <v>25990</v>
      </c>
      <c r="P161" s="6" t="s">
        <v>15</v>
      </c>
    </row>
    <row r="162" spans="1:16" x14ac:dyDescent="0.25">
      <c r="A162" s="6" t="str">
        <f t="shared" si="9"/>
        <v>2020-2021 ALL D90</v>
      </c>
      <c r="B162" s="7">
        <f t="shared" si="10"/>
        <v>46114</v>
      </c>
      <c r="C162" s="7">
        <f t="shared" si="11"/>
        <v>46120</v>
      </c>
      <c r="D162" s="6">
        <v>3280</v>
      </c>
      <c r="E162" s="6">
        <v>337</v>
      </c>
      <c r="F162" s="6">
        <v>4</v>
      </c>
      <c r="G162" s="17">
        <v>1</v>
      </c>
      <c r="H162" s="17"/>
      <c r="I162" s="17" t="s">
        <v>1505</v>
      </c>
      <c r="J162" s="17">
        <v>33433124</v>
      </c>
      <c r="K162" s="17" t="s">
        <v>1692</v>
      </c>
      <c r="L162" s="17" t="s">
        <v>1698</v>
      </c>
      <c r="M162" s="18">
        <v>259900</v>
      </c>
      <c r="N162" s="9">
        <v>0.9</v>
      </c>
      <c r="O162" s="8">
        <f t="shared" si="8"/>
        <v>25990</v>
      </c>
      <c r="P162" s="6" t="s">
        <v>15</v>
      </c>
    </row>
    <row r="163" spans="1:16" x14ac:dyDescent="0.25">
      <c r="A163" s="6" t="str">
        <f t="shared" si="9"/>
        <v>2020-2021 ALL D90</v>
      </c>
      <c r="B163" s="7">
        <f t="shared" si="10"/>
        <v>46114</v>
      </c>
      <c r="C163" s="7">
        <f t="shared" si="11"/>
        <v>46120</v>
      </c>
      <c r="D163" s="6">
        <v>3280</v>
      </c>
      <c r="E163" s="6">
        <v>337</v>
      </c>
      <c r="F163" s="6">
        <v>4</v>
      </c>
      <c r="G163" s="17">
        <v>1</v>
      </c>
      <c r="H163" s="17"/>
      <c r="I163" s="17" t="s">
        <v>1505</v>
      </c>
      <c r="J163" s="17">
        <v>33432858</v>
      </c>
      <c r="K163" s="17" t="s">
        <v>1699</v>
      </c>
      <c r="L163" s="17" t="s">
        <v>1700</v>
      </c>
      <c r="M163" s="18">
        <v>249900</v>
      </c>
      <c r="N163" s="9">
        <v>0.9</v>
      </c>
      <c r="O163" s="8">
        <f t="shared" si="8"/>
        <v>24990</v>
      </c>
      <c r="P163" s="6" t="s">
        <v>15</v>
      </c>
    </row>
    <row r="164" spans="1:16" x14ac:dyDescent="0.25">
      <c r="A164" s="6" t="str">
        <f t="shared" si="9"/>
        <v>2020-2021 ALL D90</v>
      </c>
      <c r="B164" s="7">
        <f t="shared" si="10"/>
        <v>46114</v>
      </c>
      <c r="C164" s="7">
        <f t="shared" si="11"/>
        <v>46120</v>
      </c>
      <c r="D164" s="6">
        <v>3280</v>
      </c>
      <c r="E164" s="6">
        <v>337</v>
      </c>
      <c r="F164" s="6">
        <v>4</v>
      </c>
      <c r="G164" s="17">
        <v>1</v>
      </c>
      <c r="H164" s="17"/>
      <c r="I164" s="17" t="s">
        <v>1505</v>
      </c>
      <c r="J164" s="17">
        <v>33432867</v>
      </c>
      <c r="K164" s="17" t="s">
        <v>1699</v>
      </c>
      <c r="L164" s="17" t="s">
        <v>1701</v>
      </c>
      <c r="M164" s="18">
        <v>249900</v>
      </c>
      <c r="N164" s="9">
        <v>0.9</v>
      </c>
      <c r="O164" s="8">
        <f t="shared" si="8"/>
        <v>24990</v>
      </c>
      <c r="P164" s="6" t="s">
        <v>15</v>
      </c>
    </row>
    <row r="165" spans="1:16" x14ac:dyDescent="0.25">
      <c r="A165" s="6" t="str">
        <f t="shared" si="9"/>
        <v>2020-2021 ALL D90</v>
      </c>
      <c r="B165" s="7">
        <f t="shared" si="10"/>
        <v>46114</v>
      </c>
      <c r="C165" s="7">
        <f t="shared" si="11"/>
        <v>46120</v>
      </c>
      <c r="D165" s="6">
        <v>3280</v>
      </c>
      <c r="E165" s="6">
        <v>337</v>
      </c>
      <c r="F165" s="6">
        <v>4</v>
      </c>
      <c r="G165" s="17">
        <v>1</v>
      </c>
      <c r="H165" s="17"/>
      <c r="I165" s="17" t="s">
        <v>1505</v>
      </c>
      <c r="J165" s="17">
        <v>33432876</v>
      </c>
      <c r="K165" s="17" t="s">
        <v>1699</v>
      </c>
      <c r="L165" s="17" t="s">
        <v>1702</v>
      </c>
      <c r="M165" s="18">
        <v>249900</v>
      </c>
      <c r="N165" s="9">
        <v>0.9</v>
      </c>
      <c r="O165" s="8">
        <f t="shared" si="8"/>
        <v>24990</v>
      </c>
      <c r="P165" s="6" t="s">
        <v>15</v>
      </c>
    </row>
    <row r="166" spans="1:16" x14ac:dyDescent="0.25">
      <c r="A166" s="6" t="str">
        <f t="shared" si="9"/>
        <v>2020-2021 ALL D90</v>
      </c>
      <c r="B166" s="7">
        <f t="shared" si="10"/>
        <v>46114</v>
      </c>
      <c r="C166" s="7">
        <f t="shared" si="11"/>
        <v>46120</v>
      </c>
      <c r="D166" s="6">
        <v>3280</v>
      </c>
      <c r="E166" s="6">
        <v>337</v>
      </c>
      <c r="F166" s="6">
        <v>4</v>
      </c>
      <c r="G166" s="17">
        <v>1</v>
      </c>
      <c r="H166" s="17"/>
      <c r="I166" s="17" t="s">
        <v>1505</v>
      </c>
      <c r="J166" s="17">
        <v>33432885</v>
      </c>
      <c r="K166" s="17" t="s">
        <v>1699</v>
      </c>
      <c r="L166" s="17" t="s">
        <v>1703</v>
      </c>
      <c r="M166" s="18">
        <v>259900</v>
      </c>
      <c r="N166" s="9">
        <v>0.9</v>
      </c>
      <c r="O166" s="8">
        <f t="shared" si="8"/>
        <v>25990</v>
      </c>
      <c r="P166" s="6" t="s">
        <v>15</v>
      </c>
    </row>
    <row r="167" spans="1:16" x14ac:dyDescent="0.25">
      <c r="A167" s="6" t="str">
        <f t="shared" si="9"/>
        <v>2020-2021 ALL D90</v>
      </c>
      <c r="B167" s="7">
        <f t="shared" si="10"/>
        <v>46114</v>
      </c>
      <c r="C167" s="7">
        <f t="shared" si="11"/>
        <v>46120</v>
      </c>
      <c r="D167" s="6">
        <v>3280</v>
      </c>
      <c r="E167" s="6">
        <v>337</v>
      </c>
      <c r="F167" s="6">
        <v>4</v>
      </c>
      <c r="G167" s="17">
        <v>1</v>
      </c>
      <c r="H167" s="17"/>
      <c r="I167" s="17" t="s">
        <v>1505</v>
      </c>
      <c r="J167" s="17">
        <v>33432894</v>
      </c>
      <c r="K167" s="17" t="s">
        <v>1699</v>
      </c>
      <c r="L167" s="17" t="s">
        <v>1704</v>
      </c>
      <c r="M167" s="18">
        <v>259900</v>
      </c>
      <c r="N167" s="9">
        <v>0.9</v>
      </c>
      <c r="O167" s="8">
        <f t="shared" si="8"/>
        <v>25990</v>
      </c>
      <c r="P167" s="6" t="s">
        <v>15</v>
      </c>
    </row>
    <row r="168" spans="1:16" x14ac:dyDescent="0.25">
      <c r="A168" s="6" t="str">
        <f t="shared" si="9"/>
        <v>2020-2021 ALL D90</v>
      </c>
      <c r="B168" s="7">
        <f t="shared" si="10"/>
        <v>46114</v>
      </c>
      <c r="C168" s="7">
        <f t="shared" si="11"/>
        <v>46120</v>
      </c>
      <c r="D168" s="6">
        <v>3280</v>
      </c>
      <c r="E168" s="6">
        <v>337</v>
      </c>
      <c r="F168" s="6">
        <v>4</v>
      </c>
      <c r="G168" s="17">
        <v>1</v>
      </c>
      <c r="H168" s="17"/>
      <c r="I168" s="17" t="s">
        <v>1505</v>
      </c>
      <c r="J168" s="17">
        <v>33432901</v>
      </c>
      <c r="K168" s="17" t="s">
        <v>1699</v>
      </c>
      <c r="L168" s="17" t="s">
        <v>1705</v>
      </c>
      <c r="M168" s="18">
        <v>259900</v>
      </c>
      <c r="N168" s="9">
        <v>0.9</v>
      </c>
      <c r="O168" s="8">
        <f t="shared" si="8"/>
        <v>25990</v>
      </c>
      <c r="P168" s="6" t="s">
        <v>15</v>
      </c>
    </row>
    <row r="169" spans="1:16" x14ac:dyDescent="0.25">
      <c r="A169" s="6" t="str">
        <f t="shared" si="9"/>
        <v>2020-2021 ALL D90</v>
      </c>
      <c r="B169" s="7">
        <f t="shared" si="10"/>
        <v>46114</v>
      </c>
      <c r="C169" s="7">
        <f t="shared" si="11"/>
        <v>46120</v>
      </c>
      <c r="D169" s="6">
        <v>3280</v>
      </c>
      <c r="E169" s="6">
        <v>337</v>
      </c>
      <c r="F169" s="6">
        <v>4</v>
      </c>
      <c r="G169" s="17">
        <v>1</v>
      </c>
      <c r="H169" s="17"/>
      <c r="I169" s="17" t="s">
        <v>1505</v>
      </c>
      <c r="J169" s="17">
        <v>38152437</v>
      </c>
      <c r="K169" s="17" t="s">
        <v>1706</v>
      </c>
      <c r="L169" s="17" t="s">
        <v>1707</v>
      </c>
      <c r="M169" s="18">
        <v>249900</v>
      </c>
      <c r="N169" s="9">
        <v>0.9</v>
      </c>
      <c r="O169" s="8">
        <f t="shared" si="8"/>
        <v>24990</v>
      </c>
      <c r="P169" s="6" t="s">
        <v>15</v>
      </c>
    </row>
    <row r="170" spans="1:16" x14ac:dyDescent="0.25">
      <c r="A170" s="6" t="str">
        <f t="shared" si="9"/>
        <v>2020-2021 ALL D90</v>
      </c>
      <c r="B170" s="7">
        <f t="shared" si="10"/>
        <v>46114</v>
      </c>
      <c r="C170" s="7">
        <f t="shared" si="11"/>
        <v>46120</v>
      </c>
      <c r="D170" s="6">
        <v>3280</v>
      </c>
      <c r="E170" s="6">
        <v>337</v>
      </c>
      <c r="F170" s="6">
        <v>4</v>
      </c>
      <c r="G170" s="17">
        <v>1</v>
      </c>
      <c r="H170" s="17"/>
      <c r="I170" s="17" t="s">
        <v>1505</v>
      </c>
      <c r="J170" s="17">
        <v>38152446</v>
      </c>
      <c r="K170" s="17" t="s">
        <v>1706</v>
      </c>
      <c r="L170" s="17" t="s">
        <v>1708</v>
      </c>
      <c r="M170" s="18">
        <v>249900</v>
      </c>
      <c r="N170" s="9">
        <v>0.9</v>
      </c>
      <c r="O170" s="8">
        <f t="shared" si="8"/>
        <v>24990</v>
      </c>
      <c r="P170" s="6" t="s">
        <v>15</v>
      </c>
    </row>
    <row r="171" spans="1:16" x14ac:dyDescent="0.25">
      <c r="A171" s="6" t="str">
        <f t="shared" si="9"/>
        <v>2020-2021 ALL D90</v>
      </c>
      <c r="B171" s="7">
        <f t="shared" si="10"/>
        <v>46114</v>
      </c>
      <c r="C171" s="7">
        <f t="shared" si="11"/>
        <v>46120</v>
      </c>
      <c r="D171" s="6">
        <v>3280</v>
      </c>
      <c r="E171" s="6">
        <v>337</v>
      </c>
      <c r="F171" s="6">
        <v>4</v>
      </c>
      <c r="G171" s="17">
        <v>1</v>
      </c>
      <c r="H171" s="17"/>
      <c r="I171" s="17" t="s">
        <v>1505</v>
      </c>
      <c r="J171" s="17">
        <v>38152455</v>
      </c>
      <c r="K171" s="17" t="s">
        <v>1706</v>
      </c>
      <c r="L171" s="17" t="s">
        <v>1709</v>
      </c>
      <c r="M171" s="18">
        <v>249900</v>
      </c>
      <c r="N171" s="9">
        <v>0.9</v>
      </c>
      <c r="O171" s="8">
        <f t="shared" si="8"/>
        <v>24990</v>
      </c>
      <c r="P171" s="6" t="s">
        <v>15</v>
      </c>
    </row>
    <row r="172" spans="1:16" x14ac:dyDescent="0.25">
      <c r="A172" s="6" t="str">
        <f t="shared" si="9"/>
        <v>2020-2021 ALL D90</v>
      </c>
      <c r="B172" s="7">
        <f t="shared" si="10"/>
        <v>46114</v>
      </c>
      <c r="C172" s="7">
        <f t="shared" si="11"/>
        <v>46120</v>
      </c>
      <c r="D172" s="6">
        <v>3280</v>
      </c>
      <c r="E172" s="6">
        <v>337</v>
      </c>
      <c r="F172" s="6">
        <v>4</v>
      </c>
      <c r="G172" s="17">
        <v>1</v>
      </c>
      <c r="H172" s="17"/>
      <c r="I172" s="17" t="s">
        <v>1505</v>
      </c>
      <c r="J172" s="17">
        <v>38152464</v>
      </c>
      <c r="K172" s="17" t="s">
        <v>1706</v>
      </c>
      <c r="L172" s="17" t="s">
        <v>1710</v>
      </c>
      <c r="M172" s="18">
        <v>259900</v>
      </c>
      <c r="N172" s="9">
        <v>0.9</v>
      </c>
      <c r="O172" s="8">
        <f t="shared" si="8"/>
        <v>25990</v>
      </c>
      <c r="P172" s="6" t="s">
        <v>15</v>
      </c>
    </row>
    <row r="173" spans="1:16" x14ac:dyDescent="0.25">
      <c r="A173" s="6" t="str">
        <f t="shared" si="9"/>
        <v>2020-2021 ALL D90</v>
      </c>
      <c r="B173" s="7">
        <f t="shared" si="10"/>
        <v>46114</v>
      </c>
      <c r="C173" s="7">
        <f t="shared" si="11"/>
        <v>46120</v>
      </c>
      <c r="D173" s="6">
        <v>3280</v>
      </c>
      <c r="E173" s="6">
        <v>337</v>
      </c>
      <c r="F173" s="6">
        <v>4</v>
      </c>
      <c r="G173" s="17">
        <v>1</v>
      </c>
      <c r="H173" s="17"/>
      <c r="I173" s="17" t="s">
        <v>1505</v>
      </c>
      <c r="J173" s="17">
        <v>38152473</v>
      </c>
      <c r="K173" s="17" t="s">
        <v>1706</v>
      </c>
      <c r="L173" s="17" t="s">
        <v>1711</v>
      </c>
      <c r="M173" s="18">
        <v>259900</v>
      </c>
      <c r="N173" s="9">
        <v>0.9</v>
      </c>
      <c r="O173" s="8">
        <f t="shared" si="8"/>
        <v>25990</v>
      </c>
      <c r="P173" s="6" t="s">
        <v>15</v>
      </c>
    </row>
    <row r="174" spans="1:16" x14ac:dyDescent="0.25">
      <c r="A174" s="6" t="str">
        <f t="shared" si="9"/>
        <v>2020-2021 ALL D90</v>
      </c>
      <c r="B174" s="7">
        <f t="shared" si="10"/>
        <v>46114</v>
      </c>
      <c r="C174" s="7">
        <f t="shared" si="11"/>
        <v>46120</v>
      </c>
      <c r="D174" s="6">
        <v>3280</v>
      </c>
      <c r="E174" s="6">
        <v>337</v>
      </c>
      <c r="F174" s="6">
        <v>4</v>
      </c>
      <c r="G174" s="17">
        <v>1</v>
      </c>
      <c r="H174" s="17"/>
      <c r="I174" s="17" t="s">
        <v>1505</v>
      </c>
      <c r="J174" s="17">
        <v>38152482</v>
      </c>
      <c r="K174" s="17" t="s">
        <v>1706</v>
      </c>
      <c r="L174" s="17" t="s">
        <v>1712</v>
      </c>
      <c r="M174" s="18">
        <v>259900</v>
      </c>
      <c r="N174" s="9">
        <v>0.9</v>
      </c>
      <c r="O174" s="8">
        <f t="shared" si="8"/>
        <v>25990</v>
      </c>
      <c r="P174" s="6" t="s">
        <v>15</v>
      </c>
    </row>
    <row r="175" spans="1:16" x14ac:dyDescent="0.25">
      <c r="A175" s="6" t="str">
        <f t="shared" si="9"/>
        <v>2020-2021 ALL D90</v>
      </c>
      <c r="B175" s="7">
        <f t="shared" si="10"/>
        <v>46114</v>
      </c>
      <c r="C175" s="7">
        <f t="shared" si="11"/>
        <v>46120</v>
      </c>
      <c r="D175" s="6">
        <v>3280</v>
      </c>
      <c r="E175" s="6">
        <v>337</v>
      </c>
      <c r="F175" s="6">
        <v>4</v>
      </c>
      <c r="G175" s="17">
        <v>1</v>
      </c>
      <c r="H175" s="17"/>
      <c r="I175" s="17" t="s">
        <v>1505</v>
      </c>
      <c r="J175" s="17">
        <v>45107428</v>
      </c>
      <c r="K175" s="17" t="s">
        <v>1713</v>
      </c>
      <c r="L175" s="17" t="s">
        <v>1714</v>
      </c>
      <c r="M175" s="18">
        <v>249900</v>
      </c>
      <c r="N175" s="9">
        <v>0.9</v>
      </c>
      <c r="O175" s="8">
        <f t="shared" si="8"/>
        <v>24990</v>
      </c>
      <c r="P175" s="6" t="s">
        <v>15</v>
      </c>
    </row>
    <row r="176" spans="1:16" x14ac:dyDescent="0.25">
      <c r="A176" s="6" t="str">
        <f t="shared" si="9"/>
        <v>2020-2021 ALL D90</v>
      </c>
      <c r="B176" s="7">
        <f t="shared" si="10"/>
        <v>46114</v>
      </c>
      <c r="C176" s="7">
        <f t="shared" si="11"/>
        <v>46120</v>
      </c>
      <c r="D176" s="6">
        <v>3280</v>
      </c>
      <c r="E176" s="6">
        <v>337</v>
      </c>
      <c r="F176" s="6">
        <v>4</v>
      </c>
      <c r="G176" s="17">
        <v>1</v>
      </c>
      <c r="H176" s="17"/>
      <c r="I176" s="17" t="s">
        <v>1505</v>
      </c>
      <c r="J176" s="17">
        <v>45107437</v>
      </c>
      <c r="K176" s="17" t="s">
        <v>1713</v>
      </c>
      <c r="L176" s="17" t="s">
        <v>1715</v>
      </c>
      <c r="M176" s="18">
        <v>249900</v>
      </c>
      <c r="N176" s="9">
        <v>0.9</v>
      </c>
      <c r="O176" s="8">
        <f t="shared" si="8"/>
        <v>24990</v>
      </c>
      <c r="P176" s="6" t="s">
        <v>15</v>
      </c>
    </row>
    <row r="177" spans="1:16" x14ac:dyDescent="0.25">
      <c r="A177" s="6" t="str">
        <f t="shared" si="9"/>
        <v>2020-2021 ALL D90</v>
      </c>
      <c r="B177" s="7">
        <f t="shared" si="10"/>
        <v>46114</v>
      </c>
      <c r="C177" s="7">
        <f t="shared" si="11"/>
        <v>46120</v>
      </c>
      <c r="D177" s="6">
        <v>3280</v>
      </c>
      <c r="E177" s="6">
        <v>337</v>
      </c>
      <c r="F177" s="6">
        <v>4</v>
      </c>
      <c r="G177" s="17">
        <v>1</v>
      </c>
      <c r="H177" s="17"/>
      <c r="I177" s="17" t="s">
        <v>1505</v>
      </c>
      <c r="J177" s="17">
        <v>45107446</v>
      </c>
      <c r="K177" s="17" t="s">
        <v>1713</v>
      </c>
      <c r="L177" s="17" t="s">
        <v>1716</v>
      </c>
      <c r="M177" s="18">
        <v>249900</v>
      </c>
      <c r="N177" s="9">
        <v>0.9</v>
      </c>
      <c r="O177" s="8">
        <f t="shared" si="8"/>
        <v>24990</v>
      </c>
      <c r="P177" s="6" t="s">
        <v>15</v>
      </c>
    </row>
    <row r="178" spans="1:16" x14ac:dyDescent="0.25">
      <c r="A178" s="6" t="str">
        <f t="shared" si="9"/>
        <v>2020-2021 ALL D90</v>
      </c>
      <c r="B178" s="7">
        <f t="shared" si="10"/>
        <v>46114</v>
      </c>
      <c r="C178" s="7">
        <f t="shared" si="11"/>
        <v>46120</v>
      </c>
      <c r="D178" s="6">
        <v>3280</v>
      </c>
      <c r="E178" s="6">
        <v>337</v>
      </c>
      <c r="F178" s="6">
        <v>4</v>
      </c>
      <c r="G178" s="17">
        <v>1</v>
      </c>
      <c r="H178" s="17"/>
      <c r="I178" s="17" t="s">
        <v>1505</v>
      </c>
      <c r="J178" s="17">
        <v>45107455</v>
      </c>
      <c r="K178" s="17" t="s">
        <v>1713</v>
      </c>
      <c r="L178" s="17" t="s">
        <v>1717</v>
      </c>
      <c r="M178" s="18">
        <v>259900</v>
      </c>
      <c r="N178" s="9">
        <v>0.9</v>
      </c>
      <c r="O178" s="8">
        <f t="shared" si="8"/>
        <v>25990</v>
      </c>
      <c r="P178" s="6" t="s">
        <v>15</v>
      </c>
    </row>
    <row r="179" spans="1:16" x14ac:dyDescent="0.25">
      <c r="A179" s="6" t="str">
        <f t="shared" si="9"/>
        <v>2020-2021 ALL D90</v>
      </c>
      <c r="B179" s="7">
        <f t="shared" si="10"/>
        <v>46114</v>
      </c>
      <c r="C179" s="7">
        <f t="shared" si="11"/>
        <v>46120</v>
      </c>
      <c r="D179" s="6">
        <v>3280</v>
      </c>
      <c r="E179" s="6">
        <v>337</v>
      </c>
      <c r="F179" s="6">
        <v>4</v>
      </c>
      <c r="G179" s="17">
        <v>1</v>
      </c>
      <c r="H179" s="17"/>
      <c r="I179" s="17" t="s">
        <v>1505</v>
      </c>
      <c r="J179" s="17">
        <v>45107464</v>
      </c>
      <c r="K179" s="17" t="s">
        <v>1713</v>
      </c>
      <c r="L179" s="17" t="s">
        <v>1718</v>
      </c>
      <c r="M179" s="18">
        <v>259900</v>
      </c>
      <c r="N179" s="9">
        <v>0.9</v>
      </c>
      <c r="O179" s="8">
        <f t="shared" si="8"/>
        <v>25990</v>
      </c>
      <c r="P179" s="6" t="s">
        <v>15</v>
      </c>
    </row>
    <row r="180" spans="1:16" x14ac:dyDescent="0.25">
      <c r="A180" s="6" t="str">
        <f t="shared" si="9"/>
        <v>2020-2021 ALL D90</v>
      </c>
      <c r="B180" s="7">
        <f t="shared" si="10"/>
        <v>46114</v>
      </c>
      <c r="C180" s="7">
        <f t="shared" si="11"/>
        <v>46120</v>
      </c>
      <c r="D180" s="6">
        <v>3280</v>
      </c>
      <c r="E180" s="6">
        <v>337</v>
      </c>
      <c r="F180" s="6">
        <v>4</v>
      </c>
      <c r="G180" s="17">
        <v>1</v>
      </c>
      <c r="H180" s="17"/>
      <c r="I180" s="17" t="s">
        <v>1505</v>
      </c>
      <c r="J180" s="17">
        <v>45107473</v>
      </c>
      <c r="K180" s="17" t="s">
        <v>1713</v>
      </c>
      <c r="L180" s="17" t="s">
        <v>1719</v>
      </c>
      <c r="M180" s="18">
        <v>259900</v>
      </c>
      <c r="N180" s="9">
        <v>0.9</v>
      </c>
      <c r="O180" s="8">
        <f t="shared" si="8"/>
        <v>25990</v>
      </c>
      <c r="P180" s="6" t="s">
        <v>15</v>
      </c>
    </row>
    <row r="181" spans="1:16" x14ac:dyDescent="0.25">
      <c r="A181" s="6" t="str">
        <f t="shared" si="9"/>
        <v>2020-2021 ALL D90</v>
      </c>
      <c r="B181" s="7">
        <f t="shared" si="10"/>
        <v>46114</v>
      </c>
      <c r="C181" s="7">
        <f t="shared" si="11"/>
        <v>46120</v>
      </c>
      <c r="D181" s="6">
        <v>3280</v>
      </c>
      <c r="E181" s="6">
        <v>337</v>
      </c>
      <c r="F181" s="6">
        <v>4</v>
      </c>
      <c r="G181" s="17">
        <v>1</v>
      </c>
      <c r="H181" s="17"/>
      <c r="I181" s="17" t="s">
        <v>1505</v>
      </c>
      <c r="J181" s="17">
        <v>26503124</v>
      </c>
      <c r="K181" s="17" t="s">
        <v>1331</v>
      </c>
      <c r="L181" s="17" t="s">
        <v>1338</v>
      </c>
      <c r="M181" s="18">
        <v>199900</v>
      </c>
      <c r="N181" s="9">
        <v>0.9</v>
      </c>
      <c r="O181" s="8">
        <f t="shared" si="8"/>
        <v>19990</v>
      </c>
      <c r="P181" s="6" t="s">
        <v>15</v>
      </c>
    </row>
    <row r="182" spans="1:16" x14ac:dyDescent="0.25">
      <c r="A182" s="6" t="str">
        <f t="shared" si="9"/>
        <v>2020-2021 ALL D90</v>
      </c>
      <c r="B182" s="7">
        <f t="shared" si="10"/>
        <v>46114</v>
      </c>
      <c r="C182" s="7">
        <f t="shared" si="11"/>
        <v>46120</v>
      </c>
      <c r="D182" s="6">
        <v>3280</v>
      </c>
      <c r="E182" s="6">
        <v>337</v>
      </c>
      <c r="F182" s="6">
        <v>4</v>
      </c>
      <c r="G182" s="17">
        <v>1</v>
      </c>
      <c r="H182" s="17"/>
      <c r="I182" s="17" t="s">
        <v>1505</v>
      </c>
      <c r="J182" s="17">
        <v>26503133</v>
      </c>
      <c r="K182" s="17" t="s">
        <v>1331</v>
      </c>
      <c r="L182" s="17" t="s">
        <v>1337</v>
      </c>
      <c r="M182" s="18">
        <v>199900</v>
      </c>
      <c r="N182" s="9">
        <v>0.9</v>
      </c>
      <c r="O182" s="8">
        <f t="shared" si="8"/>
        <v>19990</v>
      </c>
      <c r="P182" s="6" t="s">
        <v>15</v>
      </c>
    </row>
    <row r="183" spans="1:16" x14ac:dyDescent="0.25">
      <c r="A183" s="6" t="str">
        <f t="shared" si="9"/>
        <v>2020-2021 ALL D90</v>
      </c>
      <c r="B183" s="7">
        <f t="shared" si="10"/>
        <v>46114</v>
      </c>
      <c r="C183" s="7">
        <f t="shared" si="11"/>
        <v>46120</v>
      </c>
      <c r="D183" s="6">
        <v>3280</v>
      </c>
      <c r="E183" s="6">
        <v>337</v>
      </c>
      <c r="F183" s="6">
        <v>4</v>
      </c>
      <c r="G183" s="17">
        <v>1</v>
      </c>
      <c r="H183" s="17"/>
      <c r="I183" s="17" t="s">
        <v>1505</v>
      </c>
      <c r="J183" s="17">
        <v>26503142</v>
      </c>
      <c r="K183" s="17" t="s">
        <v>1331</v>
      </c>
      <c r="L183" s="17" t="s">
        <v>1341</v>
      </c>
      <c r="M183" s="18">
        <v>199900</v>
      </c>
      <c r="N183" s="9">
        <v>0.9</v>
      </c>
      <c r="O183" s="8">
        <f t="shared" si="8"/>
        <v>19990</v>
      </c>
      <c r="P183" s="6" t="s">
        <v>15</v>
      </c>
    </row>
    <row r="184" spans="1:16" x14ac:dyDescent="0.25">
      <c r="A184" s="6" t="str">
        <f t="shared" si="9"/>
        <v>2020-2021 ALL D90</v>
      </c>
      <c r="B184" s="7">
        <f t="shared" si="10"/>
        <v>46114</v>
      </c>
      <c r="C184" s="7">
        <f t="shared" si="11"/>
        <v>46120</v>
      </c>
      <c r="D184" s="6">
        <v>3280</v>
      </c>
      <c r="E184" s="6">
        <v>337</v>
      </c>
      <c r="F184" s="6">
        <v>4</v>
      </c>
      <c r="G184" s="17">
        <v>1</v>
      </c>
      <c r="H184" s="17"/>
      <c r="I184" s="17" t="s">
        <v>1505</v>
      </c>
      <c r="J184" s="17">
        <v>26503151</v>
      </c>
      <c r="K184" s="17" t="s">
        <v>1331</v>
      </c>
      <c r="L184" s="17" t="s">
        <v>1339</v>
      </c>
      <c r="M184" s="18">
        <v>209900</v>
      </c>
      <c r="N184" s="9">
        <v>0.9</v>
      </c>
      <c r="O184" s="8">
        <f t="shared" si="8"/>
        <v>20990</v>
      </c>
      <c r="P184" s="6" t="s">
        <v>15</v>
      </c>
    </row>
    <row r="185" spans="1:16" x14ac:dyDescent="0.25">
      <c r="A185" s="6" t="str">
        <f t="shared" si="9"/>
        <v>2020-2021 ALL D90</v>
      </c>
      <c r="B185" s="7">
        <f t="shared" si="10"/>
        <v>46114</v>
      </c>
      <c r="C185" s="7">
        <f t="shared" si="11"/>
        <v>46120</v>
      </c>
      <c r="D185" s="6">
        <v>3280</v>
      </c>
      <c r="E185" s="6">
        <v>337</v>
      </c>
      <c r="F185" s="6">
        <v>4</v>
      </c>
      <c r="G185" s="17">
        <v>1</v>
      </c>
      <c r="H185" s="17"/>
      <c r="I185" s="17" t="s">
        <v>1505</v>
      </c>
      <c r="J185" s="17">
        <v>26503160</v>
      </c>
      <c r="K185" s="17" t="s">
        <v>1331</v>
      </c>
      <c r="L185" s="17" t="s">
        <v>1332</v>
      </c>
      <c r="M185" s="18">
        <v>209900</v>
      </c>
      <c r="N185" s="9">
        <v>0.9</v>
      </c>
      <c r="O185" s="8">
        <f t="shared" si="8"/>
        <v>20990</v>
      </c>
      <c r="P185" s="6" t="s">
        <v>15</v>
      </c>
    </row>
    <row r="186" spans="1:16" x14ac:dyDescent="0.25">
      <c r="A186" s="6" t="str">
        <f t="shared" si="9"/>
        <v>2020-2021 ALL D90</v>
      </c>
      <c r="B186" s="7">
        <f t="shared" si="10"/>
        <v>46114</v>
      </c>
      <c r="C186" s="7">
        <f t="shared" si="11"/>
        <v>46120</v>
      </c>
      <c r="D186" s="6">
        <v>3280</v>
      </c>
      <c r="E186" s="6">
        <v>337</v>
      </c>
      <c r="F186" s="6">
        <v>4</v>
      </c>
      <c r="G186" s="17">
        <v>1</v>
      </c>
      <c r="H186" s="17"/>
      <c r="I186" s="17" t="s">
        <v>1505</v>
      </c>
      <c r="J186" s="17">
        <v>26503179</v>
      </c>
      <c r="K186" s="17" t="s">
        <v>1331</v>
      </c>
      <c r="L186" s="17" t="s">
        <v>1334</v>
      </c>
      <c r="M186" s="18">
        <v>209900</v>
      </c>
      <c r="N186" s="9">
        <v>0.9</v>
      </c>
      <c r="O186" s="8">
        <f t="shared" si="8"/>
        <v>20990</v>
      </c>
      <c r="P186" s="6" t="s">
        <v>15</v>
      </c>
    </row>
    <row r="187" spans="1:16" x14ac:dyDescent="0.25">
      <c r="A187" s="6" t="str">
        <f t="shared" si="9"/>
        <v>2020-2021 ALL D90</v>
      </c>
      <c r="B187" s="7">
        <f t="shared" si="10"/>
        <v>46114</v>
      </c>
      <c r="C187" s="7">
        <f t="shared" si="11"/>
        <v>46120</v>
      </c>
      <c r="D187" s="6">
        <v>3280</v>
      </c>
      <c r="E187" s="6">
        <v>337</v>
      </c>
      <c r="F187" s="6">
        <v>4</v>
      </c>
      <c r="G187" s="17">
        <v>1</v>
      </c>
      <c r="H187" s="17"/>
      <c r="I187" s="17" t="s">
        <v>1505</v>
      </c>
      <c r="J187" s="17">
        <v>26649772</v>
      </c>
      <c r="K187" s="17" t="s">
        <v>1720</v>
      </c>
      <c r="L187" s="17" t="s">
        <v>1721</v>
      </c>
      <c r="M187" s="18">
        <v>229900</v>
      </c>
      <c r="N187" s="9">
        <v>0.9</v>
      </c>
      <c r="O187" s="8">
        <f t="shared" si="8"/>
        <v>22990</v>
      </c>
      <c r="P187" s="6" t="s">
        <v>15</v>
      </c>
    </row>
    <row r="188" spans="1:16" x14ac:dyDescent="0.25">
      <c r="A188" s="6" t="str">
        <f t="shared" si="9"/>
        <v>2020-2021 ALL D90</v>
      </c>
      <c r="B188" s="7">
        <f t="shared" si="10"/>
        <v>46114</v>
      </c>
      <c r="C188" s="7">
        <f t="shared" si="11"/>
        <v>46120</v>
      </c>
      <c r="D188" s="6">
        <v>3280</v>
      </c>
      <c r="E188" s="6">
        <v>337</v>
      </c>
      <c r="F188" s="6">
        <v>4</v>
      </c>
      <c r="G188" s="17">
        <v>1</v>
      </c>
      <c r="H188" s="17"/>
      <c r="I188" s="17" t="s">
        <v>1505</v>
      </c>
      <c r="J188" s="17">
        <v>26649781</v>
      </c>
      <c r="K188" s="17" t="s">
        <v>1720</v>
      </c>
      <c r="L188" s="17" t="s">
        <v>1722</v>
      </c>
      <c r="M188" s="18">
        <v>229900</v>
      </c>
      <c r="N188" s="9">
        <v>0.9</v>
      </c>
      <c r="O188" s="8">
        <f t="shared" si="8"/>
        <v>22990</v>
      </c>
      <c r="P188" s="6" t="s">
        <v>15</v>
      </c>
    </row>
    <row r="189" spans="1:16" x14ac:dyDescent="0.25">
      <c r="A189" s="6" t="str">
        <f t="shared" si="9"/>
        <v>2020-2021 ALL D90</v>
      </c>
      <c r="B189" s="7">
        <f t="shared" si="10"/>
        <v>46114</v>
      </c>
      <c r="C189" s="7">
        <f t="shared" si="11"/>
        <v>46120</v>
      </c>
      <c r="D189" s="6">
        <v>3280</v>
      </c>
      <c r="E189" s="6">
        <v>337</v>
      </c>
      <c r="F189" s="6">
        <v>4</v>
      </c>
      <c r="G189" s="17">
        <v>1</v>
      </c>
      <c r="H189" s="17"/>
      <c r="I189" s="17" t="s">
        <v>1505</v>
      </c>
      <c r="J189" s="17">
        <v>26649790</v>
      </c>
      <c r="K189" s="17" t="s">
        <v>1720</v>
      </c>
      <c r="L189" s="17" t="s">
        <v>1723</v>
      </c>
      <c r="M189" s="18">
        <v>229900</v>
      </c>
      <c r="N189" s="9">
        <v>0.9</v>
      </c>
      <c r="O189" s="8">
        <f t="shared" si="8"/>
        <v>22990</v>
      </c>
      <c r="P189" s="6" t="s">
        <v>15</v>
      </c>
    </row>
    <row r="190" spans="1:16" x14ac:dyDescent="0.25">
      <c r="A190" s="6" t="str">
        <f t="shared" si="9"/>
        <v>2020-2021 ALL D90</v>
      </c>
      <c r="B190" s="7">
        <f t="shared" si="10"/>
        <v>46114</v>
      </c>
      <c r="C190" s="7">
        <f t="shared" si="11"/>
        <v>46120</v>
      </c>
      <c r="D190" s="6">
        <v>3280</v>
      </c>
      <c r="E190" s="6">
        <v>337</v>
      </c>
      <c r="F190" s="6">
        <v>4</v>
      </c>
      <c r="G190" s="17">
        <v>1</v>
      </c>
      <c r="H190" s="17"/>
      <c r="I190" s="17" t="s">
        <v>1505</v>
      </c>
      <c r="J190" s="17">
        <v>26649807</v>
      </c>
      <c r="K190" s="17" t="s">
        <v>1720</v>
      </c>
      <c r="L190" s="17" t="s">
        <v>1724</v>
      </c>
      <c r="M190" s="18">
        <v>219900</v>
      </c>
      <c r="N190" s="9">
        <v>0.9</v>
      </c>
      <c r="O190" s="8">
        <f t="shared" si="8"/>
        <v>21990</v>
      </c>
      <c r="P190" s="6" t="s">
        <v>15</v>
      </c>
    </row>
    <row r="191" spans="1:16" x14ac:dyDescent="0.25">
      <c r="A191" s="6" t="str">
        <f t="shared" si="9"/>
        <v>2020-2021 ALL D90</v>
      </c>
      <c r="B191" s="7">
        <f t="shared" si="10"/>
        <v>46114</v>
      </c>
      <c r="C191" s="7">
        <f t="shared" si="11"/>
        <v>46120</v>
      </c>
      <c r="D191" s="6">
        <v>3280</v>
      </c>
      <c r="E191" s="6">
        <v>337</v>
      </c>
      <c r="F191" s="6">
        <v>4</v>
      </c>
      <c r="G191" s="17">
        <v>1</v>
      </c>
      <c r="H191" s="17"/>
      <c r="I191" s="17" t="s">
        <v>1505</v>
      </c>
      <c r="J191" s="17">
        <v>26649816</v>
      </c>
      <c r="K191" s="17" t="s">
        <v>1720</v>
      </c>
      <c r="L191" s="17" t="s">
        <v>1725</v>
      </c>
      <c r="M191" s="18">
        <v>219900</v>
      </c>
      <c r="N191" s="9">
        <v>0.9</v>
      </c>
      <c r="O191" s="8">
        <f t="shared" si="8"/>
        <v>21990</v>
      </c>
      <c r="P191" s="6" t="s">
        <v>15</v>
      </c>
    </row>
    <row r="192" spans="1:16" x14ac:dyDescent="0.25">
      <c r="A192" s="6" t="str">
        <f t="shared" si="9"/>
        <v>2020-2021 ALL D90</v>
      </c>
      <c r="B192" s="7">
        <f t="shared" si="10"/>
        <v>46114</v>
      </c>
      <c r="C192" s="7">
        <f t="shared" si="11"/>
        <v>46120</v>
      </c>
      <c r="D192" s="6">
        <v>3280</v>
      </c>
      <c r="E192" s="6">
        <v>337</v>
      </c>
      <c r="F192" s="6">
        <v>4</v>
      </c>
      <c r="G192" s="17">
        <v>1</v>
      </c>
      <c r="H192" s="17"/>
      <c r="I192" s="17" t="s">
        <v>1505</v>
      </c>
      <c r="J192" s="17">
        <v>26649825</v>
      </c>
      <c r="K192" s="17" t="s">
        <v>1720</v>
      </c>
      <c r="L192" s="17" t="s">
        <v>1726</v>
      </c>
      <c r="M192" s="18">
        <v>219900</v>
      </c>
      <c r="N192" s="9">
        <v>0.9</v>
      </c>
      <c r="O192" s="8">
        <f t="shared" si="8"/>
        <v>21990</v>
      </c>
      <c r="P192" s="6" t="s">
        <v>15</v>
      </c>
    </row>
    <row r="193" spans="1:16" x14ac:dyDescent="0.25">
      <c r="A193" s="6" t="str">
        <f t="shared" si="9"/>
        <v>2020-2021 ALL D90</v>
      </c>
      <c r="B193" s="7">
        <f t="shared" si="10"/>
        <v>46114</v>
      </c>
      <c r="C193" s="7">
        <f t="shared" si="11"/>
        <v>46120</v>
      </c>
      <c r="D193" s="6">
        <v>3280</v>
      </c>
      <c r="E193" s="6">
        <v>337</v>
      </c>
      <c r="F193" s="6">
        <v>4</v>
      </c>
      <c r="G193" s="17">
        <v>1</v>
      </c>
      <c r="H193" s="17"/>
      <c r="I193" s="17" t="s">
        <v>1505</v>
      </c>
      <c r="J193" s="17">
        <v>26708903</v>
      </c>
      <c r="K193" s="17" t="s">
        <v>1727</v>
      </c>
      <c r="L193" s="17" t="s">
        <v>1728</v>
      </c>
      <c r="M193" s="18">
        <v>229900</v>
      </c>
      <c r="N193" s="9">
        <v>0.9</v>
      </c>
      <c r="O193" s="8">
        <f t="shared" si="8"/>
        <v>22990</v>
      </c>
      <c r="P193" s="6" t="s">
        <v>15</v>
      </c>
    </row>
    <row r="194" spans="1:16" x14ac:dyDescent="0.25">
      <c r="A194" s="6" t="str">
        <f t="shared" si="9"/>
        <v>2020-2021 ALL D90</v>
      </c>
      <c r="B194" s="7">
        <f t="shared" si="10"/>
        <v>46114</v>
      </c>
      <c r="C194" s="7">
        <f t="shared" si="11"/>
        <v>46120</v>
      </c>
      <c r="D194" s="6">
        <v>3280</v>
      </c>
      <c r="E194" s="6">
        <v>337</v>
      </c>
      <c r="F194" s="6">
        <v>4</v>
      </c>
      <c r="G194" s="17">
        <v>1</v>
      </c>
      <c r="H194" s="17"/>
      <c r="I194" s="17" t="s">
        <v>1505</v>
      </c>
      <c r="J194" s="17">
        <v>26708912</v>
      </c>
      <c r="K194" s="17" t="s">
        <v>1727</v>
      </c>
      <c r="L194" s="17" t="s">
        <v>1729</v>
      </c>
      <c r="M194" s="18">
        <v>229900</v>
      </c>
      <c r="N194" s="9">
        <v>0.9</v>
      </c>
      <c r="O194" s="8">
        <f t="shared" si="8"/>
        <v>22990</v>
      </c>
      <c r="P194" s="6" t="s">
        <v>15</v>
      </c>
    </row>
    <row r="195" spans="1:16" x14ac:dyDescent="0.25">
      <c r="A195" s="6" t="str">
        <f t="shared" si="9"/>
        <v>2020-2021 ALL D90</v>
      </c>
      <c r="B195" s="7">
        <f t="shared" si="10"/>
        <v>46114</v>
      </c>
      <c r="C195" s="7">
        <f t="shared" si="11"/>
        <v>46120</v>
      </c>
      <c r="D195" s="6">
        <v>3280</v>
      </c>
      <c r="E195" s="6">
        <v>337</v>
      </c>
      <c r="F195" s="6">
        <v>4</v>
      </c>
      <c r="G195" s="17">
        <v>1</v>
      </c>
      <c r="H195" s="17"/>
      <c r="I195" s="17" t="s">
        <v>1505</v>
      </c>
      <c r="J195" s="17">
        <v>26708921</v>
      </c>
      <c r="K195" s="17" t="s">
        <v>1727</v>
      </c>
      <c r="L195" s="17" t="s">
        <v>1730</v>
      </c>
      <c r="M195" s="18">
        <v>229900</v>
      </c>
      <c r="N195" s="9">
        <v>0.9</v>
      </c>
      <c r="O195" s="8">
        <f t="shared" ref="O195:O258" si="12">M195-((90*M195)/100)</f>
        <v>22990</v>
      </c>
      <c r="P195" s="6" t="s">
        <v>15</v>
      </c>
    </row>
    <row r="196" spans="1:16" x14ac:dyDescent="0.25">
      <c r="A196" s="6" t="str">
        <f t="shared" ref="A196:A259" si="13">A195</f>
        <v>2020-2021 ALL D90</v>
      </c>
      <c r="B196" s="7">
        <f t="shared" ref="B196:B259" si="14">B195</f>
        <v>46114</v>
      </c>
      <c r="C196" s="7">
        <f t="shared" ref="C196:C259" si="15">C195</f>
        <v>46120</v>
      </c>
      <c r="D196" s="6">
        <v>3280</v>
      </c>
      <c r="E196" s="6">
        <v>337</v>
      </c>
      <c r="F196" s="6">
        <v>4</v>
      </c>
      <c r="G196" s="17">
        <v>1</v>
      </c>
      <c r="H196" s="17"/>
      <c r="I196" s="17" t="s">
        <v>1505</v>
      </c>
      <c r="J196" s="17">
        <v>26708930</v>
      </c>
      <c r="K196" s="17" t="s">
        <v>1727</v>
      </c>
      <c r="L196" s="17" t="s">
        <v>1731</v>
      </c>
      <c r="M196" s="18">
        <v>239900</v>
      </c>
      <c r="N196" s="9">
        <v>0.9</v>
      </c>
      <c r="O196" s="8">
        <f t="shared" si="12"/>
        <v>23990</v>
      </c>
      <c r="P196" s="6" t="s">
        <v>15</v>
      </c>
    </row>
    <row r="197" spans="1:16" x14ac:dyDescent="0.25">
      <c r="A197" s="6" t="str">
        <f t="shared" si="13"/>
        <v>2020-2021 ALL D90</v>
      </c>
      <c r="B197" s="7">
        <f t="shared" si="14"/>
        <v>46114</v>
      </c>
      <c r="C197" s="7">
        <f t="shared" si="15"/>
        <v>46120</v>
      </c>
      <c r="D197" s="6">
        <v>3280</v>
      </c>
      <c r="E197" s="6">
        <v>337</v>
      </c>
      <c r="F197" s="6">
        <v>4</v>
      </c>
      <c r="G197" s="17">
        <v>1</v>
      </c>
      <c r="H197" s="17"/>
      <c r="I197" s="17" t="s">
        <v>1505</v>
      </c>
      <c r="J197" s="17">
        <v>26708949</v>
      </c>
      <c r="K197" s="17" t="s">
        <v>1727</v>
      </c>
      <c r="L197" s="17" t="s">
        <v>1732</v>
      </c>
      <c r="M197" s="18">
        <v>239900</v>
      </c>
      <c r="N197" s="9">
        <v>0.9</v>
      </c>
      <c r="O197" s="8">
        <f t="shared" si="12"/>
        <v>23990</v>
      </c>
      <c r="P197" s="6" t="s">
        <v>15</v>
      </c>
    </row>
    <row r="198" spans="1:16" x14ac:dyDescent="0.25">
      <c r="A198" s="6" t="str">
        <f t="shared" si="13"/>
        <v>2020-2021 ALL D90</v>
      </c>
      <c r="B198" s="7">
        <f t="shared" si="14"/>
        <v>46114</v>
      </c>
      <c r="C198" s="7">
        <f t="shared" si="15"/>
        <v>46120</v>
      </c>
      <c r="D198" s="6">
        <v>3280</v>
      </c>
      <c r="E198" s="6">
        <v>337</v>
      </c>
      <c r="F198" s="6">
        <v>4</v>
      </c>
      <c r="G198" s="17">
        <v>1</v>
      </c>
      <c r="H198" s="17"/>
      <c r="I198" s="17" t="s">
        <v>1505</v>
      </c>
      <c r="J198" s="17">
        <v>26708958</v>
      </c>
      <c r="K198" s="17" t="s">
        <v>1727</v>
      </c>
      <c r="L198" s="17" t="s">
        <v>1733</v>
      </c>
      <c r="M198" s="18">
        <v>239900</v>
      </c>
      <c r="N198" s="9">
        <v>0.9</v>
      </c>
      <c r="O198" s="8">
        <f t="shared" si="12"/>
        <v>23990</v>
      </c>
      <c r="P198" s="6" t="s">
        <v>15</v>
      </c>
    </row>
    <row r="199" spans="1:16" x14ac:dyDescent="0.25">
      <c r="A199" s="6" t="str">
        <f t="shared" si="13"/>
        <v>2020-2021 ALL D90</v>
      </c>
      <c r="B199" s="7">
        <f t="shared" si="14"/>
        <v>46114</v>
      </c>
      <c r="C199" s="7">
        <f t="shared" si="15"/>
        <v>46120</v>
      </c>
      <c r="D199" s="6">
        <v>3280</v>
      </c>
      <c r="E199" s="6">
        <v>337</v>
      </c>
      <c r="F199" s="6">
        <v>4</v>
      </c>
      <c r="G199" s="17">
        <v>1</v>
      </c>
      <c r="H199" s="17"/>
      <c r="I199" s="17" t="s">
        <v>1505</v>
      </c>
      <c r="J199" s="17">
        <v>26709260</v>
      </c>
      <c r="K199" s="17" t="s">
        <v>1734</v>
      </c>
      <c r="L199" s="17" t="s">
        <v>1735</v>
      </c>
      <c r="M199" s="18">
        <v>229900</v>
      </c>
      <c r="N199" s="9">
        <v>0.9</v>
      </c>
      <c r="O199" s="8">
        <f t="shared" si="12"/>
        <v>22990</v>
      </c>
      <c r="P199" s="6" t="s">
        <v>15</v>
      </c>
    </row>
    <row r="200" spans="1:16" x14ac:dyDescent="0.25">
      <c r="A200" s="6" t="str">
        <f t="shared" si="13"/>
        <v>2020-2021 ALL D90</v>
      </c>
      <c r="B200" s="7">
        <f t="shared" si="14"/>
        <v>46114</v>
      </c>
      <c r="C200" s="7">
        <f t="shared" si="15"/>
        <v>46120</v>
      </c>
      <c r="D200" s="6">
        <v>3280</v>
      </c>
      <c r="E200" s="6">
        <v>337</v>
      </c>
      <c r="F200" s="6">
        <v>4</v>
      </c>
      <c r="G200" s="17">
        <v>1</v>
      </c>
      <c r="H200" s="17"/>
      <c r="I200" s="17" t="s">
        <v>1505</v>
      </c>
      <c r="J200" s="17">
        <v>26709279</v>
      </c>
      <c r="K200" s="17" t="s">
        <v>1734</v>
      </c>
      <c r="L200" s="17" t="s">
        <v>1736</v>
      </c>
      <c r="M200" s="18">
        <v>229900</v>
      </c>
      <c r="N200" s="9">
        <v>0.9</v>
      </c>
      <c r="O200" s="8">
        <f t="shared" si="12"/>
        <v>22990</v>
      </c>
      <c r="P200" s="6" t="s">
        <v>15</v>
      </c>
    </row>
    <row r="201" spans="1:16" x14ac:dyDescent="0.25">
      <c r="A201" s="6" t="str">
        <f t="shared" si="13"/>
        <v>2020-2021 ALL D90</v>
      </c>
      <c r="B201" s="7">
        <f t="shared" si="14"/>
        <v>46114</v>
      </c>
      <c r="C201" s="7">
        <f t="shared" si="15"/>
        <v>46120</v>
      </c>
      <c r="D201" s="6">
        <v>3280</v>
      </c>
      <c r="E201" s="6">
        <v>337</v>
      </c>
      <c r="F201" s="6">
        <v>4</v>
      </c>
      <c r="G201" s="17">
        <v>1</v>
      </c>
      <c r="H201" s="17"/>
      <c r="I201" s="17" t="s">
        <v>1505</v>
      </c>
      <c r="J201" s="17">
        <v>26709288</v>
      </c>
      <c r="K201" s="17" t="s">
        <v>1734</v>
      </c>
      <c r="L201" s="17" t="s">
        <v>1737</v>
      </c>
      <c r="M201" s="18">
        <v>229900</v>
      </c>
      <c r="N201" s="9">
        <v>0.9</v>
      </c>
      <c r="O201" s="8">
        <f t="shared" si="12"/>
        <v>22990</v>
      </c>
      <c r="P201" s="6" t="s">
        <v>15</v>
      </c>
    </row>
    <row r="202" spans="1:16" x14ac:dyDescent="0.25">
      <c r="A202" s="6" t="str">
        <f t="shared" si="13"/>
        <v>2020-2021 ALL D90</v>
      </c>
      <c r="B202" s="7">
        <f t="shared" si="14"/>
        <v>46114</v>
      </c>
      <c r="C202" s="7">
        <f t="shared" si="15"/>
        <v>46120</v>
      </c>
      <c r="D202" s="6">
        <v>3280</v>
      </c>
      <c r="E202" s="6">
        <v>337</v>
      </c>
      <c r="F202" s="6">
        <v>4</v>
      </c>
      <c r="G202" s="17">
        <v>1</v>
      </c>
      <c r="H202" s="17"/>
      <c r="I202" s="17" t="s">
        <v>1505</v>
      </c>
      <c r="J202" s="17">
        <v>26709297</v>
      </c>
      <c r="K202" s="17" t="s">
        <v>1734</v>
      </c>
      <c r="L202" s="17" t="s">
        <v>1738</v>
      </c>
      <c r="M202" s="18">
        <v>239900</v>
      </c>
      <c r="N202" s="9">
        <v>0.9</v>
      </c>
      <c r="O202" s="8">
        <f t="shared" si="12"/>
        <v>23990</v>
      </c>
      <c r="P202" s="6" t="s">
        <v>15</v>
      </c>
    </row>
    <row r="203" spans="1:16" x14ac:dyDescent="0.25">
      <c r="A203" s="6" t="str">
        <f t="shared" si="13"/>
        <v>2020-2021 ALL D90</v>
      </c>
      <c r="B203" s="7">
        <f t="shared" si="14"/>
        <v>46114</v>
      </c>
      <c r="C203" s="7">
        <f t="shared" si="15"/>
        <v>46120</v>
      </c>
      <c r="D203" s="6">
        <v>3280</v>
      </c>
      <c r="E203" s="6">
        <v>337</v>
      </c>
      <c r="F203" s="6">
        <v>4</v>
      </c>
      <c r="G203" s="17">
        <v>1</v>
      </c>
      <c r="H203" s="17"/>
      <c r="I203" s="17" t="s">
        <v>1505</v>
      </c>
      <c r="J203" s="17">
        <v>26709304</v>
      </c>
      <c r="K203" s="17" t="s">
        <v>1734</v>
      </c>
      <c r="L203" s="17" t="s">
        <v>1739</v>
      </c>
      <c r="M203" s="18">
        <v>239900</v>
      </c>
      <c r="N203" s="9">
        <v>0.9</v>
      </c>
      <c r="O203" s="8">
        <f t="shared" si="12"/>
        <v>23990</v>
      </c>
      <c r="P203" s="6" t="s">
        <v>15</v>
      </c>
    </row>
    <row r="204" spans="1:16" x14ac:dyDescent="0.25">
      <c r="A204" s="6" t="str">
        <f t="shared" si="13"/>
        <v>2020-2021 ALL D90</v>
      </c>
      <c r="B204" s="7">
        <f t="shared" si="14"/>
        <v>46114</v>
      </c>
      <c r="C204" s="7">
        <f t="shared" si="15"/>
        <v>46120</v>
      </c>
      <c r="D204" s="6">
        <v>3280</v>
      </c>
      <c r="E204" s="6">
        <v>337</v>
      </c>
      <c r="F204" s="6">
        <v>4</v>
      </c>
      <c r="G204" s="17">
        <v>1</v>
      </c>
      <c r="H204" s="17"/>
      <c r="I204" s="17" t="s">
        <v>1505</v>
      </c>
      <c r="J204" s="17">
        <v>26709313</v>
      </c>
      <c r="K204" s="17" t="s">
        <v>1734</v>
      </c>
      <c r="L204" s="17" t="s">
        <v>1740</v>
      </c>
      <c r="M204" s="18">
        <v>239900</v>
      </c>
      <c r="N204" s="9">
        <v>0.9</v>
      </c>
      <c r="O204" s="8">
        <f t="shared" si="12"/>
        <v>23990</v>
      </c>
      <c r="P204" s="6" t="s">
        <v>15</v>
      </c>
    </row>
    <row r="205" spans="1:16" x14ac:dyDescent="0.25">
      <c r="A205" s="6" t="str">
        <f t="shared" si="13"/>
        <v>2020-2021 ALL D90</v>
      </c>
      <c r="B205" s="7">
        <f t="shared" si="14"/>
        <v>46114</v>
      </c>
      <c r="C205" s="7">
        <f t="shared" si="15"/>
        <v>46120</v>
      </c>
      <c r="D205" s="6">
        <v>3280</v>
      </c>
      <c r="E205" s="6">
        <v>337</v>
      </c>
      <c r="F205" s="6">
        <v>4</v>
      </c>
      <c r="G205" s="17">
        <v>1</v>
      </c>
      <c r="H205" s="17"/>
      <c r="I205" s="17" t="s">
        <v>1505</v>
      </c>
      <c r="J205" s="17">
        <v>26860748</v>
      </c>
      <c r="K205" s="17" t="s">
        <v>1741</v>
      </c>
      <c r="L205" s="17" t="s">
        <v>1742</v>
      </c>
      <c r="M205" s="18">
        <v>219900</v>
      </c>
      <c r="N205" s="9">
        <v>0.9</v>
      </c>
      <c r="O205" s="8">
        <f t="shared" si="12"/>
        <v>21990</v>
      </c>
      <c r="P205" s="6" t="s">
        <v>15</v>
      </c>
    </row>
    <row r="206" spans="1:16" x14ac:dyDescent="0.25">
      <c r="A206" s="6" t="str">
        <f t="shared" si="13"/>
        <v>2020-2021 ALL D90</v>
      </c>
      <c r="B206" s="7">
        <f t="shared" si="14"/>
        <v>46114</v>
      </c>
      <c r="C206" s="7">
        <f t="shared" si="15"/>
        <v>46120</v>
      </c>
      <c r="D206" s="6">
        <v>3280</v>
      </c>
      <c r="E206" s="6">
        <v>337</v>
      </c>
      <c r="F206" s="6">
        <v>4</v>
      </c>
      <c r="G206" s="17">
        <v>1</v>
      </c>
      <c r="H206" s="17"/>
      <c r="I206" s="17" t="s">
        <v>1505</v>
      </c>
      <c r="J206" s="17">
        <v>26860757</v>
      </c>
      <c r="K206" s="17" t="s">
        <v>1741</v>
      </c>
      <c r="L206" s="17" t="s">
        <v>1743</v>
      </c>
      <c r="M206" s="18">
        <v>219900</v>
      </c>
      <c r="N206" s="9">
        <v>0.9</v>
      </c>
      <c r="O206" s="8">
        <f t="shared" si="12"/>
        <v>21990</v>
      </c>
      <c r="P206" s="6" t="s">
        <v>15</v>
      </c>
    </row>
    <row r="207" spans="1:16" x14ac:dyDescent="0.25">
      <c r="A207" s="6" t="str">
        <f t="shared" si="13"/>
        <v>2020-2021 ALL D90</v>
      </c>
      <c r="B207" s="7">
        <f t="shared" si="14"/>
        <v>46114</v>
      </c>
      <c r="C207" s="7">
        <f t="shared" si="15"/>
        <v>46120</v>
      </c>
      <c r="D207" s="6">
        <v>3280</v>
      </c>
      <c r="E207" s="6">
        <v>337</v>
      </c>
      <c r="F207" s="6">
        <v>4</v>
      </c>
      <c r="G207" s="17">
        <v>1</v>
      </c>
      <c r="H207" s="17"/>
      <c r="I207" s="17" t="s">
        <v>1505</v>
      </c>
      <c r="J207" s="17">
        <v>26860766</v>
      </c>
      <c r="K207" s="17" t="s">
        <v>1741</v>
      </c>
      <c r="L207" s="17" t="s">
        <v>1744</v>
      </c>
      <c r="M207" s="18">
        <v>219900</v>
      </c>
      <c r="N207" s="9">
        <v>0.9</v>
      </c>
      <c r="O207" s="8">
        <f t="shared" si="12"/>
        <v>21990</v>
      </c>
      <c r="P207" s="6" t="s">
        <v>15</v>
      </c>
    </row>
    <row r="208" spans="1:16" x14ac:dyDescent="0.25">
      <c r="A208" s="6" t="str">
        <f t="shared" si="13"/>
        <v>2020-2021 ALL D90</v>
      </c>
      <c r="B208" s="7">
        <f t="shared" si="14"/>
        <v>46114</v>
      </c>
      <c r="C208" s="7">
        <f t="shared" si="15"/>
        <v>46120</v>
      </c>
      <c r="D208" s="6">
        <v>3280</v>
      </c>
      <c r="E208" s="6">
        <v>337</v>
      </c>
      <c r="F208" s="6">
        <v>4</v>
      </c>
      <c r="G208" s="17">
        <v>1</v>
      </c>
      <c r="H208" s="17"/>
      <c r="I208" s="17" t="s">
        <v>1505</v>
      </c>
      <c r="J208" s="17">
        <v>26860775</v>
      </c>
      <c r="K208" s="17" t="s">
        <v>1741</v>
      </c>
      <c r="L208" s="17" t="s">
        <v>1745</v>
      </c>
      <c r="M208" s="18">
        <v>229900</v>
      </c>
      <c r="N208" s="9">
        <v>0.9</v>
      </c>
      <c r="O208" s="8">
        <f t="shared" si="12"/>
        <v>22990</v>
      </c>
      <c r="P208" s="6" t="s">
        <v>15</v>
      </c>
    </row>
    <row r="209" spans="1:16" x14ac:dyDescent="0.25">
      <c r="A209" s="6" t="str">
        <f t="shared" si="13"/>
        <v>2020-2021 ALL D90</v>
      </c>
      <c r="B209" s="7">
        <f t="shared" si="14"/>
        <v>46114</v>
      </c>
      <c r="C209" s="7">
        <f t="shared" si="15"/>
        <v>46120</v>
      </c>
      <c r="D209" s="6">
        <v>3280</v>
      </c>
      <c r="E209" s="6">
        <v>337</v>
      </c>
      <c r="F209" s="6">
        <v>4</v>
      </c>
      <c r="G209" s="17">
        <v>1</v>
      </c>
      <c r="H209" s="17"/>
      <c r="I209" s="17" t="s">
        <v>1505</v>
      </c>
      <c r="J209" s="17">
        <v>26860784</v>
      </c>
      <c r="K209" s="17" t="s">
        <v>1741</v>
      </c>
      <c r="L209" s="17" t="s">
        <v>1746</v>
      </c>
      <c r="M209" s="18">
        <v>229900</v>
      </c>
      <c r="N209" s="9">
        <v>0.9</v>
      </c>
      <c r="O209" s="8">
        <f t="shared" si="12"/>
        <v>22990</v>
      </c>
      <c r="P209" s="6" t="s">
        <v>15</v>
      </c>
    </row>
    <row r="210" spans="1:16" x14ac:dyDescent="0.25">
      <c r="A210" s="6" t="str">
        <f t="shared" si="13"/>
        <v>2020-2021 ALL D90</v>
      </c>
      <c r="B210" s="7">
        <f t="shared" si="14"/>
        <v>46114</v>
      </c>
      <c r="C210" s="7">
        <f t="shared" si="15"/>
        <v>46120</v>
      </c>
      <c r="D210" s="6">
        <v>3280</v>
      </c>
      <c r="E210" s="6">
        <v>337</v>
      </c>
      <c r="F210" s="6">
        <v>4</v>
      </c>
      <c r="G210" s="17">
        <v>1</v>
      </c>
      <c r="H210" s="17"/>
      <c r="I210" s="17" t="s">
        <v>1505</v>
      </c>
      <c r="J210" s="17">
        <v>26860793</v>
      </c>
      <c r="K210" s="17" t="s">
        <v>1741</v>
      </c>
      <c r="L210" s="17" t="s">
        <v>1747</v>
      </c>
      <c r="M210" s="18">
        <v>229900</v>
      </c>
      <c r="N210" s="9">
        <v>0.9</v>
      </c>
      <c r="O210" s="8">
        <f t="shared" si="12"/>
        <v>22990</v>
      </c>
      <c r="P210" s="6" t="s">
        <v>15</v>
      </c>
    </row>
    <row r="211" spans="1:16" x14ac:dyDescent="0.25">
      <c r="A211" s="6" t="str">
        <f t="shared" si="13"/>
        <v>2020-2021 ALL D90</v>
      </c>
      <c r="B211" s="7">
        <f t="shared" si="14"/>
        <v>46114</v>
      </c>
      <c r="C211" s="7">
        <f t="shared" si="15"/>
        <v>46120</v>
      </c>
      <c r="D211" s="6">
        <v>3280</v>
      </c>
      <c r="E211" s="6">
        <v>337</v>
      </c>
      <c r="F211" s="6">
        <v>4</v>
      </c>
      <c r="G211" s="17">
        <v>1</v>
      </c>
      <c r="H211" s="17"/>
      <c r="I211" s="17" t="s">
        <v>1505</v>
      </c>
      <c r="J211" s="17">
        <v>28403078</v>
      </c>
      <c r="K211" s="17" t="s">
        <v>1748</v>
      </c>
      <c r="L211" s="17" t="s">
        <v>1749</v>
      </c>
      <c r="M211" s="18">
        <v>209900</v>
      </c>
      <c r="N211" s="9">
        <v>0.9</v>
      </c>
      <c r="O211" s="8">
        <f t="shared" si="12"/>
        <v>20990</v>
      </c>
      <c r="P211" s="6" t="s">
        <v>15</v>
      </c>
    </row>
    <row r="212" spans="1:16" x14ac:dyDescent="0.25">
      <c r="A212" s="6" t="str">
        <f t="shared" si="13"/>
        <v>2020-2021 ALL D90</v>
      </c>
      <c r="B212" s="7">
        <f t="shared" si="14"/>
        <v>46114</v>
      </c>
      <c r="C212" s="7">
        <f t="shared" si="15"/>
        <v>46120</v>
      </c>
      <c r="D212" s="6">
        <v>3280</v>
      </c>
      <c r="E212" s="6">
        <v>337</v>
      </c>
      <c r="F212" s="6">
        <v>4</v>
      </c>
      <c r="G212" s="17">
        <v>1</v>
      </c>
      <c r="H212" s="17"/>
      <c r="I212" s="17" t="s">
        <v>1505</v>
      </c>
      <c r="J212" s="17">
        <v>28403087</v>
      </c>
      <c r="K212" s="17" t="s">
        <v>1748</v>
      </c>
      <c r="L212" s="17" t="s">
        <v>1750</v>
      </c>
      <c r="M212" s="18">
        <v>209900</v>
      </c>
      <c r="N212" s="9">
        <v>0.9</v>
      </c>
      <c r="O212" s="8">
        <f t="shared" si="12"/>
        <v>20990</v>
      </c>
      <c r="P212" s="6" t="s">
        <v>15</v>
      </c>
    </row>
    <row r="213" spans="1:16" x14ac:dyDescent="0.25">
      <c r="A213" s="6" t="str">
        <f t="shared" si="13"/>
        <v>2020-2021 ALL D90</v>
      </c>
      <c r="B213" s="7">
        <f t="shared" si="14"/>
        <v>46114</v>
      </c>
      <c r="C213" s="7">
        <f t="shared" si="15"/>
        <v>46120</v>
      </c>
      <c r="D213" s="6">
        <v>3280</v>
      </c>
      <c r="E213" s="6">
        <v>337</v>
      </c>
      <c r="F213" s="6">
        <v>4</v>
      </c>
      <c r="G213" s="17">
        <v>1</v>
      </c>
      <c r="H213" s="17"/>
      <c r="I213" s="17" t="s">
        <v>1505</v>
      </c>
      <c r="J213" s="17">
        <v>28403096</v>
      </c>
      <c r="K213" s="17" t="s">
        <v>1748</v>
      </c>
      <c r="L213" s="17" t="s">
        <v>1751</v>
      </c>
      <c r="M213" s="18">
        <v>209900</v>
      </c>
      <c r="N213" s="9">
        <v>0.9</v>
      </c>
      <c r="O213" s="8">
        <f t="shared" si="12"/>
        <v>20990</v>
      </c>
      <c r="P213" s="6" t="s">
        <v>15</v>
      </c>
    </row>
    <row r="214" spans="1:16" x14ac:dyDescent="0.25">
      <c r="A214" s="6" t="str">
        <f t="shared" si="13"/>
        <v>2020-2021 ALL D90</v>
      </c>
      <c r="B214" s="7">
        <f t="shared" si="14"/>
        <v>46114</v>
      </c>
      <c r="C214" s="7">
        <f t="shared" si="15"/>
        <v>46120</v>
      </c>
      <c r="D214" s="6">
        <v>3280</v>
      </c>
      <c r="E214" s="6">
        <v>337</v>
      </c>
      <c r="F214" s="6">
        <v>4</v>
      </c>
      <c r="G214" s="17">
        <v>1</v>
      </c>
      <c r="H214" s="17"/>
      <c r="I214" s="17" t="s">
        <v>1505</v>
      </c>
      <c r="J214" s="17">
        <v>28403103</v>
      </c>
      <c r="K214" s="17" t="s">
        <v>1748</v>
      </c>
      <c r="L214" s="17" t="s">
        <v>1752</v>
      </c>
      <c r="M214" s="18">
        <v>219900</v>
      </c>
      <c r="N214" s="9">
        <v>0.9</v>
      </c>
      <c r="O214" s="8">
        <f t="shared" si="12"/>
        <v>21990</v>
      </c>
      <c r="P214" s="6" t="s">
        <v>15</v>
      </c>
    </row>
    <row r="215" spans="1:16" x14ac:dyDescent="0.25">
      <c r="A215" s="6" t="str">
        <f t="shared" si="13"/>
        <v>2020-2021 ALL D90</v>
      </c>
      <c r="B215" s="7">
        <f t="shared" si="14"/>
        <v>46114</v>
      </c>
      <c r="C215" s="7">
        <f t="shared" si="15"/>
        <v>46120</v>
      </c>
      <c r="D215" s="6">
        <v>3280</v>
      </c>
      <c r="E215" s="6">
        <v>337</v>
      </c>
      <c r="F215" s="6">
        <v>4</v>
      </c>
      <c r="G215" s="17">
        <v>1</v>
      </c>
      <c r="H215" s="17"/>
      <c r="I215" s="17" t="s">
        <v>1505</v>
      </c>
      <c r="J215" s="17">
        <v>28403112</v>
      </c>
      <c r="K215" s="17" t="s">
        <v>1748</v>
      </c>
      <c r="L215" s="17" t="s">
        <v>1753</v>
      </c>
      <c r="M215" s="18">
        <v>219900</v>
      </c>
      <c r="N215" s="9">
        <v>0.9</v>
      </c>
      <c r="O215" s="8">
        <f t="shared" si="12"/>
        <v>21990</v>
      </c>
      <c r="P215" s="6" t="s">
        <v>15</v>
      </c>
    </row>
    <row r="216" spans="1:16" x14ac:dyDescent="0.25">
      <c r="A216" s="6" t="str">
        <f t="shared" si="13"/>
        <v>2020-2021 ALL D90</v>
      </c>
      <c r="B216" s="7">
        <f t="shared" si="14"/>
        <v>46114</v>
      </c>
      <c r="C216" s="7">
        <f t="shared" si="15"/>
        <v>46120</v>
      </c>
      <c r="D216" s="6">
        <v>3280</v>
      </c>
      <c r="E216" s="6">
        <v>337</v>
      </c>
      <c r="F216" s="6">
        <v>4</v>
      </c>
      <c r="G216" s="17">
        <v>1</v>
      </c>
      <c r="H216" s="17"/>
      <c r="I216" s="17" t="s">
        <v>1505</v>
      </c>
      <c r="J216" s="17">
        <v>28403121</v>
      </c>
      <c r="K216" s="17" t="s">
        <v>1748</v>
      </c>
      <c r="L216" s="17" t="s">
        <v>1754</v>
      </c>
      <c r="M216" s="18">
        <v>219900</v>
      </c>
      <c r="N216" s="9">
        <v>0.9</v>
      </c>
      <c r="O216" s="8">
        <f t="shared" si="12"/>
        <v>21990</v>
      </c>
      <c r="P216" s="6" t="s">
        <v>15</v>
      </c>
    </row>
    <row r="217" spans="1:16" x14ac:dyDescent="0.25">
      <c r="A217" s="6" t="str">
        <f t="shared" si="13"/>
        <v>2020-2021 ALL D90</v>
      </c>
      <c r="B217" s="7">
        <f t="shared" si="14"/>
        <v>46114</v>
      </c>
      <c r="C217" s="7">
        <f t="shared" si="15"/>
        <v>46120</v>
      </c>
      <c r="D217" s="6">
        <v>3280</v>
      </c>
      <c r="E217" s="6">
        <v>337</v>
      </c>
      <c r="F217" s="6">
        <v>4</v>
      </c>
      <c r="G217" s="17">
        <v>1</v>
      </c>
      <c r="H217" s="17"/>
      <c r="I217" s="17" t="s">
        <v>1505</v>
      </c>
      <c r="J217" s="17">
        <v>26508209</v>
      </c>
      <c r="K217" s="17" t="s">
        <v>1755</v>
      </c>
      <c r="L217" s="17" t="s">
        <v>1756</v>
      </c>
      <c r="M217" s="18">
        <v>219900</v>
      </c>
      <c r="N217" s="9">
        <v>0.9</v>
      </c>
      <c r="O217" s="8">
        <f t="shared" si="12"/>
        <v>21990</v>
      </c>
      <c r="P217" s="6" t="s">
        <v>15</v>
      </c>
    </row>
    <row r="218" spans="1:16" x14ac:dyDescent="0.25">
      <c r="A218" s="6" t="str">
        <f t="shared" si="13"/>
        <v>2020-2021 ALL D90</v>
      </c>
      <c r="B218" s="7">
        <f t="shared" si="14"/>
        <v>46114</v>
      </c>
      <c r="C218" s="7">
        <f t="shared" si="15"/>
        <v>46120</v>
      </c>
      <c r="D218" s="6">
        <v>3280</v>
      </c>
      <c r="E218" s="6">
        <v>337</v>
      </c>
      <c r="F218" s="6">
        <v>4</v>
      </c>
      <c r="G218" s="17">
        <v>1</v>
      </c>
      <c r="H218" s="17"/>
      <c r="I218" s="17" t="s">
        <v>1505</v>
      </c>
      <c r="J218" s="17">
        <v>26508218</v>
      </c>
      <c r="K218" s="17" t="s">
        <v>1755</v>
      </c>
      <c r="L218" s="17" t="s">
        <v>1757</v>
      </c>
      <c r="M218" s="18">
        <v>219900</v>
      </c>
      <c r="N218" s="9">
        <v>0.9</v>
      </c>
      <c r="O218" s="8">
        <f t="shared" si="12"/>
        <v>21990</v>
      </c>
      <c r="P218" s="6" t="s">
        <v>15</v>
      </c>
    </row>
    <row r="219" spans="1:16" x14ac:dyDescent="0.25">
      <c r="A219" s="6" t="str">
        <f t="shared" si="13"/>
        <v>2020-2021 ALL D90</v>
      </c>
      <c r="B219" s="7">
        <f t="shared" si="14"/>
        <v>46114</v>
      </c>
      <c r="C219" s="7">
        <f t="shared" si="15"/>
        <v>46120</v>
      </c>
      <c r="D219" s="6">
        <v>3280</v>
      </c>
      <c r="E219" s="6">
        <v>337</v>
      </c>
      <c r="F219" s="6">
        <v>4</v>
      </c>
      <c r="G219" s="17">
        <v>1</v>
      </c>
      <c r="H219" s="17"/>
      <c r="I219" s="17" t="s">
        <v>1505</v>
      </c>
      <c r="J219" s="17">
        <v>26508227</v>
      </c>
      <c r="K219" s="17" t="s">
        <v>1755</v>
      </c>
      <c r="L219" s="17" t="s">
        <v>1758</v>
      </c>
      <c r="M219" s="18">
        <v>219900</v>
      </c>
      <c r="N219" s="9">
        <v>0.9</v>
      </c>
      <c r="O219" s="8">
        <f t="shared" si="12"/>
        <v>21990</v>
      </c>
      <c r="P219" s="6" t="s">
        <v>15</v>
      </c>
    </row>
    <row r="220" spans="1:16" x14ac:dyDescent="0.25">
      <c r="A220" s="6" t="str">
        <f t="shared" si="13"/>
        <v>2020-2021 ALL D90</v>
      </c>
      <c r="B220" s="7">
        <f t="shared" si="14"/>
        <v>46114</v>
      </c>
      <c r="C220" s="7">
        <f t="shared" si="15"/>
        <v>46120</v>
      </c>
      <c r="D220" s="6">
        <v>3280</v>
      </c>
      <c r="E220" s="6">
        <v>337</v>
      </c>
      <c r="F220" s="6">
        <v>4</v>
      </c>
      <c r="G220" s="17">
        <v>1</v>
      </c>
      <c r="H220" s="17"/>
      <c r="I220" s="17" t="s">
        <v>1505</v>
      </c>
      <c r="J220" s="17">
        <v>26508236</v>
      </c>
      <c r="K220" s="17" t="s">
        <v>1755</v>
      </c>
      <c r="L220" s="17" t="s">
        <v>1759</v>
      </c>
      <c r="M220" s="18">
        <v>229900</v>
      </c>
      <c r="N220" s="9">
        <v>0.9</v>
      </c>
      <c r="O220" s="8">
        <f t="shared" si="12"/>
        <v>22990</v>
      </c>
      <c r="P220" s="6" t="s">
        <v>15</v>
      </c>
    </row>
    <row r="221" spans="1:16" x14ac:dyDescent="0.25">
      <c r="A221" s="6" t="str">
        <f t="shared" si="13"/>
        <v>2020-2021 ALL D90</v>
      </c>
      <c r="B221" s="7">
        <f t="shared" si="14"/>
        <v>46114</v>
      </c>
      <c r="C221" s="7">
        <f t="shared" si="15"/>
        <v>46120</v>
      </c>
      <c r="D221" s="6">
        <v>3280</v>
      </c>
      <c r="E221" s="6">
        <v>337</v>
      </c>
      <c r="F221" s="6">
        <v>4</v>
      </c>
      <c r="G221" s="17">
        <v>1</v>
      </c>
      <c r="H221" s="17"/>
      <c r="I221" s="17" t="s">
        <v>1505</v>
      </c>
      <c r="J221" s="17">
        <v>26508245</v>
      </c>
      <c r="K221" s="17" t="s">
        <v>1755</v>
      </c>
      <c r="L221" s="17" t="s">
        <v>1760</v>
      </c>
      <c r="M221" s="18">
        <v>229900</v>
      </c>
      <c r="N221" s="9">
        <v>0.9</v>
      </c>
      <c r="O221" s="8">
        <f t="shared" si="12"/>
        <v>22990</v>
      </c>
      <c r="P221" s="6" t="s">
        <v>15</v>
      </c>
    </row>
    <row r="222" spans="1:16" x14ac:dyDescent="0.25">
      <c r="A222" s="6" t="str">
        <f t="shared" si="13"/>
        <v>2020-2021 ALL D90</v>
      </c>
      <c r="B222" s="7">
        <f t="shared" si="14"/>
        <v>46114</v>
      </c>
      <c r="C222" s="7">
        <f t="shared" si="15"/>
        <v>46120</v>
      </c>
      <c r="D222" s="6">
        <v>3280</v>
      </c>
      <c r="E222" s="6">
        <v>337</v>
      </c>
      <c r="F222" s="6">
        <v>4</v>
      </c>
      <c r="G222" s="17">
        <v>1</v>
      </c>
      <c r="H222" s="17"/>
      <c r="I222" s="17" t="s">
        <v>1505</v>
      </c>
      <c r="J222" s="17">
        <v>26508254</v>
      </c>
      <c r="K222" s="17" t="s">
        <v>1755</v>
      </c>
      <c r="L222" s="17" t="s">
        <v>1761</v>
      </c>
      <c r="M222" s="18">
        <v>229900</v>
      </c>
      <c r="N222" s="9">
        <v>0.9</v>
      </c>
      <c r="O222" s="8">
        <f t="shared" si="12"/>
        <v>22990</v>
      </c>
      <c r="P222" s="6" t="s">
        <v>15</v>
      </c>
    </row>
    <row r="223" spans="1:16" x14ac:dyDescent="0.25">
      <c r="A223" s="6" t="str">
        <f t="shared" si="13"/>
        <v>2020-2021 ALL D90</v>
      </c>
      <c r="B223" s="7">
        <f t="shared" si="14"/>
        <v>46114</v>
      </c>
      <c r="C223" s="7">
        <f t="shared" si="15"/>
        <v>46120</v>
      </c>
      <c r="D223" s="6">
        <v>3280</v>
      </c>
      <c r="E223" s="6">
        <v>337</v>
      </c>
      <c r="F223" s="6">
        <v>4</v>
      </c>
      <c r="G223" s="17">
        <v>1</v>
      </c>
      <c r="H223" s="17"/>
      <c r="I223" s="17" t="s">
        <v>1505</v>
      </c>
      <c r="J223" s="17">
        <v>26490826</v>
      </c>
      <c r="K223" s="17" t="s">
        <v>1762</v>
      </c>
      <c r="L223" s="17" t="s">
        <v>1763</v>
      </c>
      <c r="M223" s="18">
        <v>209900</v>
      </c>
      <c r="N223" s="9">
        <v>0.9</v>
      </c>
      <c r="O223" s="8">
        <f t="shared" si="12"/>
        <v>20990</v>
      </c>
      <c r="P223" s="6" t="s">
        <v>15</v>
      </c>
    </row>
    <row r="224" spans="1:16" x14ac:dyDescent="0.25">
      <c r="A224" s="6" t="str">
        <f t="shared" si="13"/>
        <v>2020-2021 ALL D90</v>
      </c>
      <c r="B224" s="7">
        <f t="shared" si="14"/>
        <v>46114</v>
      </c>
      <c r="C224" s="7">
        <f t="shared" si="15"/>
        <v>46120</v>
      </c>
      <c r="D224" s="6">
        <v>3280</v>
      </c>
      <c r="E224" s="6">
        <v>337</v>
      </c>
      <c r="F224" s="6">
        <v>4</v>
      </c>
      <c r="G224" s="17">
        <v>1</v>
      </c>
      <c r="H224" s="17"/>
      <c r="I224" s="17" t="s">
        <v>1505</v>
      </c>
      <c r="J224" s="17">
        <v>26490835</v>
      </c>
      <c r="K224" s="17" t="s">
        <v>1762</v>
      </c>
      <c r="L224" s="17" t="s">
        <v>1764</v>
      </c>
      <c r="M224" s="18">
        <v>209900</v>
      </c>
      <c r="N224" s="9">
        <v>0.9</v>
      </c>
      <c r="O224" s="8">
        <f t="shared" si="12"/>
        <v>20990</v>
      </c>
      <c r="P224" s="6" t="s">
        <v>15</v>
      </c>
    </row>
    <row r="225" spans="1:16" x14ac:dyDescent="0.25">
      <c r="A225" s="6" t="str">
        <f t="shared" si="13"/>
        <v>2020-2021 ALL D90</v>
      </c>
      <c r="B225" s="7">
        <f t="shared" si="14"/>
        <v>46114</v>
      </c>
      <c r="C225" s="7">
        <f t="shared" si="15"/>
        <v>46120</v>
      </c>
      <c r="D225" s="6">
        <v>3280</v>
      </c>
      <c r="E225" s="6">
        <v>337</v>
      </c>
      <c r="F225" s="6">
        <v>4</v>
      </c>
      <c r="G225" s="17">
        <v>1</v>
      </c>
      <c r="H225" s="17"/>
      <c r="I225" s="17" t="s">
        <v>1505</v>
      </c>
      <c r="J225" s="17">
        <v>26490844</v>
      </c>
      <c r="K225" s="17" t="s">
        <v>1762</v>
      </c>
      <c r="L225" s="17" t="s">
        <v>1765</v>
      </c>
      <c r="M225" s="18">
        <v>209900</v>
      </c>
      <c r="N225" s="9">
        <v>0.9</v>
      </c>
      <c r="O225" s="8">
        <f t="shared" si="12"/>
        <v>20990</v>
      </c>
      <c r="P225" s="6" t="s">
        <v>15</v>
      </c>
    </row>
    <row r="226" spans="1:16" x14ac:dyDescent="0.25">
      <c r="A226" s="6" t="str">
        <f t="shared" si="13"/>
        <v>2020-2021 ALL D90</v>
      </c>
      <c r="B226" s="7">
        <f t="shared" si="14"/>
        <v>46114</v>
      </c>
      <c r="C226" s="7">
        <f t="shared" si="15"/>
        <v>46120</v>
      </c>
      <c r="D226" s="6">
        <v>3280</v>
      </c>
      <c r="E226" s="6">
        <v>337</v>
      </c>
      <c r="F226" s="6">
        <v>4</v>
      </c>
      <c r="G226" s="17">
        <v>1</v>
      </c>
      <c r="H226" s="17"/>
      <c r="I226" s="17" t="s">
        <v>1505</v>
      </c>
      <c r="J226" s="17">
        <v>26490853</v>
      </c>
      <c r="K226" s="17" t="s">
        <v>1762</v>
      </c>
      <c r="L226" s="17" t="s">
        <v>1766</v>
      </c>
      <c r="M226" s="18">
        <v>219900</v>
      </c>
      <c r="N226" s="9">
        <v>0.9</v>
      </c>
      <c r="O226" s="8">
        <f t="shared" si="12"/>
        <v>21990</v>
      </c>
      <c r="P226" s="6" t="s">
        <v>15</v>
      </c>
    </row>
    <row r="227" spans="1:16" x14ac:dyDescent="0.25">
      <c r="A227" s="6" t="str">
        <f t="shared" si="13"/>
        <v>2020-2021 ALL D90</v>
      </c>
      <c r="B227" s="7">
        <f t="shared" si="14"/>
        <v>46114</v>
      </c>
      <c r="C227" s="7">
        <f t="shared" si="15"/>
        <v>46120</v>
      </c>
      <c r="D227" s="6">
        <v>3280</v>
      </c>
      <c r="E227" s="6">
        <v>337</v>
      </c>
      <c r="F227" s="6">
        <v>4</v>
      </c>
      <c r="G227" s="17">
        <v>1</v>
      </c>
      <c r="H227" s="17"/>
      <c r="I227" s="17" t="s">
        <v>1505</v>
      </c>
      <c r="J227" s="17">
        <v>26490862</v>
      </c>
      <c r="K227" s="17" t="s">
        <v>1762</v>
      </c>
      <c r="L227" s="17" t="s">
        <v>1767</v>
      </c>
      <c r="M227" s="18">
        <v>219900</v>
      </c>
      <c r="N227" s="9">
        <v>0.9</v>
      </c>
      <c r="O227" s="8">
        <f t="shared" si="12"/>
        <v>21990</v>
      </c>
      <c r="P227" s="6" t="s">
        <v>15</v>
      </c>
    </row>
    <row r="228" spans="1:16" x14ac:dyDescent="0.25">
      <c r="A228" s="6" t="str">
        <f t="shared" si="13"/>
        <v>2020-2021 ALL D90</v>
      </c>
      <c r="B228" s="7">
        <f t="shared" si="14"/>
        <v>46114</v>
      </c>
      <c r="C228" s="7">
        <f t="shared" si="15"/>
        <v>46120</v>
      </c>
      <c r="D228" s="6">
        <v>3280</v>
      </c>
      <c r="E228" s="6">
        <v>337</v>
      </c>
      <c r="F228" s="6">
        <v>4</v>
      </c>
      <c r="G228" s="17">
        <v>1</v>
      </c>
      <c r="H228" s="17"/>
      <c r="I228" s="17" t="s">
        <v>1505</v>
      </c>
      <c r="J228" s="17">
        <v>26490871</v>
      </c>
      <c r="K228" s="17" t="s">
        <v>1762</v>
      </c>
      <c r="L228" s="17" t="s">
        <v>1768</v>
      </c>
      <c r="M228" s="18">
        <v>219900</v>
      </c>
      <c r="N228" s="9">
        <v>0.9</v>
      </c>
      <c r="O228" s="8">
        <f t="shared" si="12"/>
        <v>21990</v>
      </c>
      <c r="P228" s="6" t="s">
        <v>15</v>
      </c>
    </row>
    <row r="229" spans="1:16" x14ac:dyDescent="0.25">
      <c r="A229" s="6" t="str">
        <f t="shared" si="13"/>
        <v>2020-2021 ALL D90</v>
      </c>
      <c r="B229" s="7">
        <f t="shared" si="14"/>
        <v>46114</v>
      </c>
      <c r="C229" s="7">
        <f t="shared" si="15"/>
        <v>46120</v>
      </c>
      <c r="D229" s="6">
        <v>3280</v>
      </c>
      <c r="E229" s="6">
        <v>337</v>
      </c>
      <c r="F229" s="6">
        <v>4</v>
      </c>
      <c r="G229" s="17">
        <v>1</v>
      </c>
      <c r="H229" s="17"/>
      <c r="I229" s="17" t="s">
        <v>1505</v>
      </c>
      <c r="J229" s="17">
        <v>26492548</v>
      </c>
      <c r="K229" s="17" t="s">
        <v>1769</v>
      </c>
      <c r="L229" s="17" t="s">
        <v>1770</v>
      </c>
      <c r="M229" s="18">
        <v>229900</v>
      </c>
      <c r="N229" s="9">
        <v>0.9</v>
      </c>
      <c r="O229" s="8">
        <f t="shared" si="12"/>
        <v>22990</v>
      </c>
      <c r="P229" s="6" t="s">
        <v>15</v>
      </c>
    </row>
    <row r="230" spans="1:16" x14ac:dyDescent="0.25">
      <c r="A230" s="6" t="str">
        <f t="shared" si="13"/>
        <v>2020-2021 ALL D90</v>
      </c>
      <c r="B230" s="7">
        <f t="shared" si="14"/>
        <v>46114</v>
      </c>
      <c r="C230" s="7">
        <f t="shared" si="15"/>
        <v>46120</v>
      </c>
      <c r="D230" s="6">
        <v>3280</v>
      </c>
      <c r="E230" s="6">
        <v>337</v>
      </c>
      <c r="F230" s="6">
        <v>4</v>
      </c>
      <c r="G230" s="17">
        <v>1</v>
      </c>
      <c r="H230" s="17"/>
      <c r="I230" s="17" t="s">
        <v>1505</v>
      </c>
      <c r="J230" s="17">
        <v>26492557</v>
      </c>
      <c r="K230" s="17" t="s">
        <v>1769</v>
      </c>
      <c r="L230" s="17" t="s">
        <v>1771</v>
      </c>
      <c r="M230" s="18">
        <v>229900</v>
      </c>
      <c r="N230" s="9">
        <v>0.9</v>
      </c>
      <c r="O230" s="8">
        <f t="shared" si="12"/>
        <v>22990</v>
      </c>
      <c r="P230" s="6" t="s">
        <v>15</v>
      </c>
    </row>
    <row r="231" spans="1:16" x14ac:dyDescent="0.25">
      <c r="A231" s="6" t="str">
        <f t="shared" si="13"/>
        <v>2020-2021 ALL D90</v>
      </c>
      <c r="B231" s="7">
        <f t="shared" si="14"/>
        <v>46114</v>
      </c>
      <c r="C231" s="7">
        <f t="shared" si="15"/>
        <v>46120</v>
      </c>
      <c r="D231" s="6">
        <v>3280</v>
      </c>
      <c r="E231" s="6">
        <v>337</v>
      </c>
      <c r="F231" s="6">
        <v>4</v>
      </c>
      <c r="G231" s="17">
        <v>1</v>
      </c>
      <c r="H231" s="17"/>
      <c r="I231" s="17" t="s">
        <v>1505</v>
      </c>
      <c r="J231" s="17">
        <v>26492566</v>
      </c>
      <c r="K231" s="17" t="s">
        <v>1769</v>
      </c>
      <c r="L231" s="17" t="s">
        <v>1772</v>
      </c>
      <c r="M231" s="18">
        <v>229900</v>
      </c>
      <c r="N231" s="9">
        <v>0.9</v>
      </c>
      <c r="O231" s="8">
        <f t="shared" si="12"/>
        <v>22990</v>
      </c>
      <c r="P231" s="6" t="s">
        <v>15</v>
      </c>
    </row>
    <row r="232" spans="1:16" x14ac:dyDescent="0.25">
      <c r="A232" s="6" t="str">
        <f t="shared" si="13"/>
        <v>2020-2021 ALL D90</v>
      </c>
      <c r="B232" s="7">
        <f t="shared" si="14"/>
        <v>46114</v>
      </c>
      <c r="C232" s="7">
        <f t="shared" si="15"/>
        <v>46120</v>
      </c>
      <c r="D232" s="6">
        <v>3280</v>
      </c>
      <c r="E232" s="6">
        <v>337</v>
      </c>
      <c r="F232" s="6">
        <v>4</v>
      </c>
      <c r="G232" s="17">
        <v>1</v>
      </c>
      <c r="H232" s="17"/>
      <c r="I232" s="17" t="s">
        <v>1505</v>
      </c>
      <c r="J232" s="17">
        <v>26492575</v>
      </c>
      <c r="K232" s="17" t="s">
        <v>1769</v>
      </c>
      <c r="L232" s="17" t="s">
        <v>1773</v>
      </c>
      <c r="M232" s="18">
        <v>239900</v>
      </c>
      <c r="N232" s="9">
        <v>0.9</v>
      </c>
      <c r="O232" s="8">
        <f t="shared" si="12"/>
        <v>23990</v>
      </c>
      <c r="P232" s="6" t="s">
        <v>15</v>
      </c>
    </row>
    <row r="233" spans="1:16" x14ac:dyDescent="0.25">
      <c r="A233" s="6" t="str">
        <f t="shared" si="13"/>
        <v>2020-2021 ALL D90</v>
      </c>
      <c r="B233" s="7">
        <f t="shared" si="14"/>
        <v>46114</v>
      </c>
      <c r="C233" s="7">
        <f t="shared" si="15"/>
        <v>46120</v>
      </c>
      <c r="D233" s="6">
        <v>3280</v>
      </c>
      <c r="E233" s="6">
        <v>337</v>
      </c>
      <c r="F233" s="6">
        <v>4</v>
      </c>
      <c r="G233" s="17">
        <v>1</v>
      </c>
      <c r="H233" s="17"/>
      <c r="I233" s="17" t="s">
        <v>1505</v>
      </c>
      <c r="J233" s="17">
        <v>26492584</v>
      </c>
      <c r="K233" s="17" t="s">
        <v>1769</v>
      </c>
      <c r="L233" s="17" t="s">
        <v>1774</v>
      </c>
      <c r="M233" s="18">
        <v>239900</v>
      </c>
      <c r="N233" s="9">
        <v>0.9</v>
      </c>
      <c r="O233" s="8">
        <f t="shared" si="12"/>
        <v>23990</v>
      </c>
      <c r="P233" s="6" t="s">
        <v>15</v>
      </c>
    </row>
    <row r="234" spans="1:16" x14ac:dyDescent="0.25">
      <c r="A234" s="6" t="str">
        <f t="shared" si="13"/>
        <v>2020-2021 ALL D90</v>
      </c>
      <c r="B234" s="7">
        <f t="shared" si="14"/>
        <v>46114</v>
      </c>
      <c r="C234" s="7">
        <f t="shared" si="15"/>
        <v>46120</v>
      </c>
      <c r="D234" s="6">
        <v>3280</v>
      </c>
      <c r="E234" s="6">
        <v>337</v>
      </c>
      <c r="F234" s="6">
        <v>4</v>
      </c>
      <c r="G234" s="17">
        <v>1</v>
      </c>
      <c r="H234" s="17"/>
      <c r="I234" s="17" t="s">
        <v>1505</v>
      </c>
      <c r="J234" s="17">
        <v>26492593</v>
      </c>
      <c r="K234" s="17" t="s">
        <v>1769</v>
      </c>
      <c r="L234" s="17" t="s">
        <v>1775</v>
      </c>
      <c r="M234" s="18">
        <v>239900</v>
      </c>
      <c r="N234" s="9">
        <v>0.9</v>
      </c>
      <c r="O234" s="8">
        <f t="shared" si="12"/>
        <v>23990</v>
      </c>
      <c r="P234" s="6" t="s">
        <v>15</v>
      </c>
    </row>
    <row r="235" spans="1:16" x14ac:dyDescent="0.25">
      <c r="A235" s="6" t="str">
        <f t="shared" si="13"/>
        <v>2020-2021 ALL D90</v>
      </c>
      <c r="B235" s="7">
        <f t="shared" si="14"/>
        <v>46114</v>
      </c>
      <c r="C235" s="7">
        <f t="shared" si="15"/>
        <v>46120</v>
      </c>
      <c r="D235" s="6">
        <v>3280</v>
      </c>
      <c r="E235" s="6">
        <v>337</v>
      </c>
      <c r="F235" s="6">
        <v>4</v>
      </c>
      <c r="G235" s="17">
        <v>1</v>
      </c>
      <c r="H235" s="17"/>
      <c r="I235" s="17" t="s">
        <v>1505</v>
      </c>
      <c r="J235" s="17">
        <v>26650751</v>
      </c>
      <c r="K235" s="17" t="s">
        <v>1776</v>
      </c>
      <c r="L235" s="17" t="s">
        <v>1777</v>
      </c>
      <c r="M235" s="18">
        <v>219900</v>
      </c>
      <c r="N235" s="9">
        <v>0.9</v>
      </c>
      <c r="O235" s="8">
        <f t="shared" si="12"/>
        <v>21990</v>
      </c>
      <c r="P235" s="6" t="s">
        <v>15</v>
      </c>
    </row>
    <row r="236" spans="1:16" x14ac:dyDescent="0.25">
      <c r="A236" s="6" t="str">
        <f t="shared" si="13"/>
        <v>2020-2021 ALL D90</v>
      </c>
      <c r="B236" s="7">
        <f t="shared" si="14"/>
        <v>46114</v>
      </c>
      <c r="C236" s="7">
        <f t="shared" si="15"/>
        <v>46120</v>
      </c>
      <c r="D236" s="6">
        <v>3280</v>
      </c>
      <c r="E236" s="6">
        <v>337</v>
      </c>
      <c r="F236" s="6">
        <v>4</v>
      </c>
      <c r="G236" s="17">
        <v>1</v>
      </c>
      <c r="H236" s="17"/>
      <c r="I236" s="17" t="s">
        <v>1505</v>
      </c>
      <c r="J236" s="17">
        <v>26650760</v>
      </c>
      <c r="K236" s="17" t="s">
        <v>1776</v>
      </c>
      <c r="L236" s="17" t="s">
        <v>1778</v>
      </c>
      <c r="M236" s="18">
        <v>219900</v>
      </c>
      <c r="N236" s="9">
        <v>0.9</v>
      </c>
      <c r="O236" s="8">
        <f t="shared" si="12"/>
        <v>21990</v>
      </c>
      <c r="P236" s="6" t="s">
        <v>15</v>
      </c>
    </row>
    <row r="237" spans="1:16" x14ac:dyDescent="0.25">
      <c r="A237" s="6" t="str">
        <f t="shared" si="13"/>
        <v>2020-2021 ALL D90</v>
      </c>
      <c r="B237" s="7">
        <f t="shared" si="14"/>
        <v>46114</v>
      </c>
      <c r="C237" s="7">
        <f t="shared" si="15"/>
        <v>46120</v>
      </c>
      <c r="D237" s="6">
        <v>3280</v>
      </c>
      <c r="E237" s="6">
        <v>337</v>
      </c>
      <c r="F237" s="6">
        <v>4</v>
      </c>
      <c r="G237" s="17">
        <v>1</v>
      </c>
      <c r="H237" s="17"/>
      <c r="I237" s="17" t="s">
        <v>1505</v>
      </c>
      <c r="J237" s="17">
        <v>26650779</v>
      </c>
      <c r="K237" s="17" t="s">
        <v>1776</v>
      </c>
      <c r="L237" s="17" t="s">
        <v>1779</v>
      </c>
      <c r="M237" s="18">
        <v>219900</v>
      </c>
      <c r="N237" s="9">
        <v>0.9</v>
      </c>
      <c r="O237" s="8">
        <f t="shared" si="12"/>
        <v>21990</v>
      </c>
      <c r="P237" s="6" t="s">
        <v>15</v>
      </c>
    </row>
    <row r="238" spans="1:16" x14ac:dyDescent="0.25">
      <c r="A238" s="6" t="str">
        <f t="shared" si="13"/>
        <v>2020-2021 ALL D90</v>
      </c>
      <c r="B238" s="7">
        <f t="shared" si="14"/>
        <v>46114</v>
      </c>
      <c r="C238" s="7">
        <f t="shared" si="15"/>
        <v>46120</v>
      </c>
      <c r="D238" s="6">
        <v>3280</v>
      </c>
      <c r="E238" s="6">
        <v>337</v>
      </c>
      <c r="F238" s="6">
        <v>4</v>
      </c>
      <c r="G238" s="17">
        <v>1</v>
      </c>
      <c r="H238" s="17"/>
      <c r="I238" s="17" t="s">
        <v>1505</v>
      </c>
      <c r="J238" s="17">
        <v>26650788</v>
      </c>
      <c r="K238" s="17" t="s">
        <v>1776</v>
      </c>
      <c r="L238" s="17" t="s">
        <v>1780</v>
      </c>
      <c r="M238" s="18">
        <v>229900</v>
      </c>
      <c r="N238" s="9">
        <v>0.9</v>
      </c>
      <c r="O238" s="8">
        <f t="shared" si="12"/>
        <v>22990</v>
      </c>
      <c r="P238" s="6" t="s">
        <v>15</v>
      </c>
    </row>
    <row r="239" spans="1:16" x14ac:dyDescent="0.25">
      <c r="A239" s="6" t="str">
        <f t="shared" si="13"/>
        <v>2020-2021 ALL D90</v>
      </c>
      <c r="B239" s="7">
        <f t="shared" si="14"/>
        <v>46114</v>
      </c>
      <c r="C239" s="7">
        <f t="shared" si="15"/>
        <v>46120</v>
      </c>
      <c r="D239" s="6">
        <v>3280</v>
      </c>
      <c r="E239" s="6">
        <v>337</v>
      </c>
      <c r="F239" s="6">
        <v>4</v>
      </c>
      <c r="G239" s="17">
        <v>1</v>
      </c>
      <c r="H239" s="17"/>
      <c r="I239" s="17" t="s">
        <v>1505</v>
      </c>
      <c r="J239" s="17">
        <v>26650797</v>
      </c>
      <c r="K239" s="17" t="s">
        <v>1776</v>
      </c>
      <c r="L239" s="17" t="s">
        <v>1781</v>
      </c>
      <c r="M239" s="18">
        <v>229900</v>
      </c>
      <c r="N239" s="9">
        <v>0.9</v>
      </c>
      <c r="O239" s="8">
        <f t="shared" si="12"/>
        <v>22990</v>
      </c>
      <c r="P239" s="6" t="s">
        <v>15</v>
      </c>
    </row>
    <row r="240" spans="1:16" x14ac:dyDescent="0.25">
      <c r="A240" s="6" t="str">
        <f t="shared" si="13"/>
        <v>2020-2021 ALL D90</v>
      </c>
      <c r="B240" s="7">
        <f t="shared" si="14"/>
        <v>46114</v>
      </c>
      <c r="C240" s="7">
        <f t="shared" si="15"/>
        <v>46120</v>
      </c>
      <c r="D240" s="6">
        <v>3280</v>
      </c>
      <c r="E240" s="6">
        <v>337</v>
      </c>
      <c r="F240" s="6">
        <v>4</v>
      </c>
      <c r="G240" s="17">
        <v>1</v>
      </c>
      <c r="H240" s="17"/>
      <c r="I240" s="17" t="s">
        <v>1505</v>
      </c>
      <c r="J240" s="17">
        <v>26650804</v>
      </c>
      <c r="K240" s="17" t="s">
        <v>1776</v>
      </c>
      <c r="L240" s="17" t="s">
        <v>1782</v>
      </c>
      <c r="M240" s="18">
        <v>229900</v>
      </c>
      <c r="N240" s="9">
        <v>0.9</v>
      </c>
      <c r="O240" s="8">
        <f t="shared" si="12"/>
        <v>22990</v>
      </c>
      <c r="P240" s="6" t="s">
        <v>15</v>
      </c>
    </row>
    <row r="241" spans="1:16" x14ac:dyDescent="0.25">
      <c r="A241" s="6" t="str">
        <f t="shared" si="13"/>
        <v>2020-2021 ALL D90</v>
      </c>
      <c r="B241" s="7">
        <f t="shared" si="14"/>
        <v>46114</v>
      </c>
      <c r="C241" s="7">
        <f t="shared" si="15"/>
        <v>46120</v>
      </c>
      <c r="D241" s="6">
        <v>3280</v>
      </c>
      <c r="E241" s="6">
        <v>337</v>
      </c>
      <c r="F241" s="6">
        <v>4</v>
      </c>
      <c r="G241" s="17">
        <v>1</v>
      </c>
      <c r="H241" s="17"/>
      <c r="I241" s="17" t="s">
        <v>1505</v>
      </c>
      <c r="J241" s="17">
        <v>26509057</v>
      </c>
      <c r="K241" s="17" t="s">
        <v>1783</v>
      </c>
      <c r="L241" s="17" t="s">
        <v>1784</v>
      </c>
      <c r="M241" s="18">
        <v>219900</v>
      </c>
      <c r="N241" s="9">
        <v>0.9</v>
      </c>
      <c r="O241" s="8">
        <f t="shared" si="12"/>
        <v>21990</v>
      </c>
      <c r="P241" s="6" t="s">
        <v>15</v>
      </c>
    </row>
    <row r="242" spans="1:16" x14ac:dyDescent="0.25">
      <c r="A242" s="6" t="str">
        <f t="shared" si="13"/>
        <v>2020-2021 ALL D90</v>
      </c>
      <c r="B242" s="7">
        <f t="shared" si="14"/>
        <v>46114</v>
      </c>
      <c r="C242" s="7">
        <f t="shared" si="15"/>
        <v>46120</v>
      </c>
      <c r="D242" s="6">
        <v>3280</v>
      </c>
      <c r="E242" s="6">
        <v>337</v>
      </c>
      <c r="F242" s="6">
        <v>4</v>
      </c>
      <c r="G242" s="17">
        <v>1</v>
      </c>
      <c r="H242" s="17"/>
      <c r="I242" s="17" t="s">
        <v>1505</v>
      </c>
      <c r="J242" s="17">
        <v>26509066</v>
      </c>
      <c r="K242" s="17" t="s">
        <v>1783</v>
      </c>
      <c r="L242" s="17" t="s">
        <v>1785</v>
      </c>
      <c r="M242" s="18">
        <v>219900</v>
      </c>
      <c r="N242" s="9">
        <v>0.9</v>
      </c>
      <c r="O242" s="8">
        <f t="shared" si="12"/>
        <v>21990</v>
      </c>
      <c r="P242" s="6" t="s">
        <v>15</v>
      </c>
    </row>
    <row r="243" spans="1:16" x14ac:dyDescent="0.25">
      <c r="A243" s="6" t="str">
        <f t="shared" si="13"/>
        <v>2020-2021 ALL D90</v>
      </c>
      <c r="B243" s="7">
        <f t="shared" si="14"/>
        <v>46114</v>
      </c>
      <c r="C243" s="7">
        <f t="shared" si="15"/>
        <v>46120</v>
      </c>
      <c r="D243" s="6">
        <v>3280</v>
      </c>
      <c r="E243" s="6">
        <v>337</v>
      </c>
      <c r="F243" s="6">
        <v>4</v>
      </c>
      <c r="G243" s="17">
        <v>1</v>
      </c>
      <c r="H243" s="17"/>
      <c r="I243" s="17" t="s">
        <v>1505</v>
      </c>
      <c r="J243" s="17">
        <v>26509075</v>
      </c>
      <c r="K243" s="17" t="s">
        <v>1783</v>
      </c>
      <c r="L243" s="17" t="s">
        <v>1786</v>
      </c>
      <c r="M243" s="18">
        <v>219900</v>
      </c>
      <c r="N243" s="9">
        <v>0.9</v>
      </c>
      <c r="O243" s="8">
        <f t="shared" si="12"/>
        <v>21990</v>
      </c>
      <c r="P243" s="6" t="s">
        <v>15</v>
      </c>
    </row>
    <row r="244" spans="1:16" x14ac:dyDescent="0.25">
      <c r="A244" s="6" t="str">
        <f t="shared" si="13"/>
        <v>2020-2021 ALL D90</v>
      </c>
      <c r="B244" s="7">
        <f t="shared" si="14"/>
        <v>46114</v>
      </c>
      <c r="C244" s="7">
        <f t="shared" si="15"/>
        <v>46120</v>
      </c>
      <c r="D244" s="6">
        <v>3280</v>
      </c>
      <c r="E244" s="6">
        <v>337</v>
      </c>
      <c r="F244" s="6">
        <v>4</v>
      </c>
      <c r="G244" s="17">
        <v>1</v>
      </c>
      <c r="H244" s="17"/>
      <c r="I244" s="17" t="s">
        <v>1505</v>
      </c>
      <c r="J244" s="17">
        <v>26509084</v>
      </c>
      <c r="K244" s="17" t="s">
        <v>1783</v>
      </c>
      <c r="L244" s="17" t="s">
        <v>1787</v>
      </c>
      <c r="M244" s="18">
        <v>229900</v>
      </c>
      <c r="N244" s="9">
        <v>0.9</v>
      </c>
      <c r="O244" s="8">
        <f t="shared" si="12"/>
        <v>22990</v>
      </c>
      <c r="P244" s="6" t="s">
        <v>15</v>
      </c>
    </row>
    <row r="245" spans="1:16" x14ac:dyDescent="0.25">
      <c r="A245" s="6" t="str">
        <f t="shared" si="13"/>
        <v>2020-2021 ALL D90</v>
      </c>
      <c r="B245" s="7">
        <f t="shared" si="14"/>
        <v>46114</v>
      </c>
      <c r="C245" s="7">
        <f t="shared" si="15"/>
        <v>46120</v>
      </c>
      <c r="D245" s="6">
        <v>3280</v>
      </c>
      <c r="E245" s="6">
        <v>337</v>
      </c>
      <c r="F245" s="6">
        <v>4</v>
      </c>
      <c r="G245" s="17">
        <v>1</v>
      </c>
      <c r="H245" s="17"/>
      <c r="I245" s="17" t="s">
        <v>1505</v>
      </c>
      <c r="J245" s="17">
        <v>26509093</v>
      </c>
      <c r="K245" s="17" t="s">
        <v>1783</v>
      </c>
      <c r="L245" s="17" t="s">
        <v>1788</v>
      </c>
      <c r="M245" s="18">
        <v>229900</v>
      </c>
      <c r="N245" s="9">
        <v>0.9</v>
      </c>
      <c r="O245" s="8">
        <f t="shared" si="12"/>
        <v>22990</v>
      </c>
      <c r="P245" s="6" t="s">
        <v>15</v>
      </c>
    </row>
    <row r="246" spans="1:16" x14ac:dyDescent="0.25">
      <c r="A246" s="6" t="str">
        <f t="shared" si="13"/>
        <v>2020-2021 ALL D90</v>
      </c>
      <c r="B246" s="7">
        <f t="shared" si="14"/>
        <v>46114</v>
      </c>
      <c r="C246" s="7">
        <f t="shared" si="15"/>
        <v>46120</v>
      </c>
      <c r="D246" s="6">
        <v>3280</v>
      </c>
      <c r="E246" s="6">
        <v>337</v>
      </c>
      <c r="F246" s="6">
        <v>4</v>
      </c>
      <c r="G246" s="17">
        <v>1</v>
      </c>
      <c r="H246" s="17"/>
      <c r="I246" s="17" t="s">
        <v>1505</v>
      </c>
      <c r="J246" s="17">
        <v>26509100</v>
      </c>
      <c r="K246" s="17" t="s">
        <v>1783</v>
      </c>
      <c r="L246" s="17" t="s">
        <v>1789</v>
      </c>
      <c r="M246" s="18">
        <v>229900</v>
      </c>
      <c r="N246" s="9">
        <v>0.9</v>
      </c>
      <c r="O246" s="8">
        <f t="shared" si="12"/>
        <v>22990</v>
      </c>
      <c r="P246" s="6" t="s">
        <v>15</v>
      </c>
    </row>
    <row r="247" spans="1:16" x14ac:dyDescent="0.25">
      <c r="A247" s="6" t="str">
        <f t="shared" si="13"/>
        <v>2020-2021 ALL D90</v>
      </c>
      <c r="B247" s="7">
        <f t="shared" si="14"/>
        <v>46114</v>
      </c>
      <c r="C247" s="7">
        <f t="shared" si="15"/>
        <v>46120</v>
      </c>
      <c r="D247" s="6">
        <v>3280</v>
      </c>
      <c r="E247" s="6">
        <v>337</v>
      </c>
      <c r="F247" s="6">
        <v>4</v>
      </c>
      <c r="G247" s="17">
        <v>1</v>
      </c>
      <c r="H247" s="17"/>
      <c r="I247" s="17" t="s">
        <v>1505</v>
      </c>
      <c r="J247" s="17">
        <v>26852793</v>
      </c>
      <c r="K247" s="17" t="s">
        <v>1790</v>
      </c>
      <c r="L247" s="17" t="s">
        <v>1791</v>
      </c>
      <c r="M247" s="18">
        <v>209900</v>
      </c>
      <c r="N247" s="9">
        <v>0.9</v>
      </c>
      <c r="O247" s="8">
        <f t="shared" si="12"/>
        <v>20990</v>
      </c>
      <c r="P247" s="6" t="s">
        <v>15</v>
      </c>
    </row>
    <row r="248" spans="1:16" x14ac:dyDescent="0.25">
      <c r="A248" s="6" t="str">
        <f t="shared" si="13"/>
        <v>2020-2021 ALL D90</v>
      </c>
      <c r="B248" s="7">
        <f t="shared" si="14"/>
        <v>46114</v>
      </c>
      <c r="C248" s="7">
        <f t="shared" si="15"/>
        <v>46120</v>
      </c>
      <c r="D248" s="6">
        <v>3280</v>
      </c>
      <c r="E248" s="6">
        <v>337</v>
      </c>
      <c r="F248" s="6">
        <v>4</v>
      </c>
      <c r="G248" s="17">
        <v>1</v>
      </c>
      <c r="H248" s="17"/>
      <c r="I248" s="17" t="s">
        <v>1505</v>
      </c>
      <c r="J248" s="17">
        <v>26852800</v>
      </c>
      <c r="K248" s="17" t="s">
        <v>1790</v>
      </c>
      <c r="L248" s="17" t="s">
        <v>1792</v>
      </c>
      <c r="M248" s="18">
        <v>209900</v>
      </c>
      <c r="N248" s="9">
        <v>0.9</v>
      </c>
      <c r="O248" s="8">
        <f t="shared" si="12"/>
        <v>20990</v>
      </c>
      <c r="P248" s="6" t="s">
        <v>15</v>
      </c>
    </row>
    <row r="249" spans="1:16" x14ac:dyDescent="0.25">
      <c r="A249" s="6" t="str">
        <f t="shared" si="13"/>
        <v>2020-2021 ALL D90</v>
      </c>
      <c r="B249" s="7">
        <f t="shared" si="14"/>
        <v>46114</v>
      </c>
      <c r="C249" s="7">
        <f t="shared" si="15"/>
        <v>46120</v>
      </c>
      <c r="D249" s="6">
        <v>3280</v>
      </c>
      <c r="E249" s="6">
        <v>337</v>
      </c>
      <c r="F249" s="6">
        <v>4</v>
      </c>
      <c r="G249" s="17">
        <v>1</v>
      </c>
      <c r="H249" s="17"/>
      <c r="I249" s="17" t="s">
        <v>1505</v>
      </c>
      <c r="J249" s="17">
        <v>26852819</v>
      </c>
      <c r="K249" s="17" t="s">
        <v>1790</v>
      </c>
      <c r="L249" s="17" t="s">
        <v>1793</v>
      </c>
      <c r="M249" s="18">
        <v>209900</v>
      </c>
      <c r="N249" s="9">
        <v>0.9</v>
      </c>
      <c r="O249" s="8">
        <f t="shared" si="12"/>
        <v>20990</v>
      </c>
      <c r="P249" s="6" t="s">
        <v>15</v>
      </c>
    </row>
    <row r="250" spans="1:16" x14ac:dyDescent="0.25">
      <c r="A250" s="6" t="str">
        <f t="shared" si="13"/>
        <v>2020-2021 ALL D90</v>
      </c>
      <c r="B250" s="7">
        <f t="shared" si="14"/>
        <v>46114</v>
      </c>
      <c r="C250" s="7">
        <f t="shared" si="15"/>
        <v>46120</v>
      </c>
      <c r="D250" s="6">
        <v>3280</v>
      </c>
      <c r="E250" s="6">
        <v>337</v>
      </c>
      <c r="F250" s="6">
        <v>4</v>
      </c>
      <c r="G250" s="17">
        <v>1</v>
      </c>
      <c r="H250" s="17"/>
      <c r="I250" s="17" t="s">
        <v>1505</v>
      </c>
      <c r="J250" s="17">
        <v>26852828</v>
      </c>
      <c r="K250" s="17" t="s">
        <v>1790</v>
      </c>
      <c r="L250" s="17" t="s">
        <v>1794</v>
      </c>
      <c r="M250" s="18">
        <v>219900</v>
      </c>
      <c r="N250" s="9">
        <v>0.9</v>
      </c>
      <c r="O250" s="8">
        <f t="shared" si="12"/>
        <v>21990</v>
      </c>
      <c r="P250" s="6" t="s">
        <v>15</v>
      </c>
    </row>
    <row r="251" spans="1:16" x14ac:dyDescent="0.25">
      <c r="A251" s="6" t="str">
        <f t="shared" si="13"/>
        <v>2020-2021 ALL D90</v>
      </c>
      <c r="B251" s="7">
        <f t="shared" si="14"/>
        <v>46114</v>
      </c>
      <c r="C251" s="7">
        <f t="shared" si="15"/>
        <v>46120</v>
      </c>
      <c r="D251" s="6">
        <v>3280</v>
      </c>
      <c r="E251" s="6">
        <v>337</v>
      </c>
      <c r="F251" s="6">
        <v>4</v>
      </c>
      <c r="G251" s="17">
        <v>1</v>
      </c>
      <c r="H251" s="17"/>
      <c r="I251" s="17" t="s">
        <v>1505</v>
      </c>
      <c r="J251" s="17">
        <v>26852837</v>
      </c>
      <c r="K251" s="17" t="s">
        <v>1790</v>
      </c>
      <c r="L251" s="17" t="s">
        <v>1795</v>
      </c>
      <c r="M251" s="18">
        <v>219900</v>
      </c>
      <c r="N251" s="9">
        <v>0.9</v>
      </c>
      <c r="O251" s="8">
        <f t="shared" si="12"/>
        <v>21990</v>
      </c>
      <c r="P251" s="6" t="s">
        <v>15</v>
      </c>
    </row>
    <row r="252" spans="1:16" x14ac:dyDescent="0.25">
      <c r="A252" s="6" t="str">
        <f t="shared" si="13"/>
        <v>2020-2021 ALL D90</v>
      </c>
      <c r="B252" s="7">
        <f t="shared" si="14"/>
        <v>46114</v>
      </c>
      <c r="C252" s="7">
        <f t="shared" si="15"/>
        <v>46120</v>
      </c>
      <c r="D252" s="6">
        <v>3280</v>
      </c>
      <c r="E252" s="6">
        <v>337</v>
      </c>
      <c r="F252" s="6">
        <v>4</v>
      </c>
      <c r="G252" s="17">
        <v>1</v>
      </c>
      <c r="H252" s="17"/>
      <c r="I252" s="17" t="s">
        <v>1505</v>
      </c>
      <c r="J252" s="17">
        <v>26852846</v>
      </c>
      <c r="K252" s="17" t="s">
        <v>1790</v>
      </c>
      <c r="L252" s="17" t="s">
        <v>1796</v>
      </c>
      <c r="M252" s="18">
        <v>219900</v>
      </c>
      <c r="N252" s="9">
        <v>0.9</v>
      </c>
      <c r="O252" s="8">
        <f t="shared" si="12"/>
        <v>21990</v>
      </c>
      <c r="P252" s="6" t="s">
        <v>15</v>
      </c>
    </row>
    <row r="253" spans="1:16" x14ac:dyDescent="0.25">
      <c r="A253" s="6" t="str">
        <f t="shared" si="13"/>
        <v>2020-2021 ALL D90</v>
      </c>
      <c r="B253" s="7">
        <f t="shared" si="14"/>
        <v>46114</v>
      </c>
      <c r="C253" s="7">
        <f t="shared" si="15"/>
        <v>46120</v>
      </c>
      <c r="D253" s="6">
        <v>3280</v>
      </c>
      <c r="E253" s="6">
        <v>337</v>
      </c>
      <c r="F253" s="6">
        <v>4</v>
      </c>
      <c r="G253" s="17">
        <v>1</v>
      </c>
      <c r="H253" s="17"/>
      <c r="I253" s="17" t="s">
        <v>1505</v>
      </c>
      <c r="J253" s="17">
        <v>26860104</v>
      </c>
      <c r="K253" s="17" t="s">
        <v>1797</v>
      </c>
      <c r="L253" s="17" t="s">
        <v>1798</v>
      </c>
      <c r="M253" s="18">
        <v>209900</v>
      </c>
      <c r="N253" s="9">
        <v>0.9</v>
      </c>
      <c r="O253" s="8">
        <f t="shared" si="12"/>
        <v>20990</v>
      </c>
      <c r="P253" s="6" t="s">
        <v>15</v>
      </c>
    </row>
    <row r="254" spans="1:16" x14ac:dyDescent="0.25">
      <c r="A254" s="6" t="str">
        <f t="shared" si="13"/>
        <v>2020-2021 ALL D90</v>
      </c>
      <c r="B254" s="7">
        <f t="shared" si="14"/>
        <v>46114</v>
      </c>
      <c r="C254" s="7">
        <f t="shared" si="15"/>
        <v>46120</v>
      </c>
      <c r="D254" s="6">
        <v>3280</v>
      </c>
      <c r="E254" s="6">
        <v>337</v>
      </c>
      <c r="F254" s="6">
        <v>4</v>
      </c>
      <c r="G254" s="17">
        <v>1</v>
      </c>
      <c r="H254" s="17"/>
      <c r="I254" s="17" t="s">
        <v>1505</v>
      </c>
      <c r="J254" s="17">
        <v>26860113</v>
      </c>
      <c r="K254" s="17" t="s">
        <v>1797</v>
      </c>
      <c r="L254" s="17" t="s">
        <v>1799</v>
      </c>
      <c r="M254" s="18">
        <v>209900</v>
      </c>
      <c r="N254" s="9">
        <v>0.9</v>
      </c>
      <c r="O254" s="8">
        <f t="shared" si="12"/>
        <v>20990</v>
      </c>
      <c r="P254" s="6" t="s">
        <v>15</v>
      </c>
    </row>
    <row r="255" spans="1:16" x14ac:dyDescent="0.25">
      <c r="A255" s="6" t="str">
        <f t="shared" si="13"/>
        <v>2020-2021 ALL D90</v>
      </c>
      <c r="B255" s="7">
        <f t="shared" si="14"/>
        <v>46114</v>
      </c>
      <c r="C255" s="7">
        <f t="shared" si="15"/>
        <v>46120</v>
      </c>
      <c r="D255" s="6">
        <v>3280</v>
      </c>
      <c r="E255" s="6">
        <v>337</v>
      </c>
      <c r="F255" s="6">
        <v>4</v>
      </c>
      <c r="G255" s="17">
        <v>1</v>
      </c>
      <c r="H255" s="17"/>
      <c r="I255" s="17" t="s">
        <v>1505</v>
      </c>
      <c r="J255" s="17">
        <v>26860122</v>
      </c>
      <c r="K255" s="17" t="s">
        <v>1797</v>
      </c>
      <c r="L255" s="17" t="s">
        <v>1800</v>
      </c>
      <c r="M255" s="18">
        <v>209900</v>
      </c>
      <c r="N255" s="9">
        <v>0.9</v>
      </c>
      <c r="O255" s="8">
        <f t="shared" si="12"/>
        <v>20990</v>
      </c>
      <c r="P255" s="6" t="s">
        <v>15</v>
      </c>
    </row>
    <row r="256" spans="1:16" x14ac:dyDescent="0.25">
      <c r="A256" s="6" t="str">
        <f t="shared" si="13"/>
        <v>2020-2021 ALL D90</v>
      </c>
      <c r="B256" s="7">
        <f t="shared" si="14"/>
        <v>46114</v>
      </c>
      <c r="C256" s="7">
        <f t="shared" si="15"/>
        <v>46120</v>
      </c>
      <c r="D256" s="6">
        <v>3280</v>
      </c>
      <c r="E256" s="6">
        <v>337</v>
      </c>
      <c r="F256" s="6">
        <v>4</v>
      </c>
      <c r="G256" s="17">
        <v>1</v>
      </c>
      <c r="H256" s="17"/>
      <c r="I256" s="17" t="s">
        <v>1505</v>
      </c>
      <c r="J256" s="17">
        <v>26860131</v>
      </c>
      <c r="K256" s="17" t="s">
        <v>1797</v>
      </c>
      <c r="L256" s="17" t="s">
        <v>1801</v>
      </c>
      <c r="M256" s="18">
        <v>219900</v>
      </c>
      <c r="N256" s="9">
        <v>0.9</v>
      </c>
      <c r="O256" s="8">
        <f t="shared" si="12"/>
        <v>21990</v>
      </c>
      <c r="P256" s="6" t="s">
        <v>15</v>
      </c>
    </row>
    <row r="257" spans="1:16" x14ac:dyDescent="0.25">
      <c r="A257" s="6" t="str">
        <f t="shared" si="13"/>
        <v>2020-2021 ALL D90</v>
      </c>
      <c r="B257" s="7">
        <f t="shared" si="14"/>
        <v>46114</v>
      </c>
      <c r="C257" s="7">
        <f t="shared" si="15"/>
        <v>46120</v>
      </c>
      <c r="D257" s="6">
        <v>3280</v>
      </c>
      <c r="E257" s="6">
        <v>337</v>
      </c>
      <c r="F257" s="6">
        <v>4</v>
      </c>
      <c r="G257" s="17">
        <v>1</v>
      </c>
      <c r="H257" s="17"/>
      <c r="I257" s="17" t="s">
        <v>1505</v>
      </c>
      <c r="J257" s="17">
        <v>26860140</v>
      </c>
      <c r="K257" s="17" t="s">
        <v>1797</v>
      </c>
      <c r="L257" s="17" t="s">
        <v>1802</v>
      </c>
      <c r="M257" s="18">
        <v>219900</v>
      </c>
      <c r="N257" s="9">
        <v>0.9</v>
      </c>
      <c r="O257" s="8">
        <f t="shared" si="12"/>
        <v>21990</v>
      </c>
      <c r="P257" s="6" t="s">
        <v>15</v>
      </c>
    </row>
    <row r="258" spans="1:16" x14ac:dyDescent="0.25">
      <c r="A258" s="6" t="str">
        <f t="shared" si="13"/>
        <v>2020-2021 ALL D90</v>
      </c>
      <c r="B258" s="7">
        <f t="shared" si="14"/>
        <v>46114</v>
      </c>
      <c r="C258" s="7">
        <f t="shared" si="15"/>
        <v>46120</v>
      </c>
      <c r="D258" s="6">
        <v>3280</v>
      </c>
      <c r="E258" s="6">
        <v>337</v>
      </c>
      <c r="F258" s="6">
        <v>4</v>
      </c>
      <c r="G258" s="17">
        <v>1</v>
      </c>
      <c r="H258" s="17"/>
      <c r="I258" s="17" t="s">
        <v>1505</v>
      </c>
      <c r="J258" s="17">
        <v>26860159</v>
      </c>
      <c r="K258" s="17" t="s">
        <v>1797</v>
      </c>
      <c r="L258" s="17" t="s">
        <v>1803</v>
      </c>
      <c r="M258" s="18">
        <v>219900</v>
      </c>
      <c r="N258" s="9">
        <v>0.9</v>
      </c>
      <c r="O258" s="8">
        <f t="shared" si="12"/>
        <v>21990</v>
      </c>
      <c r="P258" s="6" t="s">
        <v>15</v>
      </c>
    </row>
    <row r="259" spans="1:16" x14ac:dyDescent="0.25">
      <c r="A259" s="6" t="str">
        <f t="shared" si="13"/>
        <v>2020-2021 ALL D90</v>
      </c>
      <c r="B259" s="7">
        <f t="shared" si="14"/>
        <v>46114</v>
      </c>
      <c r="C259" s="7">
        <f t="shared" si="15"/>
        <v>46120</v>
      </c>
      <c r="D259" s="6">
        <v>3280</v>
      </c>
      <c r="E259" s="6">
        <v>337</v>
      </c>
      <c r="F259" s="6">
        <v>4</v>
      </c>
      <c r="G259" s="17">
        <v>1</v>
      </c>
      <c r="H259" s="17"/>
      <c r="I259" s="17" t="s">
        <v>1505</v>
      </c>
      <c r="J259" s="17">
        <v>26862219</v>
      </c>
      <c r="K259" s="17" t="s">
        <v>1804</v>
      </c>
      <c r="L259" s="17" t="s">
        <v>1805</v>
      </c>
      <c r="M259" s="18">
        <v>209900</v>
      </c>
      <c r="N259" s="9">
        <v>0.9</v>
      </c>
      <c r="O259" s="8">
        <f t="shared" ref="O259:O322" si="16">M259-((90*M259)/100)</f>
        <v>20990</v>
      </c>
      <c r="P259" s="6" t="s">
        <v>15</v>
      </c>
    </row>
    <row r="260" spans="1:16" x14ac:dyDescent="0.25">
      <c r="A260" s="6" t="str">
        <f t="shared" ref="A260:A323" si="17">A259</f>
        <v>2020-2021 ALL D90</v>
      </c>
      <c r="B260" s="7">
        <f t="shared" ref="B260:B323" si="18">B259</f>
        <v>46114</v>
      </c>
      <c r="C260" s="7">
        <f t="shared" ref="C260:C323" si="19">C259</f>
        <v>46120</v>
      </c>
      <c r="D260" s="6">
        <v>3280</v>
      </c>
      <c r="E260" s="6">
        <v>337</v>
      </c>
      <c r="F260" s="6">
        <v>4</v>
      </c>
      <c r="G260" s="17">
        <v>1</v>
      </c>
      <c r="H260" s="17"/>
      <c r="I260" s="17" t="s">
        <v>1505</v>
      </c>
      <c r="J260" s="17">
        <v>26862228</v>
      </c>
      <c r="K260" s="17" t="s">
        <v>1804</v>
      </c>
      <c r="L260" s="17" t="s">
        <v>1806</v>
      </c>
      <c r="M260" s="18">
        <v>209900</v>
      </c>
      <c r="N260" s="9">
        <v>0.9</v>
      </c>
      <c r="O260" s="8">
        <f t="shared" si="16"/>
        <v>20990</v>
      </c>
      <c r="P260" s="6" t="s">
        <v>15</v>
      </c>
    </row>
    <row r="261" spans="1:16" x14ac:dyDescent="0.25">
      <c r="A261" s="6" t="str">
        <f t="shared" si="17"/>
        <v>2020-2021 ALL D90</v>
      </c>
      <c r="B261" s="7">
        <f t="shared" si="18"/>
        <v>46114</v>
      </c>
      <c r="C261" s="7">
        <f t="shared" si="19"/>
        <v>46120</v>
      </c>
      <c r="D261" s="6">
        <v>3280</v>
      </c>
      <c r="E261" s="6">
        <v>337</v>
      </c>
      <c r="F261" s="6">
        <v>4</v>
      </c>
      <c r="G261" s="17">
        <v>1</v>
      </c>
      <c r="H261" s="17"/>
      <c r="I261" s="17" t="s">
        <v>1505</v>
      </c>
      <c r="J261" s="17">
        <v>26862237</v>
      </c>
      <c r="K261" s="17" t="s">
        <v>1804</v>
      </c>
      <c r="L261" s="17" t="s">
        <v>1807</v>
      </c>
      <c r="M261" s="18">
        <v>209900</v>
      </c>
      <c r="N261" s="9">
        <v>0.9</v>
      </c>
      <c r="O261" s="8">
        <f t="shared" si="16"/>
        <v>20990</v>
      </c>
      <c r="P261" s="6" t="s">
        <v>15</v>
      </c>
    </row>
    <row r="262" spans="1:16" x14ac:dyDescent="0.25">
      <c r="A262" s="6" t="str">
        <f t="shared" si="17"/>
        <v>2020-2021 ALL D90</v>
      </c>
      <c r="B262" s="7">
        <f t="shared" si="18"/>
        <v>46114</v>
      </c>
      <c r="C262" s="7">
        <f t="shared" si="19"/>
        <v>46120</v>
      </c>
      <c r="D262" s="6">
        <v>3280</v>
      </c>
      <c r="E262" s="6">
        <v>337</v>
      </c>
      <c r="F262" s="6">
        <v>4</v>
      </c>
      <c r="G262" s="17">
        <v>1</v>
      </c>
      <c r="H262" s="17"/>
      <c r="I262" s="17" t="s">
        <v>1505</v>
      </c>
      <c r="J262" s="17">
        <v>26862246</v>
      </c>
      <c r="K262" s="17" t="s">
        <v>1804</v>
      </c>
      <c r="L262" s="17" t="s">
        <v>1808</v>
      </c>
      <c r="M262" s="18">
        <v>219900</v>
      </c>
      <c r="N262" s="9">
        <v>0.9</v>
      </c>
      <c r="O262" s="8">
        <f t="shared" si="16"/>
        <v>21990</v>
      </c>
      <c r="P262" s="6" t="s">
        <v>15</v>
      </c>
    </row>
    <row r="263" spans="1:16" x14ac:dyDescent="0.25">
      <c r="A263" s="6" t="str">
        <f t="shared" si="17"/>
        <v>2020-2021 ALL D90</v>
      </c>
      <c r="B263" s="7">
        <f t="shared" si="18"/>
        <v>46114</v>
      </c>
      <c r="C263" s="7">
        <f t="shared" si="19"/>
        <v>46120</v>
      </c>
      <c r="D263" s="6">
        <v>3280</v>
      </c>
      <c r="E263" s="6">
        <v>337</v>
      </c>
      <c r="F263" s="6">
        <v>4</v>
      </c>
      <c r="G263" s="17">
        <v>1</v>
      </c>
      <c r="H263" s="17"/>
      <c r="I263" s="17" t="s">
        <v>1505</v>
      </c>
      <c r="J263" s="17">
        <v>26862255</v>
      </c>
      <c r="K263" s="17" t="s">
        <v>1804</v>
      </c>
      <c r="L263" s="17" t="s">
        <v>1809</v>
      </c>
      <c r="M263" s="18">
        <v>219900</v>
      </c>
      <c r="N263" s="9">
        <v>0.9</v>
      </c>
      <c r="O263" s="8">
        <f t="shared" si="16"/>
        <v>21990</v>
      </c>
      <c r="P263" s="6" t="s">
        <v>15</v>
      </c>
    </row>
    <row r="264" spans="1:16" x14ac:dyDescent="0.25">
      <c r="A264" s="6" t="str">
        <f t="shared" si="17"/>
        <v>2020-2021 ALL D90</v>
      </c>
      <c r="B264" s="7">
        <f t="shared" si="18"/>
        <v>46114</v>
      </c>
      <c r="C264" s="7">
        <f t="shared" si="19"/>
        <v>46120</v>
      </c>
      <c r="D264" s="6">
        <v>3280</v>
      </c>
      <c r="E264" s="6">
        <v>337</v>
      </c>
      <c r="F264" s="6">
        <v>4</v>
      </c>
      <c r="G264" s="17">
        <v>1</v>
      </c>
      <c r="H264" s="17"/>
      <c r="I264" s="17" t="s">
        <v>1505</v>
      </c>
      <c r="J264" s="17">
        <v>26862264</v>
      </c>
      <c r="K264" s="17" t="s">
        <v>1804</v>
      </c>
      <c r="L264" s="17" t="s">
        <v>1810</v>
      </c>
      <c r="M264" s="18">
        <v>219900</v>
      </c>
      <c r="N264" s="9">
        <v>0.9</v>
      </c>
      <c r="O264" s="8">
        <f t="shared" si="16"/>
        <v>21990</v>
      </c>
      <c r="P264" s="6" t="s">
        <v>15</v>
      </c>
    </row>
    <row r="265" spans="1:16" x14ac:dyDescent="0.25">
      <c r="A265" s="6" t="str">
        <f t="shared" si="17"/>
        <v>2020-2021 ALL D90</v>
      </c>
      <c r="B265" s="7">
        <f t="shared" si="18"/>
        <v>46114</v>
      </c>
      <c r="C265" s="7">
        <f t="shared" si="19"/>
        <v>46120</v>
      </c>
      <c r="D265" s="6">
        <v>3280</v>
      </c>
      <c r="E265" s="6">
        <v>337</v>
      </c>
      <c r="F265" s="6">
        <v>4</v>
      </c>
      <c r="G265" s="17">
        <v>1</v>
      </c>
      <c r="H265" s="17"/>
      <c r="I265" s="17" t="s">
        <v>1505</v>
      </c>
      <c r="J265" s="17">
        <v>28482279</v>
      </c>
      <c r="K265" s="17" t="s">
        <v>1811</v>
      </c>
      <c r="L265" s="17" t="s">
        <v>1812</v>
      </c>
      <c r="M265" s="18">
        <v>219900</v>
      </c>
      <c r="N265" s="9">
        <v>0.9</v>
      </c>
      <c r="O265" s="8">
        <f t="shared" si="16"/>
        <v>21990</v>
      </c>
      <c r="P265" s="6" t="s">
        <v>15</v>
      </c>
    </row>
    <row r="266" spans="1:16" x14ac:dyDescent="0.25">
      <c r="A266" s="6" t="str">
        <f t="shared" si="17"/>
        <v>2020-2021 ALL D90</v>
      </c>
      <c r="B266" s="7">
        <f t="shared" si="18"/>
        <v>46114</v>
      </c>
      <c r="C266" s="7">
        <f t="shared" si="19"/>
        <v>46120</v>
      </c>
      <c r="D266" s="6">
        <v>3280</v>
      </c>
      <c r="E266" s="6">
        <v>337</v>
      </c>
      <c r="F266" s="6">
        <v>4</v>
      </c>
      <c r="G266" s="17">
        <v>1</v>
      </c>
      <c r="H266" s="17"/>
      <c r="I266" s="17" t="s">
        <v>1505</v>
      </c>
      <c r="J266" s="17">
        <v>28482288</v>
      </c>
      <c r="K266" s="17" t="s">
        <v>1811</v>
      </c>
      <c r="L266" s="17" t="s">
        <v>1813</v>
      </c>
      <c r="M266" s="18">
        <v>219900</v>
      </c>
      <c r="N266" s="9">
        <v>0.9</v>
      </c>
      <c r="O266" s="8">
        <f t="shared" si="16"/>
        <v>21990</v>
      </c>
      <c r="P266" s="6" t="s">
        <v>15</v>
      </c>
    </row>
    <row r="267" spans="1:16" x14ac:dyDescent="0.25">
      <c r="A267" s="6" t="str">
        <f t="shared" si="17"/>
        <v>2020-2021 ALL D90</v>
      </c>
      <c r="B267" s="7">
        <f t="shared" si="18"/>
        <v>46114</v>
      </c>
      <c r="C267" s="7">
        <f t="shared" si="19"/>
        <v>46120</v>
      </c>
      <c r="D267" s="6">
        <v>3280</v>
      </c>
      <c r="E267" s="6">
        <v>337</v>
      </c>
      <c r="F267" s="6">
        <v>4</v>
      </c>
      <c r="G267" s="17">
        <v>1</v>
      </c>
      <c r="H267" s="17"/>
      <c r="I267" s="17" t="s">
        <v>1505</v>
      </c>
      <c r="J267" s="17">
        <v>28482297</v>
      </c>
      <c r="K267" s="17" t="s">
        <v>1811</v>
      </c>
      <c r="L267" s="17" t="s">
        <v>1814</v>
      </c>
      <c r="M267" s="18">
        <v>219900</v>
      </c>
      <c r="N267" s="9">
        <v>0.9</v>
      </c>
      <c r="O267" s="8">
        <f t="shared" si="16"/>
        <v>21990</v>
      </c>
      <c r="P267" s="6" t="s">
        <v>15</v>
      </c>
    </row>
    <row r="268" spans="1:16" x14ac:dyDescent="0.25">
      <c r="A268" s="6" t="str">
        <f t="shared" si="17"/>
        <v>2020-2021 ALL D90</v>
      </c>
      <c r="B268" s="7">
        <f t="shared" si="18"/>
        <v>46114</v>
      </c>
      <c r="C268" s="7">
        <f t="shared" si="19"/>
        <v>46120</v>
      </c>
      <c r="D268" s="6">
        <v>3280</v>
      </c>
      <c r="E268" s="6">
        <v>337</v>
      </c>
      <c r="F268" s="6">
        <v>4</v>
      </c>
      <c r="G268" s="17">
        <v>1</v>
      </c>
      <c r="H268" s="17"/>
      <c r="I268" s="17" t="s">
        <v>1505</v>
      </c>
      <c r="J268" s="17">
        <v>28482304</v>
      </c>
      <c r="K268" s="17" t="s">
        <v>1811</v>
      </c>
      <c r="L268" s="17" t="s">
        <v>1815</v>
      </c>
      <c r="M268" s="18">
        <v>229900</v>
      </c>
      <c r="N268" s="9">
        <v>0.9</v>
      </c>
      <c r="O268" s="8">
        <f t="shared" si="16"/>
        <v>22990</v>
      </c>
      <c r="P268" s="6" t="s">
        <v>15</v>
      </c>
    </row>
    <row r="269" spans="1:16" x14ac:dyDescent="0.25">
      <c r="A269" s="6" t="str">
        <f t="shared" si="17"/>
        <v>2020-2021 ALL D90</v>
      </c>
      <c r="B269" s="7">
        <f t="shared" si="18"/>
        <v>46114</v>
      </c>
      <c r="C269" s="7">
        <f t="shared" si="19"/>
        <v>46120</v>
      </c>
      <c r="D269" s="6">
        <v>3280</v>
      </c>
      <c r="E269" s="6">
        <v>337</v>
      </c>
      <c r="F269" s="6">
        <v>4</v>
      </c>
      <c r="G269" s="17">
        <v>1</v>
      </c>
      <c r="H269" s="17"/>
      <c r="I269" s="17" t="s">
        <v>1505</v>
      </c>
      <c r="J269" s="17">
        <v>28482313</v>
      </c>
      <c r="K269" s="17" t="s">
        <v>1811</v>
      </c>
      <c r="L269" s="17" t="s">
        <v>1816</v>
      </c>
      <c r="M269" s="18">
        <v>229900</v>
      </c>
      <c r="N269" s="9">
        <v>0.9</v>
      </c>
      <c r="O269" s="8">
        <f t="shared" si="16"/>
        <v>22990</v>
      </c>
      <c r="P269" s="6" t="s">
        <v>15</v>
      </c>
    </row>
    <row r="270" spans="1:16" x14ac:dyDescent="0.25">
      <c r="A270" s="6" t="str">
        <f t="shared" si="17"/>
        <v>2020-2021 ALL D90</v>
      </c>
      <c r="B270" s="7">
        <f t="shared" si="18"/>
        <v>46114</v>
      </c>
      <c r="C270" s="7">
        <f t="shared" si="19"/>
        <v>46120</v>
      </c>
      <c r="D270" s="6">
        <v>3280</v>
      </c>
      <c r="E270" s="6">
        <v>337</v>
      </c>
      <c r="F270" s="6">
        <v>4</v>
      </c>
      <c r="G270" s="17">
        <v>1</v>
      </c>
      <c r="H270" s="17"/>
      <c r="I270" s="17" t="s">
        <v>1505</v>
      </c>
      <c r="J270" s="17">
        <v>28482322</v>
      </c>
      <c r="K270" s="17" t="s">
        <v>1811</v>
      </c>
      <c r="L270" s="17" t="s">
        <v>1817</v>
      </c>
      <c r="M270" s="18">
        <v>229900</v>
      </c>
      <c r="N270" s="9">
        <v>0.9</v>
      </c>
      <c r="O270" s="8">
        <f t="shared" si="16"/>
        <v>22990</v>
      </c>
      <c r="P270" s="6" t="s">
        <v>15</v>
      </c>
    </row>
    <row r="271" spans="1:16" x14ac:dyDescent="0.25">
      <c r="A271" s="6" t="str">
        <f t="shared" si="17"/>
        <v>2020-2021 ALL D90</v>
      </c>
      <c r="B271" s="7">
        <f t="shared" si="18"/>
        <v>46114</v>
      </c>
      <c r="C271" s="7">
        <f t="shared" si="19"/>
        <v>46120</v>
      </c>
      <c r="D271" s="6">
        <v>3280</v>
      </c>
      <c r="E271" s="6">
        <v>337</v>
      </c>
      <c r="F271" s="6">
        <v>4</v>
      </c>
      <c r="G271" s="17">
        <v>1</v>
      </c>
      <c r="H271" s="17"/>
      <c r="I271" s="17" t="s">
        <v>1505</v>
      </c>
      <c r="J271" s="17">
        <v>28537344</v>
      </c>
      <c r="K271" s="17" t="s">
        <v>1818</v>
      </c>
      <c r="L271" s="17" t="s">
        <v>1819</v>
      </c>
      <c r="M271" s="18">
        <v>229900</v>
      </c>
      <c r="N271" s="9">
        <v>0.9</v>
      </c>
      <c r="O271" s="8">
        <f t="shared" si="16"/>
        <v>22990</v>
      </c>
      <c r="P271" s="6" t="s">
        <v>15</v>
      </c>
    </row>
    <row r="272" spans="1:16" x14ac:dyDescent="0.25">
      <c r="A272" s="6" t="str">
        <f t="shared" si="17"/>
        <v>2020-2021 ALL D90</v>
      </c>
      <c r="B272" s="7">
        <f t="shared" si="18"/>
        <v>46114</v>
      </c>
      <c r="C272" s="7">
        <f t="shared" si="19"/>
        <v>46120</v>
      </c>
      <c r="D272" s="6">
        <v>3280</v>
      </c>
      <c r="E272" s="6">
        <v>337</v>
      </c>
      <c r="F272" s="6">
        <v>4</v>
      </c>
      <c r="G272" s="17">
        <v>1</v>
      </c>
      <c r="H272" s="17"/>
      <c r="I272" s="17" t="s">
        <v>1505</v>
      </c>
      <c r="J272" s="17">
        <v>28537353</v>
      </c>
      <c r="K272" s="17" t="s">
        <v>1818</v>
      </c>
      <c r="L272" s="17" t="s">
        <v>1820</v>
      </c>
      <c r="M272" s="18">
        <v>229900</v>
      </c>
      <c r="N272" s="9">
        <v>0.9</v>
      </c>
      <c r="O272" s="8">
        <f t="shared" si="16"/>
        <v>22990</v>
      </c>
      <c r="P272" s="6" t="s">
        <v>15</v>
      </c>
    </row>
    <row r="273" spans="1:16" x14ac:dyDescent="0.25">
      <c r="A273" s="6" t="str">
        <f t="shared" si="17"/>
        <v>2020-2021 ALL D90</v>
      </c>
      <c r="B273" s="7">
        <f t="shared" si="18"/>
        <v>46114</v>
      </c>
      <c r="C273" s="7">
        <f t="shared" si="19"/>
        <v>46120</v>
      </c>
      <c r="D273" s="6">
        <v>3280</v>
      </c>
      <c r="E273" s="6">
        <v>337</v>
      </c>
      <c r="F273" s="6">
        <v>4</v>
      </c>
      <c r="G273" s="17">
        <v>1</v>
      </c>
      <c r="H273" s="17"/>
      <c r="I273" s="17" t="s">
        <v>1505</v>
      </c>
      <c r="J273" s="17">
        <v>28537362</v>
      </c>
      <c r="K273" s="17" t="s">
        <v>1818</v>
      </c>
      <c r="L273" s="17" t="s">
        <v>1821</v>
      </c>
      <c r="M273" s="18">
        <v>229900</v>
      </c>
      <c r="N273" s="9">
        <v>0.9</v>
      </c>
      <c r="O273" s="8">
        <f t="shared" si="16"/>
        <v>22990</v>
      </c>
      <c r="P273" s="6" t="s">
        <v>15</v>
      </c>
    </row>
    <row r="274" spans="1:16" x14ac:dyDescent="0.25">
      <c r="A274" s="6" t="str">
        <f t="shared" si="17"/>
        <v>2020-2021 ALL D90</v>
      </c>
      <c r="B274" s="7">
        <f t="shared" si="18"/>
        <v>46114</v>
      </c>
      <c r="C274" s="7">
        <f t="shared" si="19"/>
        <v>46120</v>
      </c>
      <c r="D274" s="6">
        <v>3280</v>
      </c>
      <c r="E274" s="6">
        <v>337</v>
      </c>
      <c r="F274" s="6">
        <v>4</v>
      </c>
      <c r="G274" s="17">
        <v>1</v>
      </c>
      <c r="H274" s="17"/>
      <c r="I274" s="17" t="s">
        <v>1505</v>
      </c>
      <c r="J274" s="17">
        <v>28537371</v>
      </c>
      <c r="K274" s="17" t="s">
        <v>1818</v>
      </c>
      <c r="L274" s="17" t="s">
        <v>1822</v>
      </c>
      <c r="M274" s="18">
        <v>239900</v>
      </c>
      <c r="N274" s="9">
        <v>0.9</v>
      </c>
      <c r="O274" s="8">
        <f t="shared" si="16"/>
        <v>23990</v>
      </c>
      <c r="P274" s="6" t="s">
        <v>15</v>
      </c>
    </row>
    <row r="275" spans="1:16" x14ac:dyDescent="0.25">
      <c r="A275" s="6" t="str">
        <f t="shared" si="17"/>
        <v>2020-2021 ALL D90</v>
      </c>
      <c r="B275" s="7">
        <f t="shared" si="18"/>
        <v>46114</v>
      </c>
      <c r="C275" s="7">
        <f t="shared" si="19"/>
        <v>46120</v>
      </c>
      <c r="D275" s="6">
        <v>3280</v>
      </c>
      <c r="E275" s="6">
        <v>337</v>
      </c>
      <c r="F275" s="6">
        <v>4</v>
      </c>
      <c r="G275" s="17">
        <v>1</v>
      </c>
      <c r="H275" s="17"/>
      <c r="I275" s="17" t="s">
        <v>1505</v>
      </c>
      <c r="J275" s="17">
        <v>28537380</v>
      </c>
      <c r="K275" s="17" t="s">
        <v>1818</v>
      </c>
      <c r="L275" s="17" t="s">
        <v>1823</v>
      </c>
      <c r="M275" s="18">
        <v>239900</v>
      </c>
      <c r="N275" s="9">
        <v>0.9</v>
      </c>
      <c r="O275" s="8">
        <f t="shared" si="16"/>
        <v>23990</v>
      </c>
      <c r="P275" s="6" t="s">
        <v>15</v>
      </c>
    </row>
    <row r="276" spans="1:16" x14ac:dyDescent="0.25">
      <c r="A276" s="6" t="str">
        <f t="shared" si="17"/>
        <v>2020-2021 ALL D90</v>
      </c>
      <c r="B276" s="7">
        <f t="shared" si="18"/>
        <v>46114</v>
      </c>
      <c r="C276" s="7">
        <f t="shared" si="19"/>
        <v>46120</v>
      </c>
      <c r="D276" s="6">
        <v>3280</v>
      </c>
      <c r="E276" s="6">
        <v>337</v>
      </c>
      <c r="F276" s="6">
        <v>4</v>
      </c>
      <c r="G276" s="17">
        <v>1</v>
      </c>
      <c r="H276" s="17"/>
      <c r="I276" s="17" t="s">
        <v>1505</v>
      </c>
      <c r="J276" s="17">
        <v>28537399</v>
      </c>
      <c r="K276" s="17" t="s">
        <v>1818</v>
      </c>
      <c r="L276" s="17" t="s">
        <v>1824</v>
      </c>
      <c r="M276" s="18">
        <v>239900</v>
      </c>
      <c r="N276" s="9">
        <v>0.9</v>
      </c>
      <c r="O276" s="8">
        <f t="shared" si="16"/>
        <v>23990</v>
      </c>
      <c r="P276" s="6" t="s">
        <v>15</v>
      </c>
    </row>
    <row r="277" spans="1:16" x14ac:dyDescent="0.25">
      <c r="A277" s="6" t="str">
        <f t="shared" si="17"/>
        <v>2020-2021 ALL D90</v>
      </c>
      <c r="B277" s="7">
        <f t="shared" si="18"/>
        <v>46114</v>
      </c>
      <c r="C277" s="7">
        <f t="shared" si="19"/>
        <v>46120</v>
      </c>
      <c r="D277" s="6">
        <v>3280</v>
      </c>
      <c r="E277" s="6">
        <v>337</v>
      </c>
      <c r="F277" s="6">
        <v>4</v>
      </c>
      <c r="G277" s="17">
        <v>1</v>
      </c>
      <c r="H277" s="17"/>
      <c r="I277" s="17" t="s">
        <v>1505</v>
      </c>
      <c r="J277" s="17">
        <v>26503633</v>
      </c>
      <c r="K277" s="17" t="s">
        <v>1825</v>
      </c>
      <c r="L277" s="17" t="s">
        <v>1826</v>
      </c>
      <c r="M277" s="18">
        <v>209900</v>
      </c>
      <c r="N277" s="9">
        <v>0.9</v>
      </c>
      <c r="O277" s="8">
        <f t="shared" si="16"/>
        <v>20990</v>
      </c>
      <c r="P277" s="6" t="s">
        <v>15</v>
      </c>
    </row>
    <row r="278" spans="1:16" x14ac:dyDescent="0.25">
      <c r="A278" s="6" t="str">
        <f t="shared" si="17"/>
        <v>2020-2021 ALL D90</v>
      </c>
      <c r="B278" s="7">
        <f t="shared" si="18"/>
        <v>46114</v>
      </c>
      <c r="C278" s="7">
        <f t="shared" si="19"/>
        <v>46120</v>
      </c>
      <c r="D278" s="6">
        <v>3280</v>
      </c>
      <c r="E278" s="6">
        <v>337</v>
      </c>
      <c r="F278" s="6">
        <v>4</v>
      </c>
      <c r="G278" s="17">
        <v>1</v>
      </c>
      <c r="H278" s="17"/>
      <c r="I278" s="17" t="s">
        <v>1505</v>
      </c>
      <c r="J278" s="17">
        <v>26503642</v>
      </c>
      <c r="K278" s="17" t="s">
        <v>1825</v>
      </c>
      <c r="L278" s="17" t="s">
        <v>1827</v>
      </c>
      <c r="M278" s="18">
        <v>209900</v>
      </c>
      <c r="N278" s="9">
        <v>0.9</v>
      </c>
      <c r="O278" s="8">
        <f t="shared" si="16"/>
        <v>20990</v>
      </c>
      <c r="P278" s="6" t="s">
        <v>15</v>
      </c>
    </row>
    <row r="279" spans="1:16" x14ac:dyDescent="0.25">
      <c r="A279" s="6" t="str">
        <f t="shared" si="17"/>
        <v>2020-2021 ALL D90</v>
      </c>
      <c r="B279" s="7">
        <f t="shared" si="18"/>
        <v>46114</v>
      </c>
      <c r="C279" s="7">
        <f t="shared" si="19"/>
        <v>46120</v>
      </c>
      <c r="D279" s="6">
        <v>3280</v>
      </c>
      <c r="E279" s="6">
        <v>337</v>
      </c>
      <c r="F279" s="6">
        <v>4</v>
      </c>
      <c r="G279" s="17">
        <v>1</v>
      </c>
      <c r="H279" s="17"/>
      <c r="I279" s="17" t="s">
        <v>1505</v>
      </c>
      <c r="J279" s="17">
        <v>26503651</v>
      </c>
      <c r="K279" s="17" t="s">
        <v>1825</v>
      </c>
      <c r="L279" s="17" t="s">
        <v>1828</v>
      </c>
      <c r="M279" s="18">
        <v>209900</v>
      </c>
      <c r="N279" s="9">
        <v>0.9</v>
      </c>
      <c r="O279" s="8">
        <f t="shared" si="16"/>
        <v>20990</v>
      </c>
      <c r="P279" s="6" t="s">
        <v>15</v>
      </c>
    </row>
    <row r="280" spans="1:16" x14ac:dyDescent="0.25">
      <c r="A280" s="6" t="str">
        <f t="shared" si="17"/>
        <v>2020-2021 ALL D90</v>
      </c>
      <c r="B280" s="7">
        <f t="shared" si="18"/>
        <v>46114</v>
      </c>
      <c r="C280" s="7">
        <f t="shared" si="19"/>
        <v>46120</v>
      </c>
      <c r="D280" s="6">
        <v>3280</v>
      </c>
      <c r="E280" s="6">
        <v>337</v>
      </c>
      <c r="F280" s="6">
        <v>4</v>
      </c>
      <c r="G280" s="17">
        <v>1</v>
      </c>
      <c r="H280" s="17"/>
      <c r="I280" s="17" t="s">
        <v>1505</v>
      </c>
      <c r="J280" s="17">
        <v>26503660</v>
      </c>
      <c r="K280" s="17" t="s">
        <v>1825</v>
      </c>
      <c r="L280" s="17" t="s">
        <v>1829</v>
      </c>
      <c r="M280" s="18">
        <v>219900</v>
      </c>
      <c r="N280" s="9">
        <v>0.9</v>
      </c>
      <c r="O280" s="8">
        <f t="shared" si="16"/>
        <v>21990</v>
      </c>
      <c r="P280" s="6" t="s">
        <v>15</v>
      </c>
    </row>
    <row r="281" spans="1:16" x14ac:dyDescent="0.25">
      <c r="A281" s="6" t="str">
        <f t="shared" si="17"/>
        <v>2020-2021 ALL D90</v>
      </c>
      <c r="B281" s="7">
        <f t="shared" si="18"/>
        <v>46114</v>
      </c>
      <c r="C281" s="7">
        <f t="shared" si="19"/>
        <v>46120</v>
      </c>
      <c r="D281" s="6">
        <v>3280</v>
      </c>
      <c r="E281" s="6">
        <v>337</v>
      </c>
      <c r="F281" s="6">
        <v>4</v>
      </c>
      <c r="G281" s="17">
        <v>1</v>
      </c>
      <c r="H281" s="17"/>
      <c r="I281" s="17" t="s">
        <v>1505</v>
      </c>
      <c r="J281" s="17">
        <v>26503679</v>
      </c>
      <c r="K281" s="17" t="s">
        <v>1825</v>
      </c>
      <c r="L281" s="17" t="s">
        <v>1830</v>
      </c>
      <c r="M281" s="18">
        <v>219900</v>
      </c>
      <c r="N281" s="9">
        <v>0.9</v>
      </c>
      <c r="O281" s="8">
        <f t="shared" si="16"/>
        <v>21990</v>
      </c>
      <c r="P281" s="6" t="s">
        <v>15</v>
      </c>
    </row>
    <row r="282" spans="1:16" x14ac:dyDescent="0.25">
      <c r="A282" s="6" t="str">
        <f t="shared" si="17"/>
        <v>2020-2021 ALL D90</v>
      </c>
      <c r="B282" s="7">
        <f t="shared" si="18"/>
        <v>46114</v>
      </c>
      <c r="C282" s="7">
        <f t="shared" si="19"/>
        <v>46120</v>
      </c>
      <c r="D282" s="6">
        <v>3280</v>
      </c>
      <c r="E282" s="6">
        <v>337</v>
      </c>
      <c r="F282" s="6">
        <v>4</v>
      </c>
      <c r="G282" s="17">
        <v>1</v>
      </c>
      <c r="H282" s="17"/>
      <c r="I282" s="17" t="s">
        <v>1505</v>
      </c>
      <c r="J282" s="17">
        <v>26491727</v>
      </c>
      <c r="K282" s="17" t="s">
        <v>1831</v>
      </c>
      <c r="L282" s="17" t="s">
        <v>1832</v>
      </c>
      <c r="M282" s="18">
        <v>209900</v>
      </c>
      <c r="N282" s="9">
        <v>0.9</v>
      </c>
      <c r="O282" s="8">
        <f t="shared" si="16"/>
        <v>20990</v>
      </c>
      <c r="P282" s="6" t="s">
        <v>15</v>
      </c>
    </row>
    <row r="283" spans="1:16" x14ac:dyDescent="0.25">
      <c r="A283" s="6" t="str">
        <f t="shared" si="17"/>
        <v>2020-2021 ALL D90</v>
      </c>
      <c r="B283" s="7">
        <f t="shared" si="18"/>
        <v>46114</v>
      </c>
      <c r="C283" s="7">
        <f t="shared" si="19"/>
        <v>46120</v>
      </c>
      <c r="D283" s="6">
        <v>3280</v>
      </c>
      <c r="E283" s="6">
        <v>337</v>
      </c>
      <c r="F283" s="6">
        <v>4</v>
      </c>
      <c r="G283" s="17">
        <v>1</v>
      </c>
      <c r="H283" s="17"/>
      <c r="I283" s="17" t="s">
        <v>1505</v>
      </c>
      <c r="J283" s="17">
        <v>26491736</v>
      </c>
      <c r="K283" s="17" t="s">
        <v>1831</v>
      </c>
      <c r="L283" s="17" t="s">
        <v>1833</v>
      </c>
      <c r="M283" s="18">
        <v>209900</v>
      </c>
      <c r="N283" s="9">
        <v>0.9</v>
      </c>
      <c r="O283" s="8">
        <f t="shared" si="16"/>
        <v>20990</v>
      </c>
      <c r="P283" s="6" t="s">
        <v>15</v>
      </c>
    </row>
    <row r="284" spans="1:16" x14ac:dyDescent="0.25">
      <c r="A284" s="6" t="str">
        <f t="shared" si="17"/>
        <v>2020-2021 ALL D90</v>
      </c>
      <c r="B284" s="7">
        <f t="shared" si="18"/>
        <v>46114</v>
      </c>
      <c r="C284" s="7">
        <f t="shared" si="19"/>
        <v>46120</v>
      </c>
      <c r="D284" s="6">
        <v>3280</v>
      </c>
      <c r="E284" s="6">
        <v>337</v>
      </c>
      <c r="F284" s="6">
        <v>4</v>
      </c>
      <c r="G284" s="17">
        <v>1</v>
      </c>
      <c r="H284" s="17"/>
      <c r="I284" s="17" t="s">
        <v>1505</v>
      </c>
      <c r="J284" s="17">
        <v>26491745</v>
      </c>
      <c r="K284" s="17" t="s">
        <v>1831</v>
      </c>
      <c r="L284" s="17" t="s">
        <v>1834</v>
      </c>
      <c r="M284" s="18">
        <v>209900</v>
      </c>
      <c r="N284" s="9">
        <v>0.9</v>
      </c>
      <c r="O284" s="8">
        <f t="shared" si="16"/>
        <v>20990</v>
      </c>
      <c r="P284" s="6" t="s">
        <v>15</v>
      </c>
    </row>
    <row r="285" spans="1:16" x14ac:dyDescent="0.25">
      <c r="A285" s="6" t="str">
        <f t="shared" si="17"/>
        <v>2020-2021 ALL D90</v>
      </c>
      <c r="B285" s="7">
        <f t="shared" si="18"/>
        <v>46114</v>
      </c>
      <c r="C285" s="7">
        <f t="shared" si="19"/>
        <v>46120</v>
      </c>
      <c r="D285" s="6">
        <v>3280</v>
      </c>
      <c r="E285" s="6">
        <v>337</v>
      </c>
      <c r="F285" s="6">
        <v>4</v>
      </c>
      <c r="G285" s="17">
        <v>1</v>
      </c>
      <c r="H285" s="17"/>
      <c r="I285" s="17" t="s">
        <v>1505</v>
      </c>
      <c r="J285" s="17">
        <v>26491754</v>
      </c>
      <c r="K285" s="17" t="s">
        <v>1831</v>
      </c>
      <c r="L285" s="17" t="s">
        <v>1835</v>
      </c>
      <c r="M285" s="18">
        <v>219900</v>
      </c>
      <c r="N285" s="9">
        <v>0.9</v>
      </c>
      <c r="O285" s="8">
        <f t="shared" si="16"/>
        <v>21990</v>
      </c>
      <c r="P285" s="6" t="s">
        <v>15</v>
      </c>
    </row>
    <row r="286" spans="1:16" x14ac:dyDescent="0.25">
      <c r="A286" s="6" t="str">
        <f t="shared" si="17"/>
        <v>2020-2021 ALL D90</v>
      </c>
      <c r="B286" s="7">
        <f t="shared" si="18"/>
        <v>46114</v>
      </c>
      <c r="C286" s="7">
        <f t="shared" si="19"/>
        <v>46120</v>
      </c>
      <c r="D286" s="6">
        <v>3280</v>
      </c>
      <c r="E286" s="6">
        <v>337</v>
      </c>
      <c r="F286" s="6">
        <v>4</v>
      </c>
      <c r="G286" s="17">
        <v>1</v>
      </c>
      <c r="H286" s="17"/>
      <c r="I286" s="17" t="s">
        <v>1505</v>
      </c>
      <c r="J286" s="17">
        <v>26491763</v>
      </c>
      <c r="K286" s="17" t="s">
        <v>1831</v>
      </c>
      <c r="L286" s="17" t="s">
        <v>1836</v>
      </c>
      <c r="M286" s="18">
        <v>219900</v>
      </c>
      <c r="N286" s="9">
        <v>0.9</v>
      </c>
      <c r="O286" s="8">
        <f t="shared" si="16"/>
        <v>21990</v>
      </c>
      <c r="P286" s="6" t="s">
        <v>15</v>
      </c>
    </row>
    <row r="287" spans="1:16" x14ac:dyDescent="0.25">
      <c r="A287" s="6" t="str">
        <f t="shared" si="17"/>
        <v>2020-2021 ALL D90</v>
      </c>
      <c r="B287" s="7">
        <f t="shared" si="18"/>
        <v>46114</v>
      </c>
      <c r="C287" s="7">
        <f t="shared" si="19"/>
        <v>46120</v>
      </c>
      <c r="D287" s="6">
        <v>3280</v>
      </c>
      <c r="E287" s="6">
        <v>337</v>
      </c>
      <c r="F287" s="6">
        <v>4</v>
      </c>
      <c r="G287" s="17">
        <v>1</v>
      </c>
      <c r="H287" s="17"/>
      <c r="I287" s="17" t="s">
        <v>1505</v>
      </c>
      <c r="J287" s="17">
        <v>26491772</v>
      </c>
      <c r="K287" s="17" t="s">
        <v>1831</v>
      </c>
      <c r="L287" s="17" t="s">
        <v>1837</v>
      </c>
      <c r="M287" s="18">
        <v>219900</v>
      </c>
      <c r="N287" s="9">
        <v>0.9</v>
      </c>
      <c r="O287" s="8">
        <f t="shared" si="16"/>
        <v>21990</v>
      </c>
      <c r="P287" s="6" t="s">
        <v>15</v>
      </c>
    </row>
    <row r="288" spans="1:16" x14ac:dyDescent="0.25">
      <c r="A288" s="6" t="str">
        <f t="shared" si="17"/>
        <v>2020-2021 ALL D90</v>
      </c>
      <c r="B288" s="7">
        <f t="shared" si="18"/>
        <v>46114</v>
      </c>
      <c r="C288" s="7">
        <f t="shared" si="19"/>
        <v>46120</v>
      </c>
      <c r="D288" s="6">
        <v>3280</v>
      </c>
      <c r="E288" s="6">
        <v>337</v>
      </c>
      <c r="F288" s="6">
        <v>4</v>
      </c>
      <c r="G288" s="17">
        <v>1</v>
      </c>
      <c r="H288" s="17"/>
      <c r="I288" s="17" t="s">
        <v>1505</v>
      </c>
      <c r="J288" s="17">
        <v>33371487</v>
      </c>
      <c r="K288" s="17" t="s">
        <v>1838</v>
      </c>
      <c r="L288" s="17" t="s">
        <v>1839</v>
      </c>
      <c r="M288" s="18">
        <v>219900</v>
      </c>
      <c r="N288" s="9">
        <v>0.9</v>
      </c>
      <c r="O288" s="8">
        <f t="shared" si="16"/>
        <v>21990</v>
      </c>
      <c r="P288" s="6" t="s">
        <v>15</v>
      </c>
    </row>
    <row r="289" spans="1:16" x14ac:dyDescent="0.25">
      <c r="A289" s="6" t="str">
        <f t="shared" si="17"/>
        <v>2020-2021 ALL D90</v>
      </c>
      <c r="B289" s="7">
        <f t="shared" si="18"/>
        <v>46114</v>
      </c>
      <c r="C289" s="7">
        <f t="shared" si="19"/>
        <v>46120</v>
      </c>
      <c r="D289" s="6">
        <v>3280</v>
      </c>
      <c r="E289" s="6">
        <v>337</v>
      </c>
      <c r="F289" s="6">
        <v>4</v>
      </c>
      <c r="G289" s="17">
        <v>1</v>
      </c>
      <c r="H289" s="17"/>
      <c r="I289" s="17" t="s">
        <v>1505</v>
      </c>
      <c r="J289" s="17">
        <v>33371496</v>
      </c>
      <c r="K289" s="17" t="s">
        <v>1838</v>
      </c>
      <c r="L289" s="17" t="s">
        <v>1840</v>
      </c>
      <c r="M289" s="18">
        <v>219900</v>
      </c>
      <c r="N289" s="9">
        <v>0.9</v>
      </c>
      <c r="O289" s="8">
        <f t="shared" si="16"/>
        <v>21990</v>
      </c>
      <c r="P289" s="6" t="s">
        <v>15</v>
      </c>
    </row>
    <row r="290" spans="1:16" x14ac:dyDescent="0.25">
      <c r="A290" s="6" t="str">
        <f t="shared" si="17"/>
        <v>2020-2021 ALL D90</v>
      </c>
      <c r="B290" s="7">
        <f t="shared" si="18"/>
        <v>46114</v>
      </c>
      <c r="C290" s="7">
        <f t="shared" si="19"/>
        <v>46120</v>
      </c>
      <c r="D290" s="6">
        <v>3280</v>
      </c>
      <c r="E290" s="6">
        <v>337</v>
      </c>
      <c r="F290" s="6">
        <v>4</v>
      </c>
      <c r="G290" s="17">
        <v>1</v>
      </c>
      <c r="H290" s="17"/>
      <c r="I290" s="17" t="s">
        <v>1505</v>
      </c>
      <c r="J290" s="17">
        <v>33371503</v>
      </c>
      <c r="K290" s="17" t="s">
        <v>1838</v>
      </c>
      <c r="L290" s="17" t="s">
        <v>1841</v>
      </c>
      <c r="M290" s="18">
        <v>219900</v>
      </c>
      <c r="N290" s="9">
        <v>0.9</v>
      </c>
      <c r="O290" s="8">
        <f t="shared" si="16"/>
        <v>21990</v>
      </c>
      <c r="P290" s="6" t="s">
        <v>15</v>
      </c>
    </row>
    <row r="291" spans="1:16" x14ac:dyDescent="0.25">
      <c r="A291" s="6" t="str">
        <f t="shared" si="17"/>
        <v>2020-2021 ALL D90</v>
      </c>
      <c r="B291" s="7">
        <f t="shared" si="18"/>
        <v>46114</v>
      </c>
      <c r="C291" s="7">
        <f t="shared" si="19"/>
        <v>46120</v>
      </c>
      <c r="D291" s="6">
        <v>3280</v>
      </c>
      <c r="E291" s="6">
        <v>337</v>
      </c>
      <c r="F291" s="6">
        <v>4</v>
      </c>
      <c r="G291" s="17">
        <v>1</v>
      </c>
      <c r="H291" s="17"/>
      <c r="I291" s="17" t="s">
        <v>1505</v>
      </c>
      <c r="J291" s="17">
        <v>33371512</v>
      </c>
      <c r="K291" s="17" t="s">
        <v>1838</v>
      </c>
      <c r="L291" s="17" t="s">
        <v>1842</v>
      </c>
      <c r="M291" s="18">
        <v>229900</v>
      </c>
      <c r="N291" s="9">
        <v>0.9</v>
      </c>
      <c r="O291" s="8">
        <f t="shared" si="16"/>
        <v>22990</v>
      </c>
      <c r="P291" s="6" t="s">
        <v>15</v>
      </c>
    </row>
    <row r="292" spans="1:16" x14ac:dyDescent="0.25">
      <c r="A292" s="6" t="str">
        <f t="shared" si="17"/>
        <v>2020-2021 ALL D90</v>
      </c>
      <c r="B292" s="7">
        <f t="shared" si="18"/>
        <v>46114</v>
      </c>
      <c r="C292" s="7">
        <f t="shared" si="19"/>
        <v>46120</v>
      </c>
      <c r="D292" s="6">
        <v>3280</v>
      </c>
      <c r="E292" s="6">
        <v>337</v>
      </c>
      <c r="F292" s="6">
        <v>4</v>
      </c>
      <c r="G292" s="17">
        <v>1</v>
      </c>
      <c r="H292" s="17"/>
      <c r="I292" s="17" t="s">
        <v>1505</v>
      </c>
      <c r="J292" s="17">
        <v>33371521</v>
      </c>
      <c r="K292" s="17" t="s">
        <v>1838</v>
      </c>
      <c r="L292" s="17" t="s">
        <v>1843</v>
      </c>
      <c r="M292" s="18">
        <v>229900</v>
      </c>
      <c r="N292" s="9">
        <v>0.9</v>
      </c>
      <c r="O292" s="8">
        <f t="shared" si="16"/>
        <v>22990</v>
      </c>
      <c r="P292" s="6" t="s">
        <v>15</v>
      </c>
    </row>
    <row r="293" spans="1:16" x14ac:dyDescent="0.25">
      <c r="A293" s="6" t="str">
        <f t="shared" si="17"/>
        <v>2020-2021 ALL D90</v>
      </c>
      <c r="B293" s="7">
        <f t="shared" si="18"/>
        <v>46114</v>
      </c>
      <c r="C293" s="7">
        <f t="shared" si="19"/>
        <v>46120</v>
      </c>
      <c r="D293" s="6">
        <v>3280</v>
      </c>
      <c r="E293" s="6">
        <v>337</v>
      </c>
      <c r="F293" s="6">
        <v>4</v>
      </c>
      <c r="G293" s="17">
        <v>1</v>
      </c>
      <c r="H293" s="17"/>
      <c r="I293" s="17" t="s">
        <v>1505</v>
      </c>
      <c r="J293" s="17">
        <v>33371530</v>
      </c>
      <c r="K293" s="17" t="s">
        <v>1838</v>
      </c>
      <c r="L293" s="17" t="s">
        <v>1844</v>
      </c>
      <c r="M293" s="18">
        <v>229900</v>
      </c>
      <c r="N293" s="9">
        <v>0.9</v>
      </c>
      <c r="O293" s="8">
        <f t="shared" si="16"/>
        <v>22990</v>
      </c>
      <c r="P293" s="6" t="s">
        <v>15</v>
      </c>
    </row>
    <row r="294" spans="1:16" x14ac:dyDescent="0.25">
      <c r="A294" s="6" t="str">
        <f t="shared" si="17"/>
        <v>2020-2021 ALL D90</v>
      </c>
      <c r="B294" s="7">
        <f t="shared" si="18"/>
        <v>46114</v>
      </c>
      <c r="C294" s="7">
        <f t="shared" si="19"/>
        <v>46120</v>
      </c>
      <c r="D294" s="6">
        <v>3280</v>
      </c>
      <c r="E294" s="6">
        <v>337</v>
      </c>
      <c r="F294" s="6">
        <v>4</v>
      </c>
      <c r="G294" s="17">
        <v>1</v>
      </c>
      <c r="H294" s="17"/>
      <c r="I294" s="17" t="s">
        <v>1505</v>
      </c>
      <c r="J294" s="17">
        <v>33432376</v>
      </c>
      <c r="K294" s="17" t="s">
        <v>1845</v>
      </c>
      <c r="L294" s="17" t="s">
        <v>1846</v>
      </c>
      <c r="M294" s="18">
        <v>199900</v>
      </c>
      <c r="N294" s="9">
        <v>0.9</v>
      </c>
      <c r="O294" s="8">
        <f t="shared" si="16"/>
        <v>19990</v>
      </c>
      <c r="P294" s="6" t="s">
        <v>15</v>
      </c>
    </row>
    <row r="295" spans="1:16" x14ac:dyDescent="0.25">
      <c r="A295" s="6" t="str">
        <f t="shared" si="17"/>
        <v>2020-2021 ALL D90</v>
      </c>
      <c r="B295" s="7">
        <f t="shared" si="18"/>
        <v>46114</v>
      </c>
      <c r="C295" s="7">
        <f t="shared" si="19"/>
        <v>46120</v>
      </c>
      <c r="D295" s="6">
        <v>3280</v>
      </c>
      <c r="E295" s="6">
        <v>337</v>
      </c>
      <c r="F295" s="6">
        <v>4</v>
      </c>
      <c r="G295" s="17">
        <v>1</v>
      </c>
      <c r="H295" s="17"/>
      <c r="I295" s="17" t="s">
        <v>1505</v>
      </c>
      <c r="J295" s="17">
        <v>33432385</v>
      </c>
      <c r="K295" s="17" t="s">
        <v>1845</v>
      </c>
      <c r="L295" s="17" t="s">
        <v>1847</v>
      </c>
      <c r="M295" s="18">
        <v>199900</v>
      </c>
      <c r="N295" s="9">
        <v>0.9</v>
      </c>
      <c r="O295" s="8">
        <f t="shared" si="16"/>
        <v>19990</v>
      </c>
      <c r="P295" s="6" t="s">
        <v>15</v>
      </c>
    </row>
    <row r="296" spans="1:16" x14ac:dyDescent="0.25">
      <c r="A296" s="6" t="str">
        <f t="shared" si="17"/>
        <v>2020-2021 ALL D90</v>
      </c>
      <c r="B296" s="7">
        <f t="shared" si="18"/>
        <v>46114</v>
      </c>
      <c r="C296" s="7">
        <f t="shared" si="19"/>
        <v>46120</v>
      </c>
      <c r="D296" s="6">
        <v>3280</v>
      </c>
      <c r="E296" s="6">
        <v>337</v>
      </c>
      <c r="F296" s="6">
        <v>4</v>
      </c>
      <c r="G296" s="17">
        <v>1</v>
      </c>
      <c r="H296" s="17"/>
      <c r="I296" s="17" t="s">
        <v>1505</v>
      </c>
      <c r="J296" s="17">
        <v>33432394</v>
      </c>
      <c r="K296" s="17" t="s">
        <v>1845</v>
      </c>
      <c r="L296" s="17" t="s">
        <v>1848</v>
      </c>
      <c r="M296" s="18">
        <v>199900</v>
      </c>
      <c r="N296" s="9">
        <v>0.9</v>
      </c>
      <c r="O296" s="8">
        <f t="shared" si="16"/>
        <v>19990</v>
      </c>
      <c r="P296" s="6" t="s">
        <v>15</v>
      </c>
    </row>
    <row r="297" spans="1:16" x14ac:dyDescent="0.25">
      <c r="A297" s="6" t="str">
        <f t="shared" si="17"/>
        <v>2020-2021 ALL D90</v>
      </c>
      <c r="B297" s="7">
        <f t="shared" si="18"/>
        <v>46114</v>
      </c>
      <c r="C297" s="7">
        <f t="shared" si="19"/>
        <v>46120</v>
      </c>
      <c r="D297" s="6">
        <v>3280</v>
      </c>
      <c r="E297" s="6">
        <v>337</v>
      </c>
      <c r="F297" s="6">
        <v>4</v>
      </c>
      <c r="G297" s="17">
        <v>1</v>
      </c>
      <c r="H297" s="17"/>
      <c r="I297" s="17" t="s">
        <v>1505</v>
      </c>
      <c r="J297" s="17">
        <v>33432401</v>
      </c>
      <c r="K297" s="17" t="s">
        <v>1845</v>
      </c>
      <c r="L297" s="17" t="s">
        <v>1849</v>
      </c>
      <c r="M297" s="18">
        <v>209900</v>
      </c>
      <c r="N297" s="9">
        <v>0.9</v>
      </c>
      <c r="O297" s="8">
        <f t="shared" si="16"/>
        <v>20990</v>
      </c>
      <c r="P297" s="6" t="s">
        <v>15</v>
      </c>
    </row>
    <row r="298" spans="1:16" x14ac:dyDescent="0.25">
      <c r="A298" s="6" t="str">
        <f t="shared" si="17"/>
        <v>2020-2021 ALL D90</v>
      </c>
      <c r="B298" s="7">
        <f t="shared" si="18"/>
        <v>46114</v>
      </c>
      <c r="C298" s="7">
        <f t="shared" si="19"/>
        <v>46120</v>
      </c>
      <c r="D298" s="6">
        <v>3280</v>
      </c>
      <c r="E298" s="6">
        <v>337</v>
      </c>
      <c r="F298" s="6">
        <v>4</v>
      </c>
      <c r="G298" s="17">
        <v>1</v>
      </c>
      <c r="H298" s="17"/>
      <c r="I298" s="17" t="s">
        <v>1505</v>
      </c>
      <c r="J298" s="17">
        <v>33432410</v>
      </c>
      <c r="K298" s="17" t="s">
        <v>1845</v>
      </c>
      <c r="L298" s="17" t="s">
        <v>1850</v>
      </c>
      <c r="M298" s="18">
        <v>209900</v>
      </c>
      <c r="N298" s="9">
        <v>0.9</v>
      </c>
      <c r="O298" s="8">
        <f t="shared" si="16"/>
        <v>20990</v>
      </c>
      <c r="P298" s="6" t="s">
        <v>15</v>
      </c>
    </row>
    <row r="299" spans="1:16" x14ac:dyDescent="0.25">
      <c r="A299" s="6" t="str">
        <f t="shared" si="17"/>
        <v>2020-2021 ALL D90</v>
      </c>
      <c r="B299" s="7">
        <f t="shared" si="18"/>
        <v>46114</v>
      </c>
      <c r="C299" s="7">
        <f t="shared" si="19"/>
        <v>46120</v>
      </c>
      <c r="D299" s="6">
        <v>3280</v>
      </c>
      <c r="E299" s="6">
        <v>337</v>
      </c>
      <c r="F299" s="6">
        <v>4</v>
      </c>
      <c r="G299" s="17">
        <v>1</v>
      </c>
      <c r="H299" s="17"/>
      <c r="I299" s="17" t="s">
        <v>1505</v>
      </c>
      <c r="J299" s="17">
        <v>33432429</v>
      </c>
      <c r="K299" s="17" t="s">
        <v>1845</v>
      </c>
      <c r="L299" s="17" t="s">
        <v>1851</v>
      </c>
      <c r="M299" s="18">
        <v>209900</v>
      </c>
      <c r="N299" s="9">
        <v>0.9</v>
      </c>
      <c r="O299" s="8">
        <f t="shared" si="16"/>
        <v>20990</v>
      </c>
      <c r="P299" s="6" t="s">
        <v>15</v>
      </c>
    </row>
    <row r="300" spans="1:16" x14ac:dyDescent="0.25">
      <c r="A300" s="6" t="str">
        <f t="shared" si="17"/>
        <v>2020-2021 ALL D90</v>
      </c>
      <c r="B300" s="7">
        <f t="shared" si="18"/>
        <v>46114</v>
      </c>
      <c r="C300" s="7">
        <f t="shared" si="19"/>
        <v>46120</v>
      </c>
      <c r="D300" s="6">
        <v>3280</v>
      </c>
      <c r="E300" s="6">
        <v>337</v>
      </c>
      <c r="F300" s="6">
        <v>4</v>
      </c>
      <c r="G300" s="17">
        <v>1</v>
      </c>
      <c r="H300" s="17"/>
      <c r="I300" s="17" t="s">
        <v>1505</v>
      </c>
      <c r="J300" s="17">
        <v>33431037</v>
      </c>
      <c r="K300" s="17" t="s">
        <v>1852</v>
      </c>
      <c r="L300" s="17" t="s">
        <v>1853</v>
      </c>
      <c r="M300" s="18">
        <v>199900</v>
      </c>
      <c r="N300" s="9">
        <v>0.9</v>
      </c>
      <c r="O300" s="8">
        <f t="shared" si="16"/>
        <v>19990</v>
      </c>
      <c r="P300" s="6" t="s">
        <v>15</v>
      </c>
    </row>
    <row r="301" spans="1:16" x14ac:dyDescent="0.25">
      <c r="A301" s="6" t="str">
        <f t="shared" si="17"/>
        <v>2020-2021 ALL D90</v>
      </c>
      <c r="B301" s="7">
        <f t="shared" si="18"/>
        <v>46114</v>
      </c>
      <c r="C301" s="7">
        <f t="shared" si="19"/>
        <v>46120</v>
      </c>
      <c r="D301" s="6">
        <v>3280</v>
      </c>
      <c r="E301" s="6">
        <v>337</v>
      </c>
      <c r="F301" s="6">
        <v>4</v>
      </c>
      <c r="G301" s="17">
        <v>1</v>
      </c>
      <c r="H301" s="17"/>
      <c r="I301" s="17" t="s">
        <v>1505</v>
      </c>
      <c r="J301" s="17">
        <v>33431046</v>
      </c>
      <c r="K301" s="17" t="s">
        <v>1852</v>
      </c>
      <c r="L301" s="17" t="s">
        <v>1854</v>
      </c>
      <c r="M301" s="18">
        <v>199900</v>
      </c>
      <c r="N301" s="9">
        <v>0.9</v>
      </c>
      <c r="O301" s="8">
        <f t="shared" si="16"/>
        <v>19990</v>
      </c>
      <c r="P301" s="6" t="s">
        <v>15</v>
      </c>
    </row>
    <row r="302" spans="1:16" x14ac:dyDescent="0.25">
      <c r="A302" s="6" t="str">
        <f t="shared" si="17"/>
        <v>2020-2021 ALL D90</v>
      </c>
      <c r="B302" s="7">
        <f t="shared" si="18"/>
        <v>46114</v>
      </c>
      <c r="C302" s="7">
        <f t="shared" si="19"/>
        <v>46120</v>
      </c>
      <c r="D302" s="6">
        <v>3280</v>
      </c>
      <c r="E302" s="6">
        <v>337</v>
      </c>
      <c r="F302" s="6">
        <v>4</v>
      </c>
      <c r="G302" s="17">
        <v>1</v>
      </c>
      <c r="H302" s="17"/>
      <c r="I302" s="17" t="s">
        <v>1505</v>
      </c>
      <c r="J302" s="17">
        <v>33431055</v>
      </c>
      <c r="K302" s="17" t="s">
        <v>1852</v>
      </c>
      <c r="L302" s="17" t="s">
        <v>1855</v>
      </c>
      <c r="M302" s="18">
        <v>199900</v>
      </c>
      <c r="N302" s="9">
        <v>0.9</v>
      </c>
      <c r="O302" s="8">
        <f t="shared" si="16"/>
        <v>19990</v>
      </c>
      <c r="P302" s="6" t="s">
        <v>15</v>
      </c>
    </row>
    <row r="303" spans="1:16" x14ac:dyDescent="0.25">
      <c r="A303" s="6" t="str">
        <f t="shared" si="17"/>
        <v>2020-2021 ALL D90</v>
      </c>
      <c r="B303" s="7">
        <f t="shared" si="18"/>
        <v>46114</v>
      </c>
      <c r="C303" s="7">
        <f t="shared" si="19"/>
        <v>46120</v>
      </c>
      <c r="D303" s="6">
        <v>3280</v>
      </c>
      <c r="E303" s="6">
        <v>337</v>
      </c>
      <c r="F303" s="6">
        <v>4</v>
      </c>
      <c r="G303" s="17">
        <v>1</v>
      </c>
      <c r="H303" s="17"/>
      <c r="I303" s="17" t="s">
        <v>1505</v>
      </c>
      <c r="J303" s="17">
        <v>33431064</v>
      </c>
      <c r="K303" s="17" t="s">
        <v>1852</v>
      </c>
      <c r="L303" s="17" t="s">
        <v>1856</v>
      </c>
      <c r="M303" s="18">
        <v>209900</v>
      </c>
      <c r="N303" s="9">
        <v>0.9</v>
      </c>
      <c r="O303" s="8">
        <f t="shared" si="16"/>
        <v>20990</v>
      </c>
      <c r="P303" s="6" t="s">
        <v>15</v>
      </c>
    </row>
    <row r="304" spans="1:16" x14ac:dyDescent="0.25">
      <c r="A304" s="6" t="str">
        <f t="shared" si="17"/>
        <v>2020-2021 ALL D90</v>
      </c>
      <c r="B304" s="7">
        <f t="shared" si="18"/>
        <v>46114</v>
      </c>
      <c r="C304" s="7">
        <f t="shared" si="19"/>
        <v>46120</v>
      </c>
      <c r="D304" s="6">
        <v>3280</v>
      </c>
      <c r="E304" s="6">
        <v>337</v>
      </c>
      <c r="F304" s="6">
        <v>4</v>
      </c>
      <c r="G304" s="17">
        <v>1</v>
      </c>
      <c r="H304" s="17"/>
      <c r="I304" s="17" t="s">
        <v>1505</v>
      </c>
      <c r="J304" s="17">
        <v>33431073</v>
      </c>
      <c r="K304" s="17" t="s">
        <v>1852</v>
      </c>
      <c r="L304" s="17" t="s">
        <v>1857</v>
      </c>
      <c r="M304" s="18">
        <v>209900</v>
      </c>
      <c r="N304" s="9">
        <v>0.9</v>
      </c>
      <c r="O304" s="8">
        <f t="shared" si="16"/>
        <v>20990</v>
      </c>
      <c r="P304" s="6" t="s">
        <v>15</v>
      </c>
    </row>
    <row r="305" spans="1:16" x14ac:dyDescent="0.25">
      <c r="A305" s="6" t="str">
        <f t="shared" si="17"/>
        <v>2020-2021 ALL D90</v>
      </c>
      <c r="B305" s="7">
        <f t="shared" si="18"/>
        <v>46114</v>
      </c>
      <c r="C305" s="7">
        <f t="shared" si="19"/>
        <v>46120</v>
      </c>
      <c r="D305" s="6">
        <v>3280</v>
      </c>
      <c r="E305" s="6">
        <v>337</v>
      </c>
      <c r="F305" s="6">
        <v>4</v>
      </c>
      <c r="G305" s="17">
        <v>1</v>
      </c>
      <c r="H305" s="17"/>
      <c r="I305" s="17" t="s">
        <v>1505</v>
      </c>
      <c r="J305" s="17">
        <v>33431082</v>
      </c>
      <c r="K305" s="17" t="s">
        <v>1852</v>
      </c>
      <c r="L305" s="17" t="s">
        <v>1858</v>
      </c>
      <c r="M305" s="18">
        <v>209900</v>
      </c>
      <c r="N305" s="9">
        <v>0.9</v>
      </c>
      <c r="O305" s="8">
        <f t="shared" si="16"/>
        <v>20990</v>
      </c>
      <c r="P305" s="6" t="s">
        <v>15</v>
      </c>
    </row>
    <row r="306" spans="1:16" x14ac:dyDescent="0.25">
      <c r="A306" s="6" t="str">
        <f t="shared" si="17"/>
        <v>2020-2021 ALL D90</v>
      </c>
      <c r="B306" s="7">
        <f t="shared" si="18"/>
        <v>46114</v>
      </c>
      <c r="C306" s="7">
        <f t="shared" si="19"/>
        <v>46120</v>
      </c>
      <c r="D306" s="6">
        <v>3280</v>
      </c>
      <c r="E306" s="6">
        <v>337</v>
      </c>
      <c r="F306" s="6">
        <v>4</v>
      </c>
      <c r="G306" s="17">
        <v>1</v>
      </c>
      <c r="H306" s="17"/>
      <c r="I306" s="17" t="s">
        <v>1505</v>
      </c>
      <c r="J306" s="17">
        <v>33430976</v>
      </c>
      <c r="K306" s="17" t="s">
        <v>1859</v>
      </c>
      <c r="L306" s="17" t="s">
        <v>1860</v>
      </c>
      <c r="M306" s="18">
        <v>209900</v>
      </c>
      <c r="N306" s="9">
        <v>0.9</v>
      </c>
      <c r="O306" s="8">
        <f t="shared" si="16"/>
        <v>20990</v>
      </c>
      <c r="P306" s="6" t="s">
        <v>15</v>
      </c>
    </row>
    <row r="307" spans="1:16" x14ac:dyDescent="0.25">
      <c r="A307" s="6" t="str">
        <f t="shared" si="17"/>
        <v>2020-2021 ALL D90</v>
      </c>
      <c r="B307" s="7">
        <f t="shared" si="18"/>
        <v>46114</v>
      </c>
      <c r="C307" s="7">
        <f t="shared" si="19"/>
        <v>46120</v>
      </c>
      <c r="D307" s="6">
        <v>3280</v>
      </c>
      <c r="E307" s="6">
        <v>337</v>
      </c>
      <c r="F307" s="6">
        <v>4</v>
      </c>
      <c r="G307" s="17">
        <v>1</v>
      </c>
      <c r="H307" s="17"/>
      <c r="I307" s="17" t="s">
        <v>1505</v>
      </c>
      <c r="J307" s="17">
        <v>33430985</v>
      </c>
      <c r="K307" s="17" t="s">
        <v>1859</v>
      </c>
      <c r="L307" s="17" t="s">
        <v>1861</v>
      </c>
      <c r="M307" s="18">
        <v>209900</v>
      </c>
      <c r="N307" s="9">
        <v>0.9</v>
      </c>
      <c r="O307" s="8">
        <f t="shared" si="16"/>
        <v>20990</v>
      </c>
      <c r="P307" s="6" t="s">
        <v>15</v>
      </c>
    </row>
    <row r="308" spans="1:16" x14ac:dyDescent="0.25">
      <c r="A308" s="6" t="str">
        <f t="shared" si="17"/>
        <v>2020-2021 ALL D90</v>
      </c>
      <c r="B308" s="7">
        <f t="shared" si="18"/>
        <v>46114</v>
      </c>
      <c r="C308" s="7">
        <f t="shared" si="19"/>
        <v>46120</v>
      </c>
      <c r="D308" s="6">
        <v>3280</v>
      </c>
      <c r="E308" s="6">
        <v>337</v>
      </c>
      <c r="F308" s="6">
        <v>4</v>
      </c>
      <c r="G308" s="17">
        <v>1</v>
      </c>
      <c r="H308" s="17"/>
      <c r="I308" s="17" t="s">
        <v>1505</v>
      </c>
      <c r="J308" s="17">
        <v>33430994</v>
      </c>
      <c r="K308" s="17" t="s">
        <v>1859</v>
      </c>
      <c r="L308" s="17" t="s">
        <v>1862</v>
      </c>
      <c r="M308" s="18">
        <v>209900</v>
      </c>
      <c r="N308" s="9">
        <v>0.9</v>
      </c>
      <c r="O308" s="8">
        <f t="shared" si="16"/>
        <v>20990</v>
      </c>
      <c r="P308" s="6" t="s">
        <v>15</v>
      </c>
    </row>
    <row r="309" spans="1:16" x14ac:dyDescent="0.25">
      <c r="A309" s="6" t="str">
        <f t="shared" si="17"/>
        <v>2020-2021 ALL D90</v>
      </c>
      <c r="B309" s="7">
        <f t="shared" si="18"/>
        <v>46114</v>
      </c>
      <c r="C309" s="7">
        <f t="shared" si="19"/>
        <v>46120</v>
      </c>
      <c r="D309" s="6">
        <v>3280</v>
      </c>
      <c r="E309" s="6">
        <v>337</v>
      </c>
      <c r="F309" s="6">
        <v>4</v>
      </c>
      <c r="G309" s="17">
        <v>1</v>
      </c>
      <c r="H309" s="17"/>
      <c r="I309" s="17" t="s">
        <v>1505</v>
      </c>
      <c r="J309" s="17">
        <v>33431000</v>
      </c>
      <c r="K309" s="17" t="s">
        <v>1859</v>
      </c>
      <c r="L309" s="17" t="s">
        <v>1863</v>
      </c>
      <c r="M309" s="18">
        <v>219900</v>
      </c>
      <c r="N309" s="9">
        <v>0.9</v>
      </c>
      <c r="O309" s="8">
        <f t="shared" si="16"/>
        <v>21990</v>
      </c>
      <c r="P309" s="6" t="s">
        <v>15</v>
      </c>
    </row>
    <row r="310" spans="1:16" x14ac:dyDescent="0.25">
      <c r="A310" s="6" t="str">
        <f t="shared" si="17"/>
        <v>2020-2021 ALL D90</v>
      </c>
      <c r="B310" s="7">
        <f t="shared" si="18"/>
        <v>46114</v>
      </c>
      <c r="C310" s="7">
        <f t="shared" si="19"/>
        <v>46120</v>
      </c>
      <c r="D310" s="6">
        <v>3280</v>
      </c>
      <c r="E310" s="6">
        <v>337</v>
      </c>
      <c r="F310" s="6">
        <v>4</v>
      </c>
      <c r="G310" s="17">
        <v>1</v>
      </c>
      <c r="H310" s="17"/>
      <c r="I310" s="17" t="s">
        <v>1505</v>
      </c>
      <c r="J310" s="17">
        <v>33431019</v>
      </c>
      <c r="K310" s="17" t="s">
        <v>1859</v>
      </c>
      <c r="L310" s="17" t="s">
        <v>1864</v>
      </c>
      <c r="M310" s="18">
        <v>219900</v>
      </c>
      <c r="N310" s="9">
        <v>0.9</v>
      </c>
      <c r="O310" s="8">
        <f t="shared" si="16"/>
        <v>21990</v>
      </c>
      <c r="P310" s="6" t="s">
        <v>15</v>
      </c>
    </row>
    <row r="311" spans="1:16" x14ac:dyDescent="0.25">
      <c r="A311" s="6" t="str">
        <f t="shared" si="17"/>
        <v>2020-2021 ALL D90</v>
      </c>
      <c r="B311" s="7">
        <f t="shared" si="18"/>
        <v>46114</v>
      </c>
      <c r="C311" s="7">
        <f t="shared" si="19"/>
        <v>46120</v>
      </c>
      <c r="D311" s="6">
        <v>3280</v>
      </c>
      <c r="E311" s="6">
        <v>337</v>
      </c>
      <c r="F311" s="6">
        <v>4</v>
      </c>
      <c r="G311" s="17">
        <v>1</v>
      </c>
      <c r="H311" s="17"/>
      <c r="I311" s="17" t="s">
        <v>1505</v>
      </c>
      <c r="J311" s="17">
        <v>33431028</v>
      </c>
      <c r="K311" s="17" t="s">
        <v>1859</v>
      </c>
      <c r="L311" s="17" t="s">
        <v>1865</v>
      </c>
      <c r="M311" s="18">
        <v>219900</v>
      </c>
      <c r="N311" s="9">
        <v>0.9</v>
      </c>
      <c r="O311" s="8">
        <f t="shared" si="16"/>
        <v>21990</v>
      </c>
      <c r="P311" s="6" t="s">
        <v>15</v>
      </c>
    </row>
    <row r="312" spans="1:16" x14ac:dyDescent="0.25">
      <c r="A312" s="6" t="str">
        <f t="shared" si="17"/>
        <v>2020-2021 ALL D90</v>
      </c>
      <c r="B312" s="7">
        <f t="shared" si="18"/>
        <v>46114</v>
      </c>
      <c r="C312" s="7">
        <f t="shared" si="19"/>
        <v>46120</v>
      </c>
      <c r="D312" s="6">
        <v>3280</v>
      </c>
      <c r="E312" s="6">
        <v>337</v>
      </c>
      <c r="F312" s="6">
        <v>4</v>
      </c>
      <c r="G312" s="17">
        <v>1</v>
      </c>
      <c r="H312" s="17"/>
      <c r="I312" s="17" t="s">
        <v>1505</v>
      </c>
      <c r="J312" s="17">
        <v>33431091</v>
      </c>
      <c r="K312" s="17" t="s">
        <v>1866</v>
      </c>
      <c r="L312" s="17" t="s">
        <v>1867</v>
      </c>
      <c r="M312" s="18">
        <v>199900</v>
      </c>
      <c r="N312" s="9">
        <v>0.9</v>
      </c>
      <c r="O312" s="8">
        <f t="shared" si="16"/>
        <v>19990</v>
      </c>
      <c r="P312" s="6" t="s">
        <v>15</v>
      </c>
    </row>
    <row r="313" spans="1:16" x14ac:dyDescent="0.25">
      <c r="A313" s="6" t="str">
        <f t="shared" si="17"/>
        <v>2020-2021 ALL D90</v>
      </c>
      <c r="B313" s="7">
        <f t="shared" si="18"/>
        <v>46114</v>
      </c>
      <c r="C313" s="7">
        <f t="shared" si="19"/>
        <v>46120</v>
      </c>
      <c r="D313" s="6">
        <v>3280</v>
      </c>
      <c r="E313" s="6">
        <v>337</v>
      </c>
      <c r="F313" s="6">
        <v>4</v>
      </c>
      <c r="G313" s="17">
        <v>1</v>
      </c>
      <c r="H313" s="17"/>
      <c r="I313" s="17" t="s">
        <v>1505</v>
      </c>
      <c r="J313" s="17">
        <v>33431108</v>
      </c>
      <c r="K313" s="17" t="s">
        <v>1866</v>
      </c>
      <c r="L313" s="17" t="s">
        <v>1868</v>
      </c>
      <c r="M313" s="18">
        <v>199900</v>
      </c>
      <c r="N313" s="9">
        <v>0.9</v>
      </c>
      <c r="O313" s="8">
        <f t="shared" si="16"/>
        <v>19990</v>
      </c>
      <c r="P313" s="6" t="s">
        <v>15</v>
      </c>
    </row>
    <row r="314" spans="1:16" x14ac:dyDescent="0.25">
      <c r="A314" s="6" t="str">
        <f t="shared" si="17"/>
        <v>2020-2021 ALL D90</v>
      </c>
      <c r="B314" s="7">
        <f t="shared" si="18"/>
        <v>46114</v>
      </c>
      <c r="C314" s="7">
        <f t="shared" si="19"/>
        <v>46120</v>
      </c>
      <c r="D314" s="6">
        <v>3280</v>
      </c>
      <c r="E314" s="6">
        <v>337</v>
      </c>
      <c r="F314" s="6">
        <v>4</v>
      </c>
      <c r="G314" s="17">
        <v>1</v>
      </c>
      <c r="H314" s="17"/>
      <c r="I314" s="17" t="s">
        <v>1505</v>
      </c>
      <c r="J314" s="17">
        <v>33431117</v>
      </c>
      <c r="K314" s="17" t="s">
        <v>1866</v>
      </c>
      <c r="L314" s="17" t="s">
        <v>1869</v>
      </c>
      <c r="M314" s="18">
        <v>199900</v>
      </c>
      <c r="N314" s="9">
        <v>0.9</v>
      </c>
      <c r="O314" s="8">
        <f t="shared" si="16"/>
        <v>19990</v>
      </c>
      <c r="P314" s="6" t="s">
        <v>15</v>
      </c>
    </row>
    <row r="315" spans="1:16" x14ac:dyDescent="0.25">
      <c r="A315" s="6" t="str">
        <f t="shared" si="17"/>
        <v>2020-2021 ALL D90</v>
      </c>
      <c r="B315" s="7">
        <f t="shared" si="18"/>
        <v>46114</v>
      </c>
      <c r="C315" s="7">
        <f t="shared" si="19"/>
        <v>46120</v>
      </c>
      <c r="D315" s="6">
        <v>3280</v>
      </c>
      <c r="E315" s="6">
        <v>337</v>
      </c>
      <c r="F315" s="6">
        <v>4</v>
      </c>
      <c r="G315" s="17">
        <v>1</v>
      </c>
      <c r="H315" s="17"/>
      <c r="I315" s="17" t="s">
        <v>1505</v>
      </c>
      <c r="J315" s="17">
        <v>33431126</v>
      </c>
      <c r="K315" s="17" t="s">
        <v>1866</v>
      </c>
      <c r="L315" s="17" t="s">
        <v>1870</v>
      </c>
      <c r="M315" s="18">
        <v>209900</v>
      </c>
      <c r="N315" s="9">
        <v>0.9</v>
      </c>
      <c r="O315" s="8">
        <f t="shared" si="16"/>
        <v>20990</v>
      </c>
      <c r="P315" s="6" t="s">
        <v>15</v>
      </c>
    </row>
    <row r="316" spans="1:16" x14ac:dyDescent="0.25">
      <c r="A316" s="6" t="str">
        <f t="shared" si="17"/>
        <v>2020-2021 ALL D90</v>
      </c>
      <c r="B316" s="7">
        <f t="shared" si="18"/>
        <v>46114</v>
      </c>
      <c r="C316" s="7">
        <f t="shared" si="19"/>
        <v>46120</v>
      </c>
      <c r="D316" s="6">
        <v>3280</v>
      </c>
      <c r="E316" s="6">
        <v>337</v>
      </c>
      <c r="F316" s="6">
        <v>4</v>
      </c>
      <c r="G316" s="17">
        <v>1</v>
      </c>
      <c r="H316" s="17"/>
      <c r="I316" s="17" t="s">
        <v>1505</v>
      </c>
      <c r="J316" s="17">
        <v>33431135</v>
      </c>
      <c r="K316" s="17" t="s">
        <v>1866</v>
      </c>
      <c r="L316" s="17" t="s">
        <v>1871</v>
      </c>
      <c r="M316" s="18">
        <v>209900</v>
      </c>
      <c r="N316" s="9">
        <v>0.9</v>
      </c>
      <c r="O316" s="8">
        <f t="shared" si="16"/>
        <v>20990</v>
      </c>
      <c r="P316" s="6" t="s">
        <v>15</v>
      </c>
    </row>
    <row r="317" spans="1:16" x14ac:dyDescent="0.25">
      <c r="A317" s="6" t="str">
        <f t="shared" si="17"/>
        <v>2020-2021 ALL D90</v>
      </c>
      <c r="B317" s="7">
        <f t="shared" si="18"/>
        <v>46114</v>
      </c>
      <c r="C317" s="7">
        <f t="shared" si="19"/>
        <v>46120</v>
      </c>
      <c r="D317" s="6">
        <v>3280</v>
      </c>
      <c r="E317" s="6">
        <v>337</v>
      </c>
      <c r="F317" s="6">
        <v>4</v>
      </c>
      <c r="G317" s="17">
        <v>1</v>
      </c>
      <c r="H317" s="17"/>
      <c r="I317" s="17" t="s">
        <v>1505</v>
      </c>
      <c r="J317" s="17">
        <v>33431144</v>
      </c>
      <c r="K317" s="17" t="s">
        <v>1866</v>
      </c>
      <c r="L317" s="17" t="s">
        <v>1872</v>
      </c>
      <c r="M317" s="18">
        <v>209900</v>
      </c>
      <c r="N317" s="9">
        <v>0.9</v>
      </c>
      <c r="O317" s="8">
        <f t="shared" si="16"/>
        <v>20990</v>
      </c>
      <c r="P317" s="6" t="s">
        <v>15</v>
      </c>
    </row>
    <row r="318" spans="1:16" x14ac:dyDescent="0.25">
      <c r="A318" s="6" t="str">
        <f t="shared" si="17"/>
        <v>2020-2021 ALL D90</v>
      </c>
      <c r="B318" s="7">
        <f t="shared" si="18"/>
        <v>46114</v>
      </c>
      <c r="C318" s="7">
        <f t="shared" si="19"/>
        <v>46120</v>
      </c>
      <c r="D318" s="6">
        <v>3280</v>
      </c>
      <c r="E318" s="6">
        <v>337</v>
      </c>
      <c r="F318" s="6">
        <v>4</v>
      </c>
      <c r="G318" s="17">
        <v>1</v>
      </c>
      <c r="H318" s="17"/>
      <c r="I318" s="17" t="s">
        <v>1505</v>
      </c>
      <c r="J318" s="17">
        <v>33432438</v>
      </c>
      <c r="K318" s="17" t="s">
        <v>1873</v>
      </c>
      <c r="L318" s="17" t="s">
        <v>1874</v>
      </c>
      <c r="M318" s="18">
        <v>199900</v>
      </c>
      <c r="N318" s="9">
        <v>0.9</v>
      </c>
      <c r="O318" s="8">
        <f t="shared" si="16"/>
        <v>19990</v>
      </c>
      <c r="P318" s="6" t="s">
        <v>15</v>
      </c>
    </row>
    <row r="319" spans="1:16" x14ac:dyDescent="0.25">
      <c r="A319" s="6" t="str">
        <f t="shared" si="17"/>
        <v>2020-2021 ALL D90</v>
      </c>
      <c r="B319" s="7">
        <f t="shared" si="18"/>
        <v>46114</v>
      </c>
      <c r="C319" s="7">
        <f t="shared" si="19"/>
        <v>46120</v>
      </c>
      <c r="D319" s="6">
        <v>3280</v>
      </c>
      <c r="E319" s="6">
        <v>337</v>
      </c>
      <c r="F319" s="6">
        <v>4</v>
      </c>
      <c r="G319" s="17">
        <v>1</v>
      </c>
      <c r="H319" s="17"/>
      <c r="I319" s="17" t="s">
        <v>1505</v>
      </c>
      <c r="J319" s="17">
        <v>33432447</v>
      </c>
      <c r="K319" s="17" t="s">
        <v>1873</v>
      </c>
      <c r="L319" s="17" t="s">
        <v>1875</v>
      </c>
      <c r="M319" s="18">
        <v>199900</v>
      </c>
      <c r="N319" s="9">
        <v>0.9</v>
      </c>
      <c r="O319" s="8">
        <f t="shared" si="16"/>
        <v>19990</v>
      </c>
      <c r="P319" s="6" t="s">
        <v>15</v>
      </c>
    </row>
    <row r="320" spans="1:16" x14ac:dyDescent="0.25">
      <c r="A320" s="6" t="str">
        <f t="shared" si="17"/>
        <v>2020-2021 ALL D90</v>
      </c>
      <c r="B320" s="7">
        <f t="shared" si="18"/>
        <v>46114</v>
      </c>
      <c r="C320" s="7">
        <f t="shared" si="19"/>
        <v>46120</v>
      </c>
      <c r="D320" s="6">
        <v>3280</v>
      </c>
      <c r="E320" s="6">
        <v>337</v>
      </c>
      <c r="F320" s="6">
        <v>4</v>
      </c>
      <c r="G320" s="17">
        <v>1</v>
      </c>
      <c r="H320" s="17"/>
      <c r="I320" s="17" t="s">
        <v>1505</v>
      </c>
      <c r="J320" s="17">
        <v>33432456</v>
      </c>
      <c r="K320" s="17" t="s">
        <v>1873</v>
      </c>
      <c r="L320" s="17" t="s">
        <v>1876</v>
      </c>
      <c r="M320" s="18">
        <v>199900</v>
      </c>
      <c r="N320" s="9">
        <v>0.9</v>
      </c>
      <c r="O320" s="8">
        <f t="shared" si="16"/>
        <v>19990</v>
      </c>
      <c r="P320" s="6" t="s">
        <v>15</v>
      </c>
    </row>
    <row r="321" spans="1:16" x14ac:dyDescent="0.25">
      <c r="A321" s="6" t="str">
        <f t="shared" si="17"/>
        <v>2020-2021 ALL D90</v>
      </c>
      <c r="B321" s="7">
        <f t="shared" si="18"/>
        <v>46114</v>
      </c>
      <c r="C321" s="7">
        <f t="shared" si="19"/>
        <v>46120</v>
      </c>
      <c r="D321" s="6">
        <v>3280</v>
      </c>
      <c r="E321" s="6">
        <v>337</v>
      </c>
      <c r="F321" s="6">
        <v>4</v>
      </c>
      <c r="G321" s="17">
        <v>1</v>
      </c>
      <c r="H321" s="17"/>
      <c r="I321" s="17" t="s">
        <v>1505</v>
      </c>
      <c r="J321" s="17">
        <v>33432465</v>
      </c>
      <c r="K321" s="17" t="s">
        <v>1873</v>
      </c>
      <c r="L321" s="17" t="s">
        <v>1877</v>
      </c>
      <c r="M321" s="18">
        <v>209900</v>
      </c>
      <c r="N321" s="9">
        <v>0.9</v>
      </c>
      <c r="O321" s="8">
        <f t="shared" si="16"/>
        <v>20990</v>
      </c>
      <c r="P321" s="6" t="s">
        <v>15</v>
      </c>
    </row>
    <row r="322" spans="1:16" x14ac:dyDescent="0.25">
      <c r="A322" s="6" t="str">
        <f t="shared" si="17"/>
        <v>2020-2021 ALL D90</v>
      </c>
      <c r="B322" s="7">
        <f t="shared" si="18"/>
        <v>46114</v>
      </c>
      <c r="C322" s="7">
        <f t="shared" si="19"/>
        <v>46120</v>
      </c>
      <c r="D322" s="6">
        <v>3280</v>
      </c>
      <c r="E322" s="6">
        <v>337</v>
      </c>
      <c r="F322" s="6">
        <v>4</v>
      </c>
      <c r="G322" s="17">
        <v>1</v>
      </c>
      <c r="H322" s="17"/>
      <c r="I322" s="17" t="s">
        <v>1505</v>
      </c>
      <c r="J322" s="17">
        <v>33432474</v>
      </c>
      <c r="K322" s="17" t="s">
        <v>1873</v>
      </c>
      <c r="L322" s="17" t="s">
        <v>1878</v>
      </c>
      <c r="M322" s="18">
        <v>209900</v>
      </c>
      <c r="N322" s="9">
        <v>0.9</v>
      </c>
      <c r="O322" s="8">
        <f t="shared" si="16"/>
        <v>20990</v>
      </c>
      <c r="P322" s="6" t="s">
        <v>15</v>
      </c>
    </row>
    <row r="323" spans="1:16" x14ac:dyDescent="0.25">
      <c r="A323" s="6" t="str">
        <f t="shared" si="17"/>
        <v>2020-2021 ALL D90</v>
      </c>
      <c r="B323" s="7">
        <f t="shared" si="18"/>
        <v>46114</v>
      </c>
      <c r="C323" s="7">
        <f t="shared" si="19"/>
        <v>46120</v>
      </c>
      <c r="D323" s="6">
        <v>3280</v>
      </c>
      <c r="E323" s="6">
        <v>337</v>
      </c>
      <c r="F323" s="6">
        <v>4</v>
      </c>
      <c r="G323" s="17">
        <v>1</v>
      </c>
      <c r="H323" s="17"/>
      <c r="I323" s="17" t="s">
        <v>1505</v>
      </c>
      <c r="J323" s="17">
        <v>33432483</v>
      </c>
      <c r="K323" s="17" t="s">
        <v>1873</v>
      </c>
      <c r="L323" s="17" t="s">
        <v>1879</v>
      </c>
      <c r="M323" s="18">
        <v>209900</v>
      </c>
      <c r="N323" s="9">
        <v>0.9</v>
      </c>
      <c r="O323" s="8">
        <f t="shared" ref="O323:O386" si="20">M323-((90*M323)/100)</f>
        <v>20990</v>
      </c>
      <c r="P323" s="6" t="s">
        <v>15</v>
      </c>
    </row>
    <row r="324" spans="1:16" x14ac:dyDescent="0.25">
      <c r="A324" s="6" t="str">
        <f t="shared" ref="A324:A387" si="21">A323</f>
        <v>2020-2021 ALL D90</v>
      </c>
      <c r="B324" s="7">
        <f t="shared" ref="B324:B387" si="22">B323</f>
        <v>46114</v>
      </c>
      <c r="C324" s="7">
        <f t="shared" ref="C324:C387" si="23">C323</f>
        <v>46120</v>
      </c>
      <c r="D324" s="6">
        <v>3280</v>
      </c>
      <c r="E324" s="6">
        <v>337</v>
      </c>
      <c r="F324" s="6">
        <v>4</v>
      </c>
      <c r="G324" s="17">
        <v>1</v>
      </c>
      <c r="H324" s="17"/>
      <c r="I324" s="17" t="s">
        <v>1505</v>
      </c>
      <c r="J324" s="17">
        <v>33406172</v>
      </c>
      <c r="K324" s="17" t="s">
        <v>1880</v>
      </c>
      <c r="L324" s="17" t="s">
        <v>1881</v>
      </c>
      <c r="M324" s="18">
        <v>199900</v>
      </c>
      <c r="N324" s="9">
        <v>0.9</v>
      </c>
      <c r="O324" s="8">
        <f t="shared" si="20"/>
        <v>19990</v>
      </c>
      <c r="P324" s="6" t="s">
        <v>15</v>
      </c>
    </row>
    <row r="325" spans="1:16" x14ac:dyDescent="0.25">
      <c r="A325" s="6" t="str">
        <f t="shared" si="21"/>
        <v>2020-2021 ALL D90</v>
      </c>
      <c r="B325" s="7">
        <f t="shared" si="22"/>
        <v>46114</v>
      </c>
      <c r="C325" s="7">
        <f t="shared" si="23"/>
        <v>46120</v>
      </c>
      <c r="D325" s="6">
        <v>3280</v>
      </c>
      <c r="E325" s="6">
        <v>337</v>
      </c>
      <c r="F325" s="6">
        <v>4</v>
      </c>
      <c r="G325" s="17">
        <v>1</v>
      </c>
      <c r="H325" s="17"/>
      <c r="I325" s="17" t="s">
        <v>1505</v>
      </c>
      <c r="J325" s="17">
        <v>33406181</v>
      </c>
      <c r="K325" s="17" t="s">
        <v>1880</v>
      </c>
      <c r="L325" s="17" t="s">
        <v>1882</v>
      </c>
      <c r="M325" s="18">
        <v>199900</v>
      </c>
      <c r="N325" s="9">
        <v>0.9</v>
      </c>
      <c r="O325" s="8">
        <f t="shared" si="20"/>
        <v>19990</v>
      </c>
      <c r="P325" s="6" t="s">
        <v>15</v>
      </c>
    </row>
    <row r="326" spans="1:16" x14ac:dyDescent="0.25">
      <c r="A326" s="6" t="str">
        <f t="shared" si="21"/>
        <v>2020-2021 ALL D90</v>
      </c>
      <c r="B326" s="7">
        <f t="shared" si="22"/>
        <v>46114</v>
      </c>
      <c r="C326" s="7">
        <f t="shared" si="23"/>
        <v>46120</v>
      </c>
      <c r="D326" s="6">
        <v>3280</v>
      </c>
      <c r="E326" s="6">
        <v>337</v>
      </c>
      <c r="F326" s="6">
        <v>4</v>
      </c>
      <c r="G326" s="17">
        <v>1</v>
      </c>
      <c r="H326" s="17"/>
      <c r="I326" s="17" t="s">
        <v>1505</v>
      </c>
      <c r="J326" s="17">
        <v>33406190</v>
      </c>
      <c r="K326" s="17" t="s">
        <v>1880</v>
      </c>
      <c r="L326" s="17" t="s">
        <v>1883</v>
      </c>
      <c r="M326" s="18">
        <v>199900</v>
      </c>
      <c r="N326" s="9">
        <v>0.9</v>
      </c>
      <c r="O326" s="8">
        <f t="shared" si="20"/>
        <v>19990</v>
      </c>
      <c r="P326" s="6" t="s">
        <v>15</v>
      </c>
    </row>
    <row r="327" spans="1:16" x14ac:dyDescent="0.25">
      <c r="A327" s="6" t="str">
        <f t="shared" si="21"/>
        <v>2020-2021 ALL D90</v>
      </c>
      <c r="B327" s="7">
        <f t="shared" si="22"/>
        <v>46114</v>
      </c>
      <c r="C327" s="7">
        <f t="shared" si="23"/>
        <v>46120</v>
      </c>
      <c r="D327" s="6">
        <v>3280</v>
      </c>
      <c r="E327" s="6">
        <v>337</v>
      </c>
      <c r="F327" s="6">
        <v>4</v>
      </c>
      <c r="G327" s="17">
        <v>1</v>
      </c>
      <c r="H327" s="17"/>
      <c r="I327" s="17" t="s">
        <v>1505</v>
      </c>
      <c r="J327" s="17">
        <v>33406207</v>
      </c>
      <c r="K327" s="17" t="s">
        <v>1880</v>
      </c>
      <c r="L327" s="17" t="s">
        <v>1884</v>
      </c>
      <c r="M327" s="18">
        <v>209900</v>
      </c>
      <c r="N327" s="9">
        <v>0.9</v>
      </c>
      <c r="O327" s="8">
        <f t="shared" si="20"/>
        <v>20990</v>
      </c>
      <c r="P327" s="6" t="s">
        <v>15</v>
      </c>
    </row>
    <row r="328" spans="1:16" x14ac:dyDescent="0.25">
      <c r="A328" s="6" t="str">
        <f t="shared" si="21"/>
        <v>2020-2021 ALL D90</v>
      </c>
      <c r="B328" s="7">
        <f t="shared" si="22"/>
        <v>46114</v>
      </c>
      <c r="C328" s="7">
        <f t="shared" si="23"/>
        <v>46120</v>
      </c>
      <c r="D328" s="6">
        <v>3280</v>
      </c>
      <c r="E328" s="6">
        <v>337</v>
      </c>
      <c r="F328" s="6">
        <v>4</v>
      </c>
      <c r="G328" s="17">
        <v>1</v>
      </c>
      <c r="H328" s="17"/>
      <c r="I328" s="17" t="s">
        <v>1505</v>
      </c>
      <c r="J328" s="17">
        <v>33406216</v>
      </c>
      <c r="K328" s="17" t="s">
        <v>1880</v>
      </c>
      <c r="L328" s="17" t="s">
        <v>1885</v>
      </c>
      <c r="M328" s="18">
        <v>209900</v>
      </c>
      <c r="N328" s="9">
        <v>0.9</v>
      </c>
      <c r="O328" s="8">
        <f t="shared" si="20"/>
        <v>20990</v>
      </c>
      <c r="P328" s="6" t="s">
        <v>15</v>
      </c>
    </row>
    <row r="329" spans="1:16" x14ac:dyDescent="0.25">
      <c r="A329" s="6" t="str">
        <f t="shared" si="21"/>
        <v>2020-2021 ALL D90</v>
      </c>
      <c r="B329" s="7">
        <f t="shared" si="22"/>
        <v>46114</v>
      </c>
      <c r="C329" s="7">
        <f t="shared" si="23"/>
        <v>46120</v>
      </c>
      <c r="D329" s="6">
        <v>3280</v>
      </c>
      <c r="E329" s="6">
        <v>337</v>
      </c>
      <c r="F329" s="6">
        <v>4</v>
      </c>
      <c r="G329" s="17">
        <v>1</v>
      </c>
      <c r="H329" s="17"/>
      <c r="I329" s="17" t="s">
        <v>1505</v>
      </c>
      <c r="J329" s="17">
        <v>33406305</v>
      </c>
      <c r="K329" s="17" t="s">
        <v>1886</v>
      </c>
      <c r="L329" s="17" t="s">
        <v>1887</v>
      </c>
      <c r="M329" s="18">
        <v>199900</v>
      </c>
      <c r="N329" s="9">
        <v>0.9</v>
      </c>
      <c r="O329" s="8">
        <f t="shared" si="20"/>
        <v>19990</v>
      </c>
      <c r="P329" s="6" t="s">
        <v>15</v>
      </c>
    </row>
    <row r="330" spans="1:16" x14ac:dyDescent="0.25">
      <c r="A330" s="6" t="str">
        <f t="shared" si="21"/>
        <v>2020-2021 ALL D90</v>
      </c>
      <c r="B330" s="7">
        <f t="shared" si="22"/>
        <v>46114</v>
      </c>
      <c r="C330" s="7">
        <f t="shared" si="23"/>
        <v>46120</v>
      </c>
      <c r="D330" s="6">
        <v>3280</v>
      </c>
      <c r="E330" s="6">
        <v>337</v>
      </c>
      <c r="F330" s="6">
        <v>4</v>
      </c>
      <c r="G330" s="17">
        <v>1</v>
      </c>
      <c r="H330" s="17"/>
      <c r="I330" s="17" t="s">
        <v>1505</v>
      </c>
      <c r="J330" s="17">
        <v>33406314</v>
      </c>
      <c r="K330" s="17" t="s">
        <v>1886</v>
      </c>
      <c r="L330" s="17" t="s">
        <v>1888</v>
      </c>
      <c r="M330" s="18">
        <v>199900</v>
      </c>
      <c r="N330" s="9">
        <v>0.9</v>
      </c>
      <c r="O330" s="8">
        <f t="shared" si="20"/>
        <v>19990</v>
      </c>
      <c r="P330" s="6" t="s">
        <v>15</v>
      </c>
    </row>
    <row r="331" spans="1:16" x14ac:dyDescent="0.25">
      <c r="A331" s="6" t="str">
        <f t="shared" si="21"/>
        <v>2020-2021 ALL D90</v>
      </c>
      <c r="B331" s="7">
        <f t="shared" si="22"/>
        <v>46114</v>
      </c>
      <c r="C331" s="7">
        <f t="shared" si="23"/>
        <v>46120</v>
      </c>
      <c r="D331" s="6">
        <v>3280</v>
      </c>
      <c r="E331" s="6">
        <v>337</v>
      </c>
      <c r="F331" s="6">
        <v>4</v>
      </c>
      <c r="G331" s="17">
        <v>1</v>
      </c>
      <c r="H331" s="17"/>
      <c r="I331" s="17" t="s">
        <v>1505</v>
      </c>
      <c r="J331" s="17">
        <v>33406323</v>
      </c>
      <c r="K331" s="17" t="s">
        <v>1886</v>
      </c>
      <c r="L331" s="17" t="s">
        <v>1889</v>
      </c>
      <c r="M331" s="18">
        <v>199900</v>
      </c>
      <c r="N331" s="9">
        <v>0.9</v>
      </c>
      <c r="O331" s="8">
        <f t="shared" si="20"/>
        <v>19990</v>
      </c>
      <c r="P331" s="6" t="s">
        <v>15</v>
      </c>
    </row>
    <row r="332" spans="1:16" x14ac:dyDescent="0.25">
      <c r="A332" s="6" t="str">
        <f t="shared" si="21"/>
        <v>2020-2021 ALL D90</v>
      </c>
      <c r="B332" s="7">
        <f t="shared" si="22"/>
        <v>46114</v>
      </c>
      <c r="C332" s="7">
        <f t="shared" si="23"/>
        <v>46120</v>
      </c>
      <c r="D332" s="6">
        <v>3280</v>
      </c>
      <c r="E332" s="6">
        <v>337</v>
      </c>
      <c r="F332" s="6">
        <v>4</v>
      </c>
      <c r="G332" s="17">
        <v>1</v>
      </c>
      <c r="H332" s="17"/>
      <c r="I332" s="17" t="s">
        <v>1505</v>
      </c>
      <c r="J332" s="17">
        <v>33406332</v>
      </c>
      <c r="K332" s="17" t="s">
        <v>1886</v>
      </c>
      <c r="L332" s="17" t="s">
        <v>1890</v>
      </c>
      <c r="M332" s="18">
        <v>209900</v>
      </c>
      <c r="N332" s="9">
        <v>0.9</v>
      </c>
      <c r="O332" s="8">
        <f t="shared" si="20"/>
        <v>20990</v>
      </c>
      <c r="P332" s="6" t="s">
        <v>15</v>
      </c>
    </row>
    <row r="333" spans="1:16" x14ac:dyDescent="0.25">
      <c r="A333" s="6" t="str">
        <f t="shared" si="21"/>
        <v>2020-2021 ALL D90</v>
      </c>
      <c r="B333" s="7">
        <f t="shared" si="22"/>
        <v>46114</v>
      </c>
      <c r="C333" s="7">
        <f t="shared" si="23"/>
        <v>46120</v>
      </c>
      <c r="D333" s="6">
        <v>3280</v>
      </c>
      <c r="E333" s="6">
        <v>337</v>
      </c>
      <c r="F333" s="6">
        <v>4</v>
      </c>
      <c r="G333" s="17">
        <v>1</v>
      </c>
      <c r="H333" s="17"/>
      <c r="I333" s="17" t="s">
        <v>1505</v>
      </c>
      <c r="J333" s="17">
        <v>33406341</v>
      </c>
      <c r="K333" s="17" t="s">
        <v>1886</v>
      </c>
      <c r="L333" s="17" t="s">
        <v>1891</v>
      </c>
      <c r="M333" s="18">
        <v>209900</v>
      </c>
      <c r="N333" s="9">
        <v>0.9</v>
      </c>
      <c r="O333" s="8">
        <f t="shared" si="20"/>
        <v>20990</v>
      </c>
      <c r="P333" s="6" t="s">
        <v>15</v>
      </c>
    </row>
    <row r="334" spans="1:16" x14ac:dyDescent="0.25">
      <c r="A334" s="6" t="str">
        <f t="shared" si="21"/>
        <v>2020-2021 ALL D90</v>
      </c>
      <c r="B334" s="7">
        <f t="shared" si="22"/>
        <v>46114</v>
      </c>
      <c r="C334" s="7">
        <f t="shared" si="23"/>
        <v>46120</v>
      </c>
      <c r="D334" s="6">
        <v>3280</v>
      </c>
      <c r="E334" s="6">
        <v>337</v>
      </c>
      <c r="F334" s="6">
        <v>4</v>
      </c>
      <c r="G334" s="17">
        <v>1</v>
      </c>
      <c r="H334" s="17"/>
      <c r="I334" s="17" t="s">
        <v>1505</v>
      </c>
      <c r="J334" s="17">
        <v>33406350</v>
      </c>
      <c r="K334" s="17" t="s">
        <v>1886</v>
      </c>
      <c r="L334" s="17" t="s">
        <v>1892</v>
      </c>
      <c r="M334" s="18">
        <v>209900</v>
      </c>
      <c r="N334" s="9">
        <v>0.9</v>
      </c>
      <c r="O334" s="8">
        <f t="shared" si="20"/>
        <v>20990</v>
      </c>
      <c r="P334" s="6" t="s">
        <v>15</v>
      </c>
    </row>
    <row r="335" spans="1:16" x14ac:dyDescent="0.25">
      <c r="A335" s="6" t="str">
        <f t="shared" si="21"/>
        <v>2020-2021 ALL D90</v>
      </c>
      <c r="B335" s="7">
        <f t="shared" si="22"/>
        <v>46114</v>
      </c>
      <c r="C335" s="7">
        <f t="shared" si="23"/>
        <v>46120</v>
      </c>
      <c r="D335" s="6">
        <v>3280</v>
      </c>
      <c r="E335" s="6">
        <v>337</v>
      </c>
      <c r="F335" s="6">
        <v>4</v>
      </c>
      <c r="G335" s="17">
        <v>1</v>
      </c>
      <c r="H335" s="17"/>
      <c r="I335" s="17" t="s">
        <v>1505</v>
      </c>
      <c r="J335" s="17">
        <v>38014461</v>
      </c>
      <c r="K335" s="17" t="s">
        <v>1893</v>
      </c>
      <c r="L335" s="17" t="s">
        <v>1894</v>
      </c>
      <c r="M335" s="18">
        <v>209900</v>
      </c>
      <c r="N335" s="9">
        <v>0.9</v>
      </c>
      <c r="O335" s="8">
        <f t="shared" si="20"/>
        <v>20990</v>
      </c>
      <c r="P335" s="6" t="s">
        <v>15</v>
      </c>
    </row>
    <row r="336" spans="1:16" x14ac:dyDescent="0.25">
      <c r="A336" s="6" t="str">
        <f t="shared" si="21"/>
        <v>2020-2021 ALL D90</v>
      </c>
      <c r="B336" s="7">
        <f t="shared" si="22"/>
        <v>46114</v>
      </c>
      <c r="C336" s="7">
        <f t="shared" si="23"/>
        <v>46120</v>
      </c>
      <c r="D336" s="6">
        <v>3280</v>
      </c>
      <c r="E336" s="6">
        <v>337</v>
      </c>
      <c r="F336" s="6">
        <v>4</v>
      </c>
      <c r="G336" s="17">
        <v>1</v>
      </c>
      <c r="H336" s="17"/>
      <c r="I336" s="17" t="s">
        <v>1505</v>
      </c>
      <c r="J336" s="17">
        <v>38014470</v>
      </c>
      <c r="K336" s="17" t="s">
        <v>1893</v>
      </c>
      <c r="L336" s="17" t="s">
        <v>1895</v>
      </c>
      <c r="M336" s="18">
        <v>209900</v>
      </c>
      <c r="N336" s="9">
        <v>0.9</v>
      </c>
      <c r="O336" s="8">
        <f t="shared" si="20"/>
        <v>20990</v>
      </c>
      <c r="P336" s="6" t="s">
        <v>15</v>
      </c>
    </row>
    <row r="337" spans="1:16" x14ac:dyDescent="0.25">
      <c r="A337" s="6" t="str">
        <f t="shared" si="21"/>
        <v>2020-2021 ALL D90</v>
      </c>
      <c r="B337" s="7">
        <f t="shared" si="22"/>
        <v>46114</v>
      </c>
      <c r="C337" s="7">
        <f t="shared" si="23"/>
        <v>46120</v>
      </c>
      <c r="D337" s="6">
        <v>3280</v>
      </c>
      <c r="E337" s="6">
        <v>337</v>
      </c>
      <c r="F337" s="6">
        <v>4</v>
      </c>
      <c r="G337" s="17">
        <v>1</v>
      </c>
      <c r="H337" s="17"/>
      <c r="I337" s="17" t="s">
        <v>1505</v>
      </c>
      <c r="J337" s="17">
        <v>38014489</v>
      </c>
      <c r="K337" s="17" t="s">
        <v>1893</v>
      </c>
      <c r="L337" s="17" t="s">
        <v>1896</v>
      </c>
      <c r="M337" s="18">
        <v>209900</v>
      </c>
      <c r="N337" s="9">
        <v>0.9</v>
      </c>
      <c r="O337" s="8">
        <f t="shared" si="20"/>
        <v>20990</v>
      </c>
      <c r="P337" s="6" t="s">
        <v>15</v>
      </c>
    </row>
    <row r="338" spans="1:16" x14ac:dyDescent="0.25">
      <c r="A338" s="6" t="str">
        <f t="shared" si="21"/>
        <v>2020-2021 ALL D90</v>
      </c>
      <c r="B338" s="7">
        <f t="shared" si="22"/>
        <v>46114</v>
      </c>
      <c r="C338" s="7">
        <f t="shared" si="23"/>
        <v>46120</v>
      </c>
      <c r="D338" s="6">
        <v>3280</v>
      </c>
      <c r="E338" s="6">
        <v>337</v>
      </c>
      <c r="F338" s="6">
        <v>4</v>
      </c>
      <c r="G338" s="17">
        <v>1</v>
      </c>
      <c r="H338" s="17"/>
      <c r="I338" s="17" t="s">
        <v>1505</v>
      </c>
      <c r="J338" s="17">
        <v>38014498</v>
      </c>
      <c r="K338" s="17" t="s">
        <v>1893</v>
      </c>
      <c r="L338" s="17" t="s">
        <v>1897</v>
      </c>
      <c r="M338" s="18">
        <v>219900</v>
      </c>
      <c r="N338" s="9">
        <v>0.9</v>
      </c>
      <c r="O338" s="8">
        <f t="shared" si="20"/>
        <v>21990</v>
      </c>
      <c r="P338" s="6" t="s">
        <v>15</v>
      </c>
    </row>
    <row r="339" spans="1:16" x14ac:dyDescent="0.25">
      <c r="A339" s="6" t="str">
        <f t="shared" si="21"/>
        <v>2020-2021 ALL D90</v>
      </c>
      <c r="B339" s="7">
        <f t="shared" si="22"/>
        <v>46114</v>
      </c>
      <c r="C339" s="7">
        <f t="shared" si="23"/>
        <v>46120</v>
      </c>
      <c r="D339" s="6">
        <v>3280</v>
      </c>
      <c r="E339" s="6">
        <v>337</v>
      </c>
      <c r="F339" s="6">
        <v>4</v>
      </c>
      <c r="G339" s="17">
        <v>1</v>
      </c>
      <c r="H339" s="17"/>
      <c r="I339" s="17" t="s">
        <v>1505</v>
      </c>
      <c r="J339" s="17">
        <v>38014505</v>
      </c>
      <c r="K339" s="17" t="s">
        <v>1893</v>
      </c>
      <c r="L339" s="17" t="s">
        <v>1898</v>
      </c>
      <c r="M339" s="18">
        <v>219900</v>
      </c>
      <c r="N339" s="9">
        <v>0.9</v>
      </c>
      <c r="O339" s="8">
        <f t="shared" si="20"/>
        <v>21990</v>
      </c>
      <c r="P339" s="6" t="s">
        <v>15</v>
      </c>
    </row>
    <row r="340" spans="1:16" x14ac:dyDescent="0.25">
      <c r="A340" s="6" t="str">
        <f t="shared" si="21"/>
        <v>2020-2021 ALL D90</v>
      </c>
      <c r="B340" s="7">
        <f t="shared" si="22"/>
        <v>46114</v>
      </c>
      <c r="C340" s="7">
        <f t="shared" si="23"/>
        <v>46120</v>
      </c>
      <c r="D340" s="6">
        <v>3280</v>
      </c>
      <c r="E340" s="6">
        <v>337</v>
      </c>
      <c r="F340" s="6">
        <v>4</v>
      </c>
      <c r="G340" s="17">
        <v>1</v>
      </c>
      <c r="H340" s="17"/>
      <c r="I340" s="17" t="s">
        <v>1505</v>
      </c>
      <c r="J340" s="17">
        <v>38014514</v>
      </c>
      <c r="K340" s="17" t="s">
        <v>1893</v>
      </c>
      <c r="L340" s="17" t="s">
        <v>1899</v>
      </c>
      <c r="M340" s="18">
        <v>219900</v>
      </c>
      <c r="N340" s="9">
        <v>0.9</v>
      </c>
      <c r="O340" s="8">
        <f t="shared" si="20"/>
        <v>21990</v>
      </c>
      <c r="P340" s="6" t="s">
        <v>15</v>
      </c>
    </row>
    <row r="341" spans="1:16" x14ac:dyDescent="0.25">
      <c r="A341" s="6" t="str">
        <f t="shared" si="21"/>
        <v>2020-2021 ALL D90</v>
      </c>
      <c r="B341" s="7">
        <f t="shared" si="22"/>
        <v>46114</v>
      </c>
      <c r="C341" s="7">
        <f t="shared" si="23"/>
        <v>46120</v>
      </c>
      <c r="D341" s="6">
        <v>3280</v>
      </c>
      <c r="E341" s="6">
        <v>337</v>
      </c>
      <c r="F341" s="6">
        <v>4</v>
      </c>
      <c r="G341" s="17">
        <v>1</v>
      </c>
      <c r="H341" s="17"/>
      <c r="I341" s="17" t="s">
        <v>1505</v>
      </c>
      <c r="J341" s="17">
        <v>38014523</v>
      </c>
      <c r="K341" s="17" t="s">
        <v>1900</v>
      </c>
      <c r="L341" s="17" t="s">
        <v>1901</v>
      </c>
      <c r="M341" s="18">
        <v>219900</v>
      </c>
      <c r="N341" s="9">
        <v>0.9</v>
      </c>
      <c r="O341" s="8">
        <f t="shared" si="20"/>
        <v>21990</v>
      </c>
      <c r="P341" s="6" t="s">
        <v>15</v>
      </c>
    </row>
    <row r="342" spans="1:16" x14ac:dyDescent="0.25">
      <c r="A342" s="6" t="str">
        <f t="shared" si="21"/>
        <v>2020-2021 ALL D90</v>
      </c>
      <c r="B342" s="7">
        <f t="shared" si="22"/>
        <v>46114</v>
      </c>
      <c r="C342" s="7">
        <f t="shared" si="23"/>
        <v>46120</v>
      </c>
      <c r="D342" s="6">
        <v>3280</v>
      </c>
      <c r="E342" s="6">
        <v>337</v>
      </c>
      <c r="F342" s="6">
        <v>4</v>
      </c>
      <c r="G342" s="17">
        <v>1</v>
      </c>
      <c r="H342" s="17"/>
      <c r="I342" s="17" t="s">
        <v>1505</v>
      </c>
      <c r="J342" s="17">
        <v>38014532</v>
      </c>
      <c r="K342" s="17" t="s">
        <v>1900</v>
      </c>
      <c r="L342" s="17" t="s">
        <v>1902</v>
      </c>
      <c r="M342" s="18">
        <v>219900</v>
      </c>
      <c r="N342" s="9">
        <v>0.9</v>
      </c>
      <c r="O342" s="8">
        <f t="shared" si="20"/>
        <v>21990</v>
      </c>
      <c r="P342" s="6" t="s">
        <v>15</v>
      </c>
    </row>
    <row r="343" spans="1:16" x14ac:dyDescent="0.25">
      <c r="A343" s="6" t="str">
        <f t="shared" si="21"/>
        <v>2020-2021 ALL D90</v>
      </c>
      <c r="B343" s="7">
        <f t="shared" si="22"/>
        <v>46114</v>
      </c>
      <c r="C343" s="7">
        <f t="shared" si="23"/>
        <v>46120</v>
      </c>
      <c r="D343" s="6">
        <v>3280</v>
      </c>
      <c r="E343" s="6">
        <v>337</v>
      </c>
      <c r="F343" s="6">
        <v>4</v>
      </c>
      <c r="G343" s="17">
        <v>1</v>
      </c>
      <c r="H343" s="17"/>
      <c r="I343" s="17" t="s">
        <v>1505</v>
      </c>
      <c r="J343" s="17">
        <v>38014541</v>
      </c>
      <c r="K343" s="17" t="s">
        <v>1900</v>
      </c>
      <c r="L343" s="17" t="s">
        <v>1903</v>
      </c>
      <c r="M343" s="18">
        <v>219900</v>
      </c>
      <c r="N343" s="9">
        <v>0.9</v>
      </c>
      <c r="O343" s="8">
        <f t="shared" si="20"/>
        <v>21990</v>
      </c>
      <c r="P343" s="6" t="s">
        <v>15</v>
      </c>
    </row>
    <row r="344" spans="1:16" x14ac:dyDescent="0.25">
      <c r="A344" s="6" t="str">
        <f t="shared" si="21"/>
        <v>2020-2021 ALL D90</v>
      </c>
      <c r="B344" s="7">
        <f t="shared" si="22"/>
        <v>46114</v>
      </c>
      <c r="C344" s="7">
        <f t="shared" si="23"/>
        <v>46120</v>
      </c>
      <c r="D344" s="6">
        <v>3280</v>
      </c>
      <c r="E344" s="6">
        <v>337</v>
      </c>
      <c r="F344" s="6">
        <v>4</v>
      </c>
      <c r="G344" s="17">
        <v>1</v>
      </c>
      <c r="H344" s="17"/>
      <c r="I344" s="17" t="s">
        <v>1505</v>
      </c>
      <c r="J344" s="17">
        <v>38014550</v>
      </c>
      <c r="K344" s="17" t="s">
        <v>1900</v>
      </c>
      <c r="L344" s="17" t="s">
        <v>1904</v>
      </c>
      <c r="M344" s="18">
        <v>229900</v>
      </c>
      <c r="N344" s="9">
        <v>0.9</v>
      </c>
      <c r="O344" s="8">
        <f t="shared" si="20"/>
        <v>22990</v>
      </c>
      <c r="P344" s="6" t="s">
        <v>15</v>
      </c>
    </row>
    <row r="345" spans="1:16" x14ac:dyDescent="0.25">
      <c r="A345" s="6" t="str">
        <f t="shared" si="21"/>
        <v>2020-2021 ALL D90</v>
      </c>
      <c r="B345" s="7">
        <f t="shared" si="22"/>
        <v>46114</v>
      </c>
      <c r="C345" s="7">
        <f t="shared" si="23"/>
        <v>46120</v>
      </c>
      <c r="D345" s="6">
        <v>3280</v>
      </c>
      <c r="E345" s="6">
        <v>337</v>
      </c>
      <c r="F345" s="6">
        <v>4</v>
      </c>
      <c r="G345" s="17">
        <v>1</v>
      </c>
      <c r="H345" s="17"/>
      <c r="I345" s="17" t="s">
        <v>1505</v>
      </c>
      <c r="J345" s="17">
        <v>38014569</v>
      </c>
      <c r="K345" s="17" t="s">
        <v>1900</v>
      </c>
      <c r="L345" s="17" t="s">
        <v>1905</v>
      </c>
      <c r="M345" s="18">
        <v>229900</v>
      </c>
      <c r="N345" s="9">
        <v>0.9</v>
      </c>
      <c r="O345" s="8">
        <f t="shared" si="20"/>
        <v>22990</v>
      </c>
      <c r="P345" s="6" t="s">
        <v>15</v>
      </c>
    </row>
    <row r="346" spans="1:16" x14ac:dyDescent="0.25">
      <c r="A346" s="6" t="str">
        <f t="shared" si="21"/>
        <v>2020-2021 ALL D90</v>
      </c>
      <c r="B346" s="7">
        <f t="shared" si="22"/>
        <v>46114</v>
      </c>
      <c r="C346" s="7">
        <f t="shared" si="23"/>
        <v>46120</v>
      </c>
      <c r="D346" s="6">
        <v>3280</v>
      </c>
      <c r="E346" s="6">
        <v>337</v>
      </c>
      <c r="F346" s="6">
        <v>4</v>
      </c>
      <c r="G346" s="17">
        <v>1</v>
      </c>
      <c r="H346" s="17"/>
      <c r="I346" s="17" t="s">
        <v>1505</v>
      </c>
      <c r="J346" s="17">
        <v>38014578</v>
      </c>
      <c r="K346" s="17" t="s">
        <v>1900</v>
      </c>
      <c r="L346" s="17" t="s">
        <v>1906</v>
      </c>
      <c r="M346" s="18">
        <v>229900</v>
      </c>
      <c r="N346" s="9">
        <v>0.9</v>
      </c>
      <c r="O346" s="8">
        <f t="shared" si="20"/>
        <v>22990</v>
      </c>
      <c r="P346" s="6" t="s">
        <v>15</v>
      </c>
    </row>
    <row r="347" spans="1:16" x14ac:dyDescent="0.25">
      <c r="A347" s="6" t="str">
        <f t="shared" si="21"/>
        <v>2020-2021 ALL D90</v>
      </c>
      <c r="B347" s="7">
        <f t="shared" si="22"/>
        <v>46114</v>
      </c>
      <c r="C347" s="7">
        <f t="shared" si="23"/>
        <v>46120</v>
      </c>
      <c r="D347" s="6">
        <v>3280</v>
      </c>
      <c r="E347" s="6">
        <v>337</v>
      </c>
      <c r="F347" s="6">
        <v>4</v>
      </c>
      <c r="G347" s="17">
        <v>1</v>
      </c>
      <c r="H347" s="17"/>
      <c r="I347" s="17" t="s">
        <v>1505</v>
      </c>
      <c r="J347" s="17">
        <v>26517904</v>
      </c>
      <c r="K347" s="17" t="s">
        <v>1907</v>
      </c>
      <c r="L347" s="17" t="s">
        <v>1908</v>
      </c>
      <c r="M347" s="18">
        <v>209900</v>
      </c>
      <c r="N347" s="9">
        <v>0.9</v>
      </c>
      <c r="O347" s="8">
        <f t="shared" si="20"/>
        <v>20990</v>
      </c>
      <c r="P347" s="6" t="s">
        <v>15</v>
      </c>
    </row>
    <row r="348" spans="1:16" x14ac:dyDescent="0.25">
      <c r="A348" s="6" t="str">
        <f t="shared" si="21"/>
        <v>2020-2021 ALL D90</v>
      </c>
      <c r="B348" s="7">
        <f t="shared" si="22"/>
        <v>46114</v>
      </c>
      <c r="C348" s="7">
        <f t="shared" si="23"/>
        <v>46120</v>
      </c>
      <c r="D348" s="6">
        <v>3280</v>
      </c>
      <c r="E348" s="6">
        <v>337</v>
      </c>
      <c r="F348" s="6">
        <v>4</v>
      </c>
      <c r="G348" s="17">
        <v>1</v>
      </c>
      <c r="H348" s="17"/>
      <c r="I348" s="17" t="s">
        <v>1505</v>
      </c>
      <c r="J348" s="17">
        <v>26517913</v>
      </c>
      <c r="K348" s="17" t="s">
        <v>1907</v>
      </c>
      <c r="L348" s="17" t="s">
        <v>1909</v>
      </c>
      <c r="M348" s="18">
        <v>209900</v>
      </c>
      <c r="N348" s="9">
        <v>0.9</v>
      </c>
      <c r="O348" s="8">
        <f t="shared" si="20"/>
        <v>20990</v>
      </c>
      <c r="P348" s="6" t="s">
        <v>15</v>
      </c>
    </row>
    <row r="349" spans="1:16" x14ac:dyDescent="0.25">
      <c r="A349" s="6" t="str">
        <f t="shared" si="21"/>
        <v>2020-2021 ALL D90</v>
      </c>
      <c r="B349" s="7">
        <f t="shared" si="22"/>
        <v>46114</v>
      </c>
      <c r="C349" s="7">
        <f t="shared" si="23"/>
        <v>46120</v>
      </c>
      <c r="D349" s="6">
        <v>3280</v>
      </c>
      <c r="E349" s="6">
        <v>337</v>
      </c>
      <c r="F349" s="6">
        <v>4</v>
      </c>
      <c r="G349" s="17">
        <v>1</v>
      </c>
      <c r="H349" s="17"/>
      <c r="I349" s="17" t="s">
        <v>1505</v>
      </c>
      <c r="J349" s="17">
        <v>26517922</v>
      </c>
      <c r="K349" s="17" t="s">
        <v>1907</v>
      </c>
      <c r="L349" s="17" t="s">
        <v>1910</v>
      </c>
      <c r="M349" s="18">
        <v>209900</v>
      </c>
      <c r="N349" s="9">
        <v>0.9</v>
      </c>
      <c r="O349" s="8">
        <f t="shared" si="20"/>
        <v>20990</v>
      </c>
      <c r="P349" s="6" t="s">
        <v>15</v>
      </c>
    </row>
    <row r="350" spans="1:16" x14ac:dyDescent="0.25">
      <c r="A350" s="6" t="str">
        <f t="shared" si="21"/>
        <v>2020-2021 ALL D90</v>
      </c>
      <c r="B350" s="7">
        <f t="shared" si="22"/>
        <v>46114</v>
      </c>
      <c r="C350" s="7">
        <f t="shared" si="23"/>
        <v>46120</v>
      </c>
      <c r="D350" s="6">
        <v>3280</v>
      </c>
      <c r="E350" s="6">
        <v>337</v>
      </c>
      <c r="F350" s="6">
        <v>4</v>
      </c>
      <c r="G350" s="17">
        <v>1</v>
      </c>
      <c r="H350" s="17"/>
      <c r="I350" s="17" t="s">
        <v>1505</v>
      </c>
      <c r="J350" s="17">
        <v>26517931</v>
      </c>
      <c r="K350" s="17" t="s">
        <v>1907</v>
      </c>
      <c r="L350" s="17" t="s">
        <v>1911</v>
      </c>
      <c r="M350" s="18">
        <v>219900</v>
      </c>
      <c r="N350" s="9">
        <v>0.9</v>
      </c>
      <c r="O350" s="8">
        <f t="shared" si="20"/>
        <v>21990</v>
      </c>
      <c r="P350" s="6" t="s">
        <v>15</v>
      </c>
    </row>
    <row r="351" spans="1:16" x14ac:dyDescent="0.25">
      <c r="A351" s="6" t="str">
        <f t="shared" si="21"/>
        <v>2020-2021 ALL D90</v>
      </c>
      <c r="B351" s="7">
        <f t="shared" si="22"/>
        <v>46114</v>
      </c>
      <c r="C351" s="7">
        <f t="shared" si="23"/>
        <v>46120</v>
      </c>
      <c r="D351" s="6">
        <v>3280</v>
      </c>
      <c r="E351" s="6">
        <v>337</v>
      </c>
      <c r="F351" s="6">
        <v>4</v>
      </c>
      <c r="G351" s="17">
        <v>1</v>
      </c>
      <c r="H351" s="17"/>
      <c r="I351" s="17" t="s">
        <v>1505</v>
      </c>
      <c r="J351" s="17">
        <v>26517940</v>
      </c>
      <c r="K351" s="17" t="s">
        <v>1907</v>
      </c>
      <c r="L351" s="17" t="s">
        <v>1912</v>
      </c>
      <c r="M351" s="18">
        <v>219900</v>
      </c>
      <c r="N351" s="9">
        <v>0.9</v>
      </c>
      <c r="O351" s="8">
        <f t="shared" si="20"/>
        <v>21990</v>
      </c>
      <c r="P351" s="6" t="s">
        <v>15</v>
      </c>
    </row>
    <row r="352" spans="1:16" x14ac:dyDescent="0.25">
      <c r="A352" s="6" t="str">
        <f t="shared" si="21"/>
        <v>2020-2021 ALL D90</v>
      </c>
      <c r="B352" s="7">
        <f t="shared" si="22"/>
        <v>46114</v>
      </c>
      <c r="C352" s="7">
        <f t="shared" si="23"/>
        <v>46120</v>
      </c>
      <c r="D352" s="6">
        <v>3280</v>
      </c>
      <c r="E352" s="6">
        <v>337</v>
      </c>
      <c r="F352" s="6">
        <v>4</v>
      </c>
      <c r="G352" s="17">
        <v>1</v>
      </c>
      <c r="H352" s="17"/>
      <c r="I352" s="17" t="s">
        <v>1505</v>
      </c>
      <c r="J352" s="17">
        <v>26517959</v>
      </c>
      <c r="K352" s="17" t="s">
        <v>1907</v>
      </c>
      <c r="L352" s="17" t="s">
        <v>1913</v>
      </c>
      <c r="M352" s="18">
        <v>219900</v>
      </c>
      <c r="N352" s="9">
        <v>0.9</v>
      </c>
      <c r="O352" s="8">
        <f t="shared" si="20"/>
        <v>21990</v>
      </c>
      <c r="P352" s="6" t="s">
        <v>15</v>
      </c>
    </row>
    <row r="353" spans="1:16" x14ac:dyDescent="0.25">
      <c r="A353" s="6" t="str">
        <f t="shared" si="21"/>
        <v>2020-2021 ALL D90</v>
      </c>
      <c r="B353" s="7">
        <f t="shared" si="22"/>
        <v>46114</v>
      </c>
      <c r="C353" s="7">
        <f t="shared" si="23"/>
        <v>46120</v>
      </c>
      <c r="D353" s="6">
        <v>3280</v>
      </c>
      <c r="E353" s="6">
        <v>337</v>
      </c>
      <c r="F353" s="6">
        <v>4</v>
      </c>
      <c r="G353" s="17">
        <v>1</v>
      </c>
      <c r="H353" s="17"/>
      <c r="I353" s="17" t="s">
        <v>1505</v>
      </c>
      <c r="J353" s="17">
        <v>33406690</v>
      </c>
      <c r="K353" s="17" t="s">
        <v>1914</v>
      </c>
      <c r="L353" s="17" t="s">
        <v>1915</v>
      </c>
      <c r="M353" s="18">
        <v>199900</v>
      </c>
      <c r="N353" s="9">
        <v>0.9</v>
      </c>
      <c r="O353" s="8">
        <f t="shared" si="20"/>
        <v>19990</v>
      </c>
      <c r="P353" s="6" t="s">
        <v>15</v>
      </c>
    </row>
    <row r="354" spans="1:16" x14ac:dyDescent="0.25">
      <c r="A354" s="6" t="str">
        <f t="shared" si="21"/>
        <v>2020-2021 ALL D90</v>
      </c>
      <c r="B354" s="7">
        <f t="shared" si="22"/>
        <v>46114</v>
      </c>
      <c r="C354" s="7">
        <f t="shared" si="23"/>
        <v>46120</v>
      </c>
      <c r="D354" s="6">
        <v>3280</v>
      </c>
      <c r="E354" s="6">
        <v>337</v>
      </c>
      <c r="F354" s="6">
        <v>4</v>
      </c>
      <c r="G354" s="17">
        <v>1</v>
      </c>
      <c r="H354" s="17"/>
      <c r="I354" s="17" t="s">
        <v>1505</v>
      </c>
      <c r="J354" s="17">
        <v>33406707</v>
      </c>
      <c r="K354" s="17" t="s">
        <v>1914</v>
      </c>
      <c r="L354" s="17" t="s">
        <v>1916</v>
      </c>
      <c r="M354" s="18">
        <v>199900</v>
      </c>
      <c r="N354" s="9">
        <v>0.9</v>
      </c>
      <c r="O354" s="8">
        <f t="shared" si="20"/>
        <v>19990</v>
      </c>
      <c r="P354" s="6" t="s">
        <v>15</v>
      </c>
    </row>
    <row r="355" spans="1:16" x14ac:dyDescent="0.25">
      <c r="A355" s="6" t="str">
        <f t="shared" si="21"/>
        <v>2020-2021 ALL D90</v>
      </c>
      <c r="B355" s="7">
        <f t="shared" si="22"/>
        <v>46114</v>
      </c>
      <c r="C355" s="7">
        <f t="shared" si="23"/>
        <v>46120</v>
      </c>
      <c r="D355" s="6">
        <v>3280</v>
      </c>
      <c r="E355" s="6">
        <v>337</v>
      </c>
      <c r="F355" s="6">
        <v>4</v>
      </c>
      <c r="G355" s="17">
        <v>1</v>
      </c>
      <c r="H355" s="17"/>
      <c r="I355" s="17" t="s">
        <v>1505</v>
      </c>
      <c r="J355" s="17">
        <v>33406716</v>
      </c>
      <c r="K355" s="17" t="s">
        <v>1914</v>
      </c>
      <c r="L355" s="17" t="s">
        <v>1917</v>
      </c>
      <c r="M355" s="18">
        <v>199900</v>
      </c>
      <c r="N355" s="9">
        <v>0.9</v>
      </c>
      <c r="O355" s="8">
        <f t="shared" si="20"/>
        <v>19990</v>
      </c>
      <c r="P355" s="6" t="s">
        <v>15</v>
      </c>
    </row>
    <row r="356" spans="1:16" x14ac:dyDescent="0.25">
      <c r="A356" s="6" t="str">
        <f t="shared" si="21"/>
        <v>2020-2021 ALL D90</v>
      </c>
      <c r="B356" s="7">
        <f t="shared" si="22"/>
        <v>46114</v>
      </c>
      <c r="C356" s="7">
        <f t="shared" si="23"/>
        <v>46120</v>
      </c>
      <c r="D356" s="6">
        <v>3280</v>
      </c>
      <c r="E356" s="6">
        <v>337</v>
      </c>
      <c r="F356" s="6">
        <v>4</v>
      </c>
      <c r="G356" s="17">
        <v>1</v>
      </c>
      <c r="H356" s="17"/>
      <c r="I356" s="17" t="s">
        <v>1505</v>
      </c>
      <c r="J356" s="17">
        <v>33406725</v>
      </c>
      <c r="K356" s="17" t="s">
        <v>1914</v>
      </c>
      <c r="L356" s="17" t="s">
        <v>1918</v>
      </c>
      <c r="M356" s="18">
        <v>209900</v>
      </c>
      <c r="N356" s="9">
        <v>0.9</v>
      </c>
      <c r="O356" s="8">
        <f t="shared" si="20"/>
        <v>20990</v>
      </c>
      <c r="P356" s="6" t="s">
        <v>15</v>
      </c>
    </row>
    <row r="357" spans="1:16" x14ac:dyDescent="0.25">
      <c r="A357" s="6" t="str">
        <f t="shared" si="21"/>
        <v>2020-2021 ALL D90</v>
      </c>
      <c r="B357" s="7">
        <f t="shared" si="22"/>
        <v>46114</v>
      </c>
      <c r="C357" s="7">
        <f t="shared" si="23"/>
        <v>46120</v>
      </c>
      <c r="D357" s="6">
        <v>3280</v>
      </c>
      <c r="E357" s="6">
        <v>337</v>
      </c>
      <c r="F357" s="6">
        <v>4</v>
      </c>
      <c r="G357" s="17">
        <v>1</v>
      </c>
      <c r="H357" s="17"/>
      <c r="I357" s="17" t="s">
        <v>1505</v>
      </c>
      <c r="J357" s="17">
        <v>33406734</v>
      </c>
      <c r="K357" s="17" t="s">
        <v>1914</v>
      </c>
      <c r="L357" s="17" t="s">
        <v>1919</v>
      </c>
      <c r="M357" s="18">
        <v>209900</v>
      </c>
      <c r="N357" s="9">
        <v>0.9</v>
      </c>
      <c r="O357" s="8">
        <f t="shared" si="20"/>
        <v>20990</v>
      </c>
      <c r="P357" s="6" t="s">
        <v>15</v>
      </c>
    </row>
    <row r="358" spans="1:16" x14ac:dyDescent="0.25">
      <c r="A358" s="6" t="str">
        <f t="shared" si="21"/>
        <v>2020-2021 ALL D90</v>
      </c>
      <c r="B358" s="7">
        <f t="shared" si="22"/>
        <v>46114</v>
      </c>
      <c r="C358" s="7">
        <f t="shared" si="23"/>
        <v>46120</v>
      </c>
      <c r="D358" s="6">
        <v>3280</v>
      </c>
      <c r="E358" s="6">
        <v>337</v>
      </c>
      <c r="F358" s="6">
        <v>4</v>
      </c>
      <c r="G358" s="17">
        <v>1</v>
      </c>
      <c r="H358" s="17"/>
      <c r="I358" s="17" t="s">
        <v>1505</v>
      </c>
      <c r="J358" s="17">
        <v>33406743</v>
      </c>
      <c r="K358" s="17" t="s">
        <v>1914</v>
      </c>
      <c r="L358" s="17" t="s">
        <v>1920</v>
      </c>
      <c r="M358" s="18">
        <v>209900</v>
      </c>
      <c r="N358" s="9">
        <v>0.9</v>
      </c>
      <c r="O358" s="8">
        <f t="shared" si="20"/>
        <v>20990</v>
      </c>
      <c r="P358" s="6" t="s">
        <v>15</v>
      </c>
    </row>
    <row r="359" spans="1:16" x14ac:dyDescent="0.25">
      <c r="A359" s="6" t="str">
        <f t="shared" si="21"/>
        <v>2020-2021 ALL D90</v>
      </c>
      <c r="B359" s="7">
        <f t="shared" si="22"/>
        <v>46114</v>
      </c>
      <c r="C359" s="7">
        <f t="shared" si="23"/>
        <v>46120</v>
      </c>
      <c r="D359" s="6">
        <v>3280</v>
      </c>
      <c r="E359" s="6">
        <v>337</v>
      </c>
      <c r="F359" s="6">
        <v>4</v>
      </c>
      <c r="G359" s="17">
        <v>1</v>
      </c>
      <c r="H359" s="17"/>
      <c r="I359" s="17" t="s">
        <v>1505</v>
      </c>
      <c r="J359" s="17">
        <v>33406529</v>
      </c>
      <c r="K359" s="17" t="s">
        <v>1921</v>
      </c>
      <c r="L359" s="17" t="s">
        <v>1922</v>
      </c>
      <c r="M359" s="18">
        <v>209900</v>
      </c>
      <c r="N359" s="9">
        <v>0.9</v>
      </c>
      <c r="O359" s="8">
        <f t="shared" si="20"/>
        <v>20990</v>
      </c>
      <c r="P359" s="6" t="s">
        <v>15</v>
      </c>
    </row>
    <row r="360" spans="1:16" x14ac:dyDescent="0.25">
      <c r="A360" s="6" t="str">
        <f t="shared" si="21"/>
        <v>2020-2021 ALL D90</v>
      </c>
      <c r="B360" s="7">
        <f t="shared" si="22"/>
        <v>46114</v>
      </c>
      <c r="C360" s="7">
        <f t="shared" si="23"/>
        <v>46120</v>
      </c>
      <c r="D360" s="6">
        <v>3280</v>
      </c>
      <c r="E360" s="6">
        <v>337</v>
      </c>
      <c r="F360" s="6">
        <v>4</v>
      </c>
      <c r="G360" s="17">
        <v>1</v>
      </c>
      <c r="H360" s="17"/>
      <c r="I360" s="17" t="s">
        <v>1505</v>
      </c>
      <c r="J360" s="17">
        <v>33406538</v>
      </c>
      <c r="K360" s="17" t="s">
        <v>1921</v>
      </c>
      <c r="L360" s="17" t="s">
        <v>1923</v>
      </c>
      <c r="M360" s="18">
        <v>209900</v>
      </c>
      <c r="N360" s="9">
        <v>0.9</v>
      </c>
      <c r="O360" s="8">
        <f t="shared" si="20"/>
        <v>20990</v>
      </c>
      <c r="P360" s="6" t="s">
        <v>15</v>
      </c>
    </row>
    <row r="361" spans="1:16" x14ac:dyDescent="0.25">
      <c r="A361" s="6" t="str">
        <f t="shared" si="21"/>
        <v>2020-2021 ALL D90</v>
      </c>
      <c r="B361" s="7">
        <f t="shared" si="22"/>
        <v>46114</v>
      </c>
      <c r="C361" s="7">
        <f t="shared" si="23"/>
        <v>46120</v>
      </c>
      <c r="D361" s="6">
        <v>3280</v>
      </c>
      <c r="E361" s="6">
        <v>337</v>
      </c>
      <c r="F361" s="6">
        <v>4</v>
      </c>
      <c r="G361" s="17">
        <v>1</v>
      </c>
      <c r="H361" s="17"/>
      <c r="I361" s="17" t="s">
        <v>1505</v>
      </c>
      <c r="J361" s="17">
        <v>33406547</v>
      </c>
      <c r="K361" s="17" t="s">
        <v>1921</v>
      </c>
      <c r="L361" s="17" t="s">
        <v>1924</v>
      </c>
      <c r="M361" s="18">
        <v>209900</v>
      </c>
      <c r="N361" s="9">
        <v>0.9</v>
      </c>
      <c r="O361" s="8">
        <f t="shared" si="20"/>
        <v>20990</v>
      </c>
      <c r="P361" s="6" t="s">
        <v>15</v>
      </c>
    </row>
    <row r="362" spans="1:16" x14ac:dyDescent="0.25">
      <c r="A362" s="6" t="str">
        <f t="shared" si="21"/>
        <v>2020-2021 ALL D90</v>
      </c>
      <c r="B362" s="7">
        <f t="shared" si="22"/>
        <v>46114</v>
      </c>
      <c r="C362" s="7">
        <f t="shared" si="23"/>
        <v>46120</v>
      </c>
      <c r="D362" s="6">
        <v>3280</v>
      </c>
      <c r="E362" s="6">
        <v>337</v>
      </c>
      <c r="F362" s="6">
        <v>4</v>
      </c>
      <c r="G362" s="17">
        <v>1</v>
      </c>
      <c r="H362" s="17"/>
      <c r="I362" s="17" t="s">
        <v>1505</v>
      </c>
      <c r="J362" s="17">
        <v>33406556</v>
      </c>
      <c r="K362" s="17" t="s">
        <v>1921</v>
      </c>
      <c r="L362" s="17" t="s">
        <v>1925</v>
      </c>
      <c r="M362" s="18">
        <v>219900</v>
      </c>
      <c r="N362" s="9">
        <v>0.9</v>
      </c>
      <c r="O362" s="8">
        <f t="shared" si="20"/>
        <v>21990</v>
      </c>
      <c r="P362" s="6" t="s">
        <v>15</v>
      </c>
    </row>
    <row r="363" spans="1:16" x14ac:dyDescent="0.25">
      <c r="A363" s="6" t="str">
        <f t="shared" si="21"/>
        <v>2020-2021 ALL D90</v>
      </c>
      <c r="B363" s="7">
        <f t="shared" si="22"/>
        <v>46114</v>
      </c>
      <c r="C363" s="7">
        <f t="shared" si="23"/>
        <v>46120</v>
      </c>
      <c r="D363" s="6">
        <v>3280</v>
      </c>
      <c r="E363" s="6">
        <v>337</v>
      </c>
      <c r="F363" s="6">
        <v>4</v>
      </c>
      <c r="G363" s="17">
        <v>1</v>
      </c>
      <c r="H363" s="17"/>
      <c r="I363" s="17" t="s">
        <v>1505</v>
      </c>
      <c r="J363" s="17">
        <v>33406565</v>
      </c>
      <c r="K363" s="17" t="s">
        <v>1921</v>
      </c>
      <c r="L363" s="17" t="s">
        <v>1926</v>
      </c>
      <c r="M363" s="18">
        <v>219900</v>
      </c>
      <c r="N363" s="9">
        <v>0.9</v>
      </c>
      <c r="O363" s="8">
        <f t="shared" si="20"/>
        <v>21990</v>
      </c>
      <c r="P363" s="6" t="s">
        <v>15</v>
      </c>
    </row>
    <row r="364" spans="1:16" x14ac:dyDescent="0.25">
      <c r="A364" s="6" t="str">
        <f t="shared" si="21"/>
        <v>2020-2021 ALL D90</v>
      </c>
      <c r="B364" s="7">
        <f t="shared" si="22"/>
        <v>46114</v>
      </c>
      <c r="C364" s="7">
        <f t="shared" si="23"/>
        <v>46120</v>
      </c>
      <c r="D364" s="6">
        <v>3280</v>
      </c>
      <c r="E364" s="6">
        <v>337</v>
      </c>
      <c r="F364" s="6">
        <v>4</v>
      </c>
      <c r="G364" s="17">
        <v>1</v>
      </c>
      <c r="H364" s="17"/>
      <c r="I364" s="17" t="s">
        <v>1505</v>
      </c>
      <c r="J364" s="17">
        <v>33406574</v>
      </c>
      <c r="K364" s="17" t="s">
        <v>1921</v>
      </c>
      <c r="L364" s="17" t="s">
        <v>1927</v>
      </c>
      <c r="M364" s="18">
        <v>219900</v>
      </c>
      <c r="N364" s="9">
        <v>0.9</v>
      </c>
      <c r="O364" s="8">
        <f t="shared" si="20"/>
        <v>21990</v>
      </c>
      <c r="P364" s="6" t="s">
        <v>15</v>
      </c>
    </row>
    <row r="365" spans="1:16" x14ac:dyDescent="0.25">
      <c r="A365" s="6" t="str">
        <f t="shared" si="21"/>
        <v>2020-2021 ALL D90</v>
      </c>
      <c r="B365" s="7">
        <f t="shared" si="22"/>
        <v>46114</v>
      </c>
      <c r="C365" s="7">
        <f t="shared" si="23"/>
        <v>46120</v>
      </c>
      <c r="D365" s="6">
        <v>3280</v>
      </c>
      <c r="E365" s="6">
        <v>337</v>
      </c>
      <c r="F365" s="6">
        <v>4</v>
      </c>
      <c r="G365" s="17">
        <v>1</v>
      </c>
      <c r="H365" s="17"/>
      <c r="I365" s="17" t="s">
        <v>1505</v>
      </c>
      <c r="J365" s="17">
        <v>33432492</v>
      </c>
      <c r="K365" s="17" t="s">
        <v>1928</v>
      </c>
      <c r="L365" s="17" t="s">
        <v>1929</v>
      </c>
      <c r="M365" s="18">
        <v>209900</v>
      </c>
      <c r="N365" s="9">
        <v>0.9</v>
      </c>
      <c r="O365" s="8">
        <f t="shared" si="20"/>
        <v>20990</v>
      </c>
      <c r="P365" s="6" t="s">
        <v>15</v>
      </c>
    </row>
    <row r="366" spans="1:16" x14ac:dyDescent="0.25">
      <c r="A366" s="6" t="str">
        <f t="shared" si="21"/>
        <v>2020-2021 ALL D90</v>
      </c>
      <c r="B366" s="7">
        <f t="shared" si="22"/>
        <v>46114</v>
      </c>
      <c r="C366" s="7">
        <f t="shared" si="23"/>
        <v>46120</v>
      </c>
      <c r="D366" s="6">
        <v>3280</v>
      </c>
      <c r="E366" s="6">
        <v>337</v>
      </c>
      <c r="F366" s="6">
        <v>4</v>
      </c>
      <c r="G366" s="17">
        <v>1</v>
      </c>
      <c r="H366" s="17"/>
      <c r="I366" s="17" t="s">
        <v>1505</v>
      </c>
      <c r="J366" s="17">
        <v>33432509</v>
      </c>
      <c r="K366" s="17" t="s">
        <v>1928</v>
      </c>
      <c r="L366" s="17" t="s">
        <v>1930</v>
      </c>
      <c r="M366" s="18">
        <v>209900</v>
      </c>
      <c r="N366" s="9">
        <v>0.9</v>
      </c>
      <c r="O366" s="8">
        <f t="shared" si="20"/>
        <v>20990</v>
      </c>
      <c r="P366" s="6" t="s">
        <v>15</v>
      </c>
    </row>
    <row r="367" spans="1:16" x14ac:dyDescent="0.25">
      <c r="A367" s="6" t="str">
        <f t="shared" si="21"/>
        <v>2020-2021 ALL D90</v>
      </c>
      <c r="B367" s="7">
        <f t="shared" si="22"/>
        <v>46114</v>
      </c>
      <c r="C367" s="7">
        <f t="shared" si="23"/>
        <v>46120</v>
      </c>
      <c r="D367" s="6">
        <v>3280</v>
      </c>
      <c r="E367" s="6">
        <v>337</v>
      </c>
      <c r="F367" s="6">
        <v>4</v>
      </c>
      <c r="G367" s="17">
        <v>1</v>
      </c>
      <c r="H367" s="17"/>
      <c r="I367" s="17" t="s">
        <v>1505</v>
      </c>
      <c r="J367" s="17">
        <v>33432518</v>
      </c>
      <c r="K367" s="17" t="s">
        <v>1928</v>
      </c>
      <c r="L367" s="17" t="s">
        <v>1931</v>
      </c>
      <c r="M367" s="18">
        <v>209900</v>
      </c>
      <c r="N367" s="9">
        <v>0.9</v>
      </c>
      <c r="O367" s="8">
        <f t="shared" si="20"/>
        <v>20990</v>
      </c>
      <c r="P367" s="6" t="s">
        <v>15</v>
      </c>
    </row>
    <row r="368" spans="1:16" x14ac:dyDescent="0.25">
      <c r="A368" s="6" t="str">
        <f t="shared" si="21"/>
        <v>2020-2021 ALL D90</v>
      </c>
      <c r="B368" s="7">
        <f t="shared" si="22"/>
        <v>46114</v>
      </c>
      <c r="C368" s="7">
        <f t="shared" si="23"/>
        <v>46120</v>
      </c>
      <c r="D368" s="6">
        <v>3280</v>
      </c>
      <c r="E368" s="6">
        <v>337</v>
      </c>
      <c r="F368" s="6">
        <v>4</v>
      </c>
      <c r="G368" s="17">
        <v>1</v>
      </c>
      <c r="H368" s="17"/>
      <c r="I368" s="17" t="s">
        <v>1505</v>
      </c>
      <c r="J368" s="17">
        <v>33432527</v>
      </c>
      <c r="K368" s="17" t="s">
        <v>1928</v>
      </c>
      <c r="L368" s="17" t="s">
        <v>1932</v>
      </c>
      <c r="M368" s="18">
        <v>219900</v>
      </c>
      <c r="N368" s="9">
        <v>0.9</v>
      </c>
      <c r="O368" s="8">
        <f t="shared" si="20"/>
        <v>21990</v>
      </c>
      <c r="P368" s="6" t="s">
        <v>15</v>
      </c>
    </row>
    <row r="369" spans="1:16" x14ac:dyDescent="0.25">
      <c r="A369" s="6" t="str">
        <f t="shared" si="21"/>
        <v>2020-2021 ALL D90</v>
      </c>
      <c r="B369" s="7">
        <f t="shared" si="22"/>
        <v>46114</v>
      </c>
      <c r="C369" s="7">
        <f t="shared" si="23"/>
        <v>46120</v>
      </c>
      <c r="D369" s="6">
        <v>3280</v>
      </c>
      <c r="E369" s="6">
        <v>337</v>
      </c>
      <c r="F369" s="6">
        <v>4</v>
      </c>
      <c r="G369" s="17">
        <v>1</v>
      </c>
      <c r="H369" s="17"/>
      <c r="I369" s="17" t="s">
        <v>1505</v>
      </c>
      <c r="J369" s="17">
        <v>33432536</v>
      </c>
      <c r="K369" s="17" t="s">
        <v>1928</v>
      </c>
      <c r="L369" s="17" t="s">
        <v>1933</v>
      </c>
      <c r="M369" s="18">
        <v>219900</v>
      </c>
      <c r="N369" s="9">
        <v>0.9</v>
      </c>
      <c r="O369" s="8">
        <f t="shared" si="20"/>
        <v>21990</v>
      </c>
      <c r="P369" s="6" t="s">
        <v>15</v>
      </c>
    </row>
    <row r="370" spans="1:16" x14ac:dyDescent="0.25">
      <c r="A370" s="6" t="str">
        <f t="shared" si="21"/>
        <v>2020-2021 ALL D90</v>
      </c>
      <c r="B370" s="7">
        <f t="shared" si="22"/>
        <v>46114</v>
      </c>
      <c r="C370" s="7">
        <f t="shared" si="23"/>
        <v>46120</v>
      </c>
      <c r="D370" s="6">
        <v>3280</v>
      </c>
      <c r="E370" s="6">
        <v>337</v>
      </c>
      <c r="F370" s="6">
        <v>4</v>
      </c>
      <c r="G370" s="17">
        <v>1</v>
      </c>
      <c r="H370" s="17"/>
      <c r="I370" s="17" t="s">
        <v>1505</v>
      </c>
      <c r="J370" s="17">
        <v>33432545</v>
      </c>
      <c r="K370" s="17" t="s">
        <v>1928</v>
      </c>
      <c r="L370" s="17" t="s">
        <v>1934</v>
      </c>
      <c r="M370" s="18">
        <v>219900</v>
      </c>
      <c r="N370" s="9">
        <v>0.9</v>
      </c>
      <c r="O370" s="8">
        <f t="shared" si="20"/>
        <v>21990</v>
      </c>
      <c r="P370" s="6" t="s">
        <v>15</v>
      </c>
    </row>
    <row r="371" spans="1:16" x14ac:dyDescent="0.25">
      <c r="A371" s="6" t="str">
        <f t="shared" si="21"/>
        <v>2020-2021 ALL D90</v>
      </c>
      <c r="B371" s="7">
        <f t="shared" si="22"/>
        <v>46114</v>
      </c>
      <c r="C371" s="7">
        <f t="shared" si="23"/>
        <v>46120</v>
      </c>
      <c r="D371" s="6">
        <v>3280</v>
      </c>
      <c r="E371" s="6">
        <v>337</v>
      </c>
      <c r="F371" s="6">
        <v>4</v>
      </c>
      <c r="G371" s="17">
        <v>1</v>
      </c>
      <c r="H371" s="17"/>
      <c r="I371" s="17" t="s">
        <v>1505</v>
      </c>
      <c r="J371" s="17">
        <v>45107482</v>
      </c>
      <c r="K371" s="17" t="s">
        <v>1935</v>
      </c>
      <c r="L371" s="17" t="s">
        <v>1936</v>
      </c>
      <c r="M371" s="18">
        <v>209900</v>
      </c>
      <c r="N371" s="9">
        <v>0.9</v>
      </c>
      <c r="O371" s="8">
        <f t="shared" si="20"/>
        <v>20990</v>
      </c>
      <c r="P371" s="6" t="s">
        <v>15</v>
      </c>
    </row>
    <row r="372" spans="1:16" x14ac:dyDescent="0.25">
      <c r="A372" s="6" t="str">
        <f t="shared" si="21"/>
        <v>2020-2021 ALL D90</v>
      </c>
      <c r="B372" s="7">
        <f t="shared" si="22"/>
        <v>46114</v>
      </c>
      <c r="C372" s="7">
        <f t="shared" si="23"/>
        <v>46120</v>
      </c>
      <c r="D372" s="6">
        <v>3280</v>
      </c>
      <c r="E372" s="6">
        <v>337</v>
      </c>
      <c r="F372" s="6">
        <v>4</v>
      </c>
      <c r="G372" s="17">
        <v>1</v>
      </c>
      <c r="H372" s="17"/>
      <c r="I372" s="17" t="s">
        <v>1505</v>
      </c>
      <c r="J372" s="17">
        <v>45107491</v>
      </c>
      <c r="K372" s="17" t="s">
        <v>1935</v>
      </c>
      <c r="L372" s="17" t="s">
        <v>1937</v>
      </c>
      <c r="M372" s="18">
        <v>209900</v>
      </c>
      <c r="N372" s="9">
        <v>0.9</v>
      </c>
      <c r="O372" s="8">
        <f t="shared" si="20"/>
        <v>20990</v>
      </c>
      <c r="P372" s="6" t="s">
        <v>15</v>
      </c>
    </row>
    <row r="373" spans="1:16" x14ac:dyDescent="0.25">
      <c r="A373" s="6" t="str">
        <f t="shared" si="21"/>
        <v>2020-2021 ALL D90</v>
      </c>
      <c r="B373" s="7">
        <f t="shared" si="22"/>
        <v>46114</v>
      </c>
      <c r="C373" s="7">
        <f t="shared" si="23"/>
        <v>46120</v>
      </c>
      <c r="D373" s="6">
        <v>3280</v>
      </c>
      <c r="E373" s="6">
        <v>337</v>
      </c>
      <c r="F373" s="6">
        <v>4</v>
      </c>
      <c r="G373" s="17">
        <v>1</v>
      </c>
      <c r="H373" s="17"/>
      <c r="I373" s="17" t="s">
        <v>1505</v>
      </c>
      <c r="J373" s="17">
        <v>45107508</v>
      </c>
      <c r="K373" s="17" t="s">
        <v>1935</v>
      </c>
      <c r="L373" s="17" t="s">
        <v>1938</v>
      </c>
      <c r="M373" s="18">
        <v>209900</v>
      </c>
      <c r="N373" s="9">
        <v>0.9</v>
      </c>
      <c r="O373" s="8">
        <f t="shared" si="20"/>
        <v>20990</v>
      </c>
      <c r="P373" s="6" t="s">
        <v>15</v>
      </c>
    </row>
    <row r="374" spans="1:16" x14ac:dyDescent="0.25">
      <c r="A374" s="6" t="str">
        <f t="shared" si="21"/>
        <v>2020-2021 ALL D90</v>
      </c>
      <c r="B374" s="7">
        <f t="shared" si="22"/>
        <v>46114</v>
      </c>
      <c r="C374" s="7">
        <f t="shared" si="23"/>
        <v>46120</v>
      </c>
      <c r="D374" s="6">
        <v>3280</v>
      </c>
      <c r="E374" s="6">
        <v>337</v>
      </c>
      <c r="F374" s="6">
        <v>4</v>
      </c>
      <c r="G374" s="17">
        <v>1</v>
      </c>
      <c r="H374" s="17"/>
      <c r="I374" s="17" t="s">
        <v>1505</v>
      </c>
      <c r="J374" s="17">
        <v>45107517</v>
      </c>
      <c r="K374" s="17" t="s">
        <v>1935</v>
      </c>
      <c r="L374" s="17" t="s">
        <v>1939</v>
      </c>
      <c r="M374" s="18">
        <v>219900</v>
      </c>
      <c r="N374" s="9">
        <v>0.9</v>
      </c>
      <c r="O374" s="8">
        <f t="shared" si="20"/>
        <v>21990</v>
      </c>
      <c r="P374" s="6" t="s">
        <v>15</v>
      </c>
    </row>
    <row r="375" spans="1:16" x14ac:dyDescent="0.25">
      <c r="A375" s="6" t="str">
        <f t="shared" si="21"/>
        <v>2020-2021 ALL D90</v>
      </c>
      <c r="B375" s="7">
        <f t="shared" si="22"/>
        <v>46114</v>
      </c>
      <c r="C375" s="7">
        <f t="shared" si="23"/>
        <v>46120</v>
      </c>
      <c r="D375" s="6">
        <v>3280</v>
      </c>
      <c r="E375" s="6">
        <v>337</v>
      </c>
      <c r="F375" s="6">
        <v>4</v>
      </c>
      <c r="G375" s="17">
        <v>1</v>
      </c>
      <c r="H375" s="17"/>
      <c r="I375" s="17" t="s">
        <v>1505</v>
      </c>
      <c r="J375" s="17">
        <v>45107526</v>
      </c>
      <c r="K375" s="17" t="s">
        <v>1935</v>
      </c>
      <c r="L375" s="17" t="s">
        <v>1940</v>
      </c>
      <c r="M375" s="18">
        <v>219900</v>
      </c>
      <c r="N375" s="9">
        <v>0.9</v>
      </c>
      <c r="O375" s="8">
        <f t="shared" si="20"/>
        <v>21990</v>
      </c>
      <c r="P375" s="6" t="s">
        <v>15</v>
      </c>
    </row>
    <row r="376" spans="1:16" x14ac:dyDescent="0.25">
      <c r="A376" s="6" t="str">
        <f t="shared" si="21"/>
        <v>2020-2021 ALL D90</v>
      </c>
      <c r="B376" s="7">
        <f t="shared" si="22"/>
        <v>46114</v>
      </c>
      <c r="C376" s="7">
        <f t="shared" si="23"/>
        <v>46120</v>
      </c>
      <c r="D376" s="6">
        <v>3280</v>
      </c>
      <c r="E376" s="6">
        <v>337</v>
      </c>
      <c r="F376" s="6">
        <v>4</v>
      </c>
      <c r="G376" s="17">
        <v>1</v>
      </c>
      <c r="H376" s="17"/>
      <c r="I376" s="17" t="s">
        <v>1505</v>
      </c>
      <c r="J376" s="17">
        <v>45107535</v>
      </c>
      <c r="K376" s="17" t="s">
        <v>1935</v>
      </c>
      <c r="L376" s="17" t="s">
        <v>1941</v>
      </c>
      <c r="M376" s="18">
        <v>219900</v>
      </c>
      <c r="N376" s="9">
        <v>0.9</v>
      </c>
      <c r="O376" s="8">
        <f t="shared" si="20"/>
        <v>21990</v>
      </c>
      <c r="P376" s="6" t="s">
        <v>15</v>
      </c>
    </row>
    <row r="377" spans="1:16" x14ac:dyDescent="0.25">
      <c r="A377" s="6" t="str">
        <f t="shared" si="21"/>
        <v>2020-2021 ALL D90</v>
      </c>
      <c r="B377" s="7">
        <f t="shared" si="22"/>
        <v>46114</v>
      </c>
      <c r="C377" s="7">
        <f t="shared" si="23"/>
        <v>46120</v>
      </c>
      <c r="D377" s="6">
        <v>3280</v>
      </c>
      <c r="E377" s="6">
        <v>337</v>
      </c>
      <c r="F377" s="6">
        <v>4</v>
      </c>
      <c r="G377" s="17">
        <v>1</v>
      </c>
      <c r="H377" s="17"/>
      <c r="I377" s="17" t="s">
        <v>1505</v>
      </c>
      <c r="J377" s="17">
        <v>45107544</v>
      </c>
      <c r="K377" s="17" t="s">
        <v>1942</v>
      </c>
      <c r="L377" s="17" t="s">
        <v>1943</v>
      </c>
      <c r="M377" s="18">
        <v>199900</v>
      </c>
      <c r="N377" s="9">
        <v>0.9</v>
      </c>
      <c r="O377" s="8">
        <f t="shared" si="20"/>
        <v>19990</v>
      </c>
      <c r="P377" s="6" t="s">
        <v>15</v>
      </c>
    </row>
    <row r="378" spans="1:16" x14ac:dyDescent="0.25">
      <c r="A378" s="6" t="str">
        <f t="shared" si="21"/>
        <v>2020-2021 ALL D90</v>
      </c>
      <c r="B378" s="7">
        <f t="shared" si="22"/>
        <v>46114</v>
      </c>
      <c r="C378" s="7">
        <f t="shared" si="23"/>
        <v>46120</v>
      </c>
      <c r="D378" s="6">
        <v>3280</v>
      </c>
      <c r="E378" s="6">
        <v>337</v>
      </c>
      <c r="F378" s="6">
        <v>4</v>
      </c>
      <c r="G378" s="17">
        <v>1</v>
      </c>
      <c r="H378" s="17"/>
      <c r="I378" s="17" t="s">
        <v>1505</v>
      </c>
      <c r="J378" s="17">
        <v>45107553</v>
      </c>
      <c r="K378" s="17" t="s">
        <v>1942</v>
      </c>
      <c r="L378" s="17" t="s">
        <v>1944</v>
      </c>
      <c r="M378" s="18">
        <v>199900</v>
      </c>
      <c r="N378" s="9">
        <v>0.9</v>
      </c>
      <c r="O378" s="8">
        <f t="shared" si="20"/>
        <v>19990</v>
      </c>
      <c r="P378" s="6" t="s">
        <v>15</v>
      </c>
    </row>
    <row r="379" spans="1:16" x14ac:dyDescent="0.25">
      <c r="A379" s="6" t="str">
        <f t="shared" si="21"/>
        <v>2020-2021 ALL D90</v>
      </c>
      <c r="B379" s="7">
        <f t="shared" si="22"/>
        <v>46114</v>
      </c>
      <c r="C379" s="7">
        <f t="shared" si="23"/>
        <v>46120</v>
      </c>
      <c r="D379" s="6">
        <v>3280</v>
      </c>
      <c r="E379" s="6">
        <v>337</v>
      </c>
      <c r="F379" s="6">
        <v>4</v>
      </c>
      <c r="G379" s="17">
        <v>1</v>
      </c>
      <c r="H379" s="17"/>
      <c r="I379" s="17" t="s">
        <v>1505</v>
      </c>
      <c r="J379" s="17">
        <v>45107562</v>
      </c>
      <c r="K379" s="17" t="s">
        <v>1942</v>
      </c>
      <c r="L379" s="17" t="s">
        <v>1945</v>
      </c>
      <c r="M379" s="18">
        <v>199900</v>
      </c>
      <c r="N379" s="9">
        <v>0.9</v>
      </c>
      <c r="O379" s="8">
        <f t="shared" si="20"/>
        <v>19990</v>
      </c>
      <c r="P379" s="6" t="s">
        <v>15</v>
      </c>
    </row>
    <row r="380" spans="1:16" x14ac:dyDescent="0.25">
      <c r="A380" s="6" t="str">
        <f t="shared" si="21"/>
        <v>2020-2021 ALL D90</v>
      </c>
      <c r="B380" s="7">
        <f t="shared" si="22"/>
        <v>46114</v>
      </c>
      <c r="C380" s="7">
        <f t="shared" si="23"/>
        <v>46120</v>
      </c>
      <c r="D380" s="6">
        <v>3280</v>
      </c>
      <c r="E380" s="6">
        <v>337</v>
      </c>
      <c r="F380" s="6">
        <v>4</v>
      </c>
      <c r="G380" s="17">
        <v>1</v>
      </c>
      <c r="H380" s="17"/>
      <c r="I380" s="17" t="s">
        <v>1505</v>
      </c>
      <c r="J380" s="17">
        <v>45107571</v>
      </c>
      <c r="K380" s="17" t="s">
        <v>1942</v>
      </c>
      <c r="L380" s="17" t="s">
        <v>1946</v>
      </c>
      <c r="M380" s="18">
        <v>209900</v>
      </c>
      <c r="N380" s="9">
        <v>0.9</v>
      </c>
      <c r="O380" s="8">
        <f t="shared" si="20"/>
        <v>20990</v>
      </c>
      <c r="P380" s="6" t="s">
        <v>15</v>
      </c>
    </row>
    <row r="381" spans="1:16" x14ac:dyDescent="0.25">
      <c r="A381" s="6" t="str">
        <f t="shared" si="21"/>
        <v>2020-2021 ALL D90</v>
      </c>
      <c r="B381" s="7">
        <f t="shared" si="22"/>
        <v>46114</v>
      </c>
      <c r="C381" s="7">
        <f t="shared" si="23"/>
        <v>46120</v>
      </c>
      <c r="D381" s="6">
        <v>3280</v>
      </c>
      <c r="E381" s="6">
        <v>337</v>
      </c>
      <c r="F381" s="6">
        <v>4</v>
      </c>
      <c r="G381" s="17">
        <v>1</v>
      </c>
      <c r="H381" s="17"/>
      <c r="I381" s="17" t="s">
        <v>1505</v>
      </c>
      <c r="J381" s="17">
        <v>45107580</v>
      </c>
      <c r="K381" s="17" t="s">
        <v>1942</v>
      </c>
      <c r="L381" s="17" t="s">
        <v>1947</v>
      </c>
      <c r="M381" s="18">
        <v>209900</v>
      </c>
      <c r="N381" s="9">
        <v>0.9</v>
      </c>
      <c r="O381" s="8">
        <f t="shared" si="20"/>
        <v>20990</v>
      </c>
      <c r="P381" s="6" t="s">
        <v>15</v>
      </c>
    </row>
    <row r="382" spans="1:16" x14ac:dyDescent="0.25">
      <c r="A382" s="6" t="str">
        <f t="shared" si="21"/>
        <v>2020-2021 ALL D90</v>
      </c>
      <c r="B382" s="7">
        <f t="shared" si="22"/>
        <v>46114</v>
      </c>
      <c r="C382" s="7">
        <f t="shared" si="23"/>
        <v>46120</v>
      </c>
      <c r="D382" s="6">
        <v>3280</v>
      </c>
      <c r="E382" s="6">
        <v>337</v>
      </c>
      <c r="F382" s="6">
        <v>4</v>
      </c>
      <c r="G382" s="17">
        <v>1</v>
      </c>
      <c r="H382" s="17"/>
      <c r="I382" s="17" t="s">
        <v>1505</v>
      </c>
      <c r="J382" s="17">
        <v>45107599</v>
      </c>
      <c r="K382" s="17" t="s">
        <v>1942</v>
      </c>
      <c r="L382" s="17" t="s">
        <v>1948</v>
      </c>
      <c r="M382" s="18">
        <v>209900</v>
      </c>
      <c r="N382" s="9">
        <v>0.9</v>
      </c>
      <c r="O382" s="8">
        <f t="shared" si="20"/>
        <v>20990</v>
      </c>
      <c r="P382" s="6" t="s">
        <v>15</v>
      </c>
    </row>
    <row r="383" spans="1:16" x14ac:dyDescent="0.25">
      <c r="A383" s="6" t="str">
        <f t="shared" si="21"/>
        <v>2020-2021 ALL D90</v>
      </c>
      <c r="B383" s="7">
        <f t="shared" si="22"/>
        <v>46114</v>
      </c>
      <c r="C383" s="7">
        <f t="shared" si="23"/>
        <v>46120</v>
      </c>
      <c r="D383" s="6">
        <v>3280</v>
      </c>
      <c r="E383" s="6">
        <v>337</v>
      </c>
      <c r="F383" s="6">
        <v>4</v>
      </c>
      <c r="G383" s="17">
        <v>1</v>
      </c>
      <c r="H383" s="17"/>
      <c r="I383" s="17" t="s">
        <v>1505</v>
      </c>
      <c r="J383" s="17">
        <v>26462688</v>
      </c>
      <c r="K383" s="17" t="s">
        <v>1949</v>
      </c>
      <c r="L383" s="17" t="s">
        <v>1950</v>
      </c>
      <c r="M383" s="18">
        <v>299900</v>
      </c>
      <c r="N383" s="9">
        <v>0.9</v>
      </c>
      <c r="O383" s="8">
        <f t="shared" si="20"/>
        <v>29990</v>
      </c>
      <c r="P383" s="6" t="s">
        <v>15</v>
      </c>
    </row>
    <row r="384" spans="1:16" x14ac:dyDescent="0.25">
      <c r="A384" s="6" t="str">
        <f t="shared" si="21"/>
        <v>2020-2021 ALL D90</v>
      </c>
      <c r="B384" s="7">
        <f t="shared" si="22"/>
        <v>46114</v>
      </c>
      <c r="C384" s="7">
        <f t="shared" si="23"/>
        <v>46120</v>
      </c>
      <c r="D384" s="6">
        <v>3280</v>
      </c>
      <c r="E384" s="6">
        <v>337</v>
      </c>
      <c r="F384" s="6">
        <v>4</v>
      </c>
      <c r="G384" s="17">
        <v>1</v>
      </c>
      <c r="H384" s="17"/>
      <c r="I384" s="17" t="s">
        <v>1505</v>
      </c>
      <c r="J384" s="17">
        <v>26462697</v>
      </c>
      <c r="K384" s="17" t="s">
        <v>1949</v>
      </c>
      <c r="L384" s="17" t="s">
        <v>1951</v>
      </c>
      <c r="M384" s="18">
        <v>299900</v>
      </c>
      <c r="N384" s="9">
        <v>0.9</v>
      </c>
      <c r="O384" s="8">
        <f t="shared" si="20"/>
        <v>29990</v>
      </c>
      <c r="P384" s="6" t="s">
        <v>15</v>
      </c>
    </row>
    <row r="385" spans="1:16" x14ac:dyDescent="0.25">
      <c r="A385" s="6" t="str">
        <f t="shared" si="21"/>
        <v>2020-2021 ALL D90</v>
      </c>
      <c r="B385" s="7">
        <f t="shared" si="22"/>
        <v>46114</v>
      </c>
      <c r="C385" s="7">
        <f t="shared" si="23"/>
        <v>46120</v>
      </c>
      <c r="D385" s="6">
        <v>3280</v>
      </c>
      <c r="E385" s="6">
        <v>337</v>
      </c>
      <c r="F385" s="6">
        <v>4</v>
      </c>
      <c r="G385" s="17">
        <v>1</v>
      </c>
      <c r="H385" s="17"/>
      <c r="I385" s="17" t="s">
        <v>1505</v>
      </c>
      <c r="J385" s="17">
        <v>26462704</v>
      </c>
      <c r="K385" s="17" t="s">
        <v>1949</v>
      </c>
      <c r="L385" s="17" t="s">
        <v>1952</v>
      </c>
      <c r="M385" s="18">
        <v>299900</v>
      </c>
      <c r="N385" s="9">
        <v>0.9</v>
      </c>
      <c r="O385" s="8">
        <f t="shared" si="20"/>
        <v>29990</v>
      </c>
      <c r="P385" s="6" t="s">
        <v>15</v>
      </c>
    </row>
    <row r="386" spans="1:16" x14ac:dyDescent="0.25">
      <c r="A386" s="6" t="str">
        <f t="shared" si="21"/>
        <v>2020-2021 ALL D90</v>
      </c>
      <c r="B386" s="7">
        <f t="shared" si="22"/>
        <v>46114</v>
      </c>
      <c r="C386" s="7">
        <f t="shared" si="23"/>
        <v>46120</v>
      </c>
      <c r="D386" s="6">
        <v>3280</v>
      </c>
      <c r="E386" s="6">
        <v>337</v>
      </c>
      <c r="F386" s="6">
        <v>4</v>
      </c>
      <c r="G386" s="17">
        <v>1</v>
      </c>
      <c r="H386" s="17"/>
      <c r="I386" s="17" t="s">
        <v>1505</v>
      </c>
      <c r="J386" s="17">
        <v>26462713</v>
      </c>
      <c r="K386" s="17" t="s">
        <v>1949</v>
      </c>
      <c r="L386" s="17" t="s">
        <v>1953</v>
      </c>
      <c r="M386" s="18">
        <v>299900</v>
      </c>
      <c r="N386" s="9">
        <v>0.9</v>
      </c>
      <c r="O386" s="8">
        <f t="shared" si="20"/>
        <v>29990</v>
      </c>
      <c r="P386" s="6" t="s">
        <v>15</v>
      </c>
    </row>
    <row r="387" spans="1:16" x14ac:dyDescent="0.25">
      <c r="A387" s="6" t="str">
        <f t="shared" si="21"/>
        <v>2020-2021 ALL D90</v>
      </c>
      <c r="B387" s="7">
        <f t="shared" si="22"/>
        <v>46114</v>
      </c>
      <c r="C387" s="7">
        <f t="shared" si="23"/>
        <v>46120</v>
      </c>
      <c r="D387" s="6">
        <v>3280</v>
      </c>
      <c r="E387" s="6">
        <v>337</v>
      </c>
      <c r="F387" s="6">
        <v>4</v>
      </c>
      <c r="G387" s="17">
        <v>1</v>
      </c>
      <c r="H387" s="17"/>
      <c r="I387" s="17" t="s">
        <v>1505</v>
      </c>
      <c r="J387" s="17">
        <v>26462722</v>
      </c>
      <c r="K387" s="17" t="s">
        <v>1949</v>
      </c>
      <c r="L387" s="17" t="s">
        <v>1954</v>
      </c>
      <c r="M387" s="18">
        <v>299900</v>
      </c>
      <c r="N387" s="9">
        <v>0.9</v>
      </c>
      <c r="O387" s="8">
        <f t="shared" ref="O387:O450" si="24">M387-((90*M387)/100)</f>
        <v>29990</v>
      </c>
      <c r="P387" s="6" t="s">
        <v>15</v>
      </c>
    </row>
    <row r="388" spans="1:16" x14ac:dyDescent="0.25">
      <c r="A388" s="6" t="str">
        <f t="shared" ref="A388:A451" si="25">A387</f>
        <v>2020-2021 ALL D90</v>
      </c>
      <c r="B388" s="7">
        <f t="shared" ref="B388:B451" si="26">B387</f>
        <v>46114</v>
      </c>
      <c r="C388" s="7">
        <f t="shared" ref="C388:C451" si="27">C387</f>
        <v>46120</v>
      </c>
      <c r="D388" s="6">
        <v>3280</v>
      </c>
      <c r="E388" s="6">
        <v>337</v>
      </c>
      <c r="F388" s="6">
        <v>4</v>
      </c>
      <c r="G388" s="17">
        <v>1</v>
      </c>
      <c r="H388" s="17"/>
      <c r="I388" s="17" t="s">
        <v>1505</v>
      </c>
      <c r="J388" s="17">
        <v>26462731</v>
      </c>
      <c r="K388" s="17" t="s">
        <v>1949</v>
      </c>
      <c r="L388" s="17" t="s">
        <v>1955</v>
      </c>
      <c r="M388" s="18">
        <v>299900</v>
      </c>
      <c r="N388" s="9">
        <v>0.9</v>
      </c>
      <c r="O388" s="8">
        <f t="shared" si="24"/>
        <v>29990</v>
      </c>
      <c r="P388" s="6" t="s">
        <v>15</v>
      </c>
    </row>
    <row r="389" spans="1:16" x14ac:dyDescent="0.25">
      <c r="A389" s="6" t="str">
        <f t="shared" si="25"/>
        <v>2020-2021 ALL D90</v>
      </c>
      <c r="B389" s="7">
        <f t="shared" si="26"/>
        <v>46114</v>
      </c>
      <c r="C389" s="7">
        <f t="shared" si="27"/>
        <v>46120</v>
      </c>
      <c r="D389" s="6">
        <v>3280</v>
      </c>
      <c r="E389" s="6">
        <v>337</v>
      </c>
      <c r="F389" s="6">
        <v>4</v>
      </c>
      <c r="G389" s="17">
        <v>1</v>
      </c>
      <c r="H389" s="17"/>
      <c r="I389" s="17" t="s">
        <v>1505</v>
      </c>
      <c r="J389" s="17">
        <v>26564336</v>
      </c>
      <c r="K389" s="17" t="s">
        <v>1956</v>
      </c>
      <c r="L389" s="17" t="s">
        <v>1957</v>
      </c>
      <c r="M389" s="18">
        <v>269900</v>
      </c>
      <c r="N389" s="9">
        <v>0.9</v>
      </c>
      <c r="O389" s="8">
        <f t="shared" si="24"/>
        <v>26990</v>
      </c>
      <c r="P389" s="6" t="s">
        <v>15</v>
      </c>
    </row>
    <row r="390" spans="1:16" x14ac:dyDescent="0.25">
      <c r="A390" s="6" t="str">
        <f t="shared" si="25"/>
        <v>2020-2021 ALL D90</v>
      </c>
      <c r="B390" s="7">
        <f t="shared" si="26"/>
        <v>46114</v>
      </c>
      <c r="C390" s="7">
        <f t="shared" si="27"/>
        <v>46120</v>
      </c>
      <c r="D390" s="6">
        <v>3280</v>
      </c>
      <c r="E390" s="6">
        <v>337</v>
      </c>
      <c r="F390" s="6">
        <v>4</v>
      </c>
      <c r="G390" s="17">
        <v>1</v>
      </c>
      <c r="H390" s="17"/>
      <c r="I390" s="17" t="s">
        <v>1505</v>
      </c>
      <c r="J390" s="17">
        <v>26564345</v>
      </c>
      <c r="K390" s="17" t="s">
        <v>1956</v>
      </c>
      <c r="L390" s="17" t="s">
        <v>1958</v>
      </c>
      <c r="M390" s="18">
        <v>269900</v>
      </c>
      <c r="N390" s="9">
        <v>0.9</v>
      </c>
      <c r="O390" s="8">
        <f t="shared" si="24"/>
        <v>26990</v>
      </c>
      <c r="P390" s="6" t="s">
        <v>15</v>
      </c>
    </row>
    <row r="391" spans="1:16" x14ac:dyDescent="0.25">
      <c r="A391" s="6" t="str">
        <f t="shared" si="25"/>
        <v>2020-2021 ALL D90</v>
      </c>
      <c r="B391" s="7">
        <f t="shared" si="26"/>
        <v>46114</v>
      </c>
      <c r="C391" s="7">
        <f t="shared" si="27"/>
        <v>46120</v>
      </c>
      <c r="D391" s="6">
        <v>3280</v>
      </c>
      <c r="E391" s="6">
        <v>337</v>
      </c>
      <c r="F391" s="6">
        <v>4</v>
      </c>
      <c r="G391" s="17">
        <v>1</v>
      </c>
      <c r="H391" s="17"/>
      <c r="I391" s="17" t="s">
        <v>1505</v>
      </c>
      <c r="J391" s="17">
        <v>26564354</v>
      </c>
      <c r="K391" s="17" t="s">
        <v>1956</v>
      </c>
      <c r="L391" s="17" t="s">
        <v>1959</v>
      </c>
      <c r="M391" s="18">
        <v>269900</v>
      </c>
      <c r="N391" s="9">
        <v>0.9</v>
      </c>
      <c r="O391" s="8">
        <f t="shared" si="24"/>
        <v>26990</v>
      </c>
      <c r="P391" s="6" t="s">
        <v>15</v>
      </c>
    </row>
    <row r="392" spans="1:16" x14ac:dyDescent="0.25">
      <c r="A392" s="6" t="str">
        <f t="shared" si="25"/>
        <v>2020-2021 ALL D90</v>
      </c>
      <c r="B392" s="7">
        <f t="shared" si="26"/>
        <v>46114</v>
      </c>
      <c r="C392" s="7">
        <f t="shared" si="27"/>
        <v>46120</v>
      </c>
      <c r="D392" s="6">
        <v>3280</v>
      </c>
      <c r="E392" s="6">
        <v>337</v>
      </c>
      <c r="F392" s="6">
        <v>4</v>
      </c>
      <c r="G392" s="17">
        <v>1</v>
      </c>
      <c r="H392" s="17"/>
      <c r="I392" s="17" t="s">
        <v>1505</v>
      </c>
      <c r="J392" s="17">
        <v>26564363</v>
      </c>
      <c r="K392" s="17" t="s">
        <v>1956</v>
      </c>
      <c r="L392" s="17" t="s">
        <v>1960</v>
      </c>
      <c r="M392" s="18">
        <v>269900</v>
      </c>
      <c r="N392" s="9">
        <v>0.9</v>
      </c>
      <c r="O392" s="8">
        <f t="shared" si="24"/>
        <v>26990</v>
      </c>
      <c r="P392" s="6" t="s">
        <v>15</v>
      </c>
    </row>
    <row r="393" spans="1:16" x14ac:dyDescent="0.25">
      <c r="A393" s="6" t="str">
        <f t="shared" si="25"/>
        <v>2020-2021 ALL D90</v>
      </c>
      <c r="B393" s="7">
        <f t="shared" si="26"/>
        <v>46114</v>
      </c>
      <c r="C393" s="7">
        <f t="shared" si="27"/>
        <v>46120</v>
      </c>
      <c r="D393" s="6">
        <v>3280</v>
      </c>
      <c r="E393" s="6">
        <v>337</v>
      </c>
      <c r="F393" s="6">
        <v>4</v>
      </c>
      <c r="G393" s="17">
        <v>1</v>
      </c>
      <c r="H393" s="17"/>
      <c r="I393" s="17" t="s">
        <v>1505</v>
      </c>
      <c r="J393" s="17">
        <v>26564372</v>
      </c>
      <c r="K393" s="17" t="s">
        <v>1956</v>
      </c>
      <c r="L393" s="17" t="s">
        <v>1961</v>
      </c>
      <c r="M393" s="18">
        <v>269900</v>
      </c>
      <c r="N393" s="9">
        <v>0.9</v>
      </c>
      <c r="O393" s="8">
        <f t="shared" si="24"/>
        <v>26990</v>
      </c>
      <c r="P393" s="6" t="s">
        <v>15</v>
      </c>
    </row>
    <row r="394" spans="1:16" x14ac:dyDescent="0.25">
      <c r="A394" s="6" t="str">
        <f t="shared" si="25"/>
        <v>2020-2021 ALL D90</v>
      </c>
      <c r="B394" s="7">
        <f t="shared" si="26"/>
        <v>46114</v>
      </c>
      <c r="C394" s="7">
        <f t="shared" si="27"/>
        <v>46120</v>
      </c>
      <c r="D394" s="6">
        <v>3280</v>
      </c>
      <c r="E394" s="6">
        <v>337</v>
      </c>
      <c r="F394" s="6">
        <v>4</v>
      </c>
      <c r="G394" s="17">
        <v>1</v>
      </c>
      <c r="H394" s="17"/>
      <c r="I394" s="17" t="s">
        <v>1505</v>
      </c>
      <c r="J394" s="17">
        <v>26564381</v>
      </c>
      <c r="K394" s="17" t="s">
        <v>1956</v>
      </c>
      <c r="L394" s="17" t="s">
        <v>1962</v>
      </c>
      <c r="M394" s="18">
        <v>269900</v>
      </c>
      <c r="N394" s="9">
        <v>0.9</v>
      </c>
      <c r="O394" s="8">
        <f t="shared" si="24"/>
        <v>26990</v>
      </c>
      <c r="P394" s="6" t="s">
        <v>15</v>
      </c>
    </row>
    <row r="395" spans="1:16" x14ac:dyDescent="0.25">
      <c r="A395" s="6" t="str">
        <f t="shared" si="25"/>
        <v>2020-2021 ALL D90</v>
      </c>
      <c r="B395" s="7">
        <f t="shared" si="26"/>
        <v>46114</v>
      </c>
      <c r="C395" s="7">
        <f t="shared" si="27"/>
        <v>46120</v>
      </c>
      <c r="D395" s="6">
        <v>3280</v>
      </c>
      <c r="E395" s="6">
        <v>337</v>
      </c>
      <c r="F395" s="6">
        <v>4</v>
      </c>
      <c r="G395" s="17">
        <v>1</v>
      </c>
      <c r="H395" s="17"/>
      <c r="I395" s="17" t="s">
        <v>1505</v>
      </c>
      <c r="J395" s="17">
        <v>26623012</v>
      </c>
      <c r="K395" s="17" t="s">
        <v>1963</v>
      </c>
      <c r="L395" s="17" t="s">
        <v>1964</v>
      </c>
      <c r="M395" s="18">
        <v>269900</v>
      </c>
      <c r="N395" s="9">
        <v>0.9</v>
      </c>
      <c r="O395" s="8">
        <f t="shared" si="24"/>
        <v>26990</v>
      </c>
      <c r="P395" s="6" t="s">
        <v>15</v>
      </c>
    </row>
    <row r="396" spans="1:16" x14ac:dyDescent="0.25">
      <c r="A396" s="6" t="str">
        <f t="shared" si="25"/>
        <v>2020-2021 ALL D90</v>
      </c>
      <c r="B396" s="7">
        <f t="shared" si="26"/>
        <v>46114</v>
      </c>
      <c r="C396" s="7">
        <f t="shared" si="27"/>
        <v>46120</v>
      </c>
      <c r="D396" s="6">
        <v>3280</v>
      </c>
      <c r="E396" s="6">
        <v>337</v>
      </c>
      <c r="F396" s="6">
        <v>4</v>
      </c>
      <c r="G396" s="17">
        <v>1</v>
      </c>
      <c r="H396" s="17"/>
      <c r="I396" s="17" t="s">
        <v>1505</v>
      </c>
      <c r="J396" s="17">
        <v>26623021</v>
      </c>
      <c r="K396" s="17" t="s">
        <v>1963</v>
      </c>
      <c r="L396" s="17" t="s">
        <v>1965</v>
      </c>
      <c r="M396" s="18">
        <v>269900</v>
      </c>
      <c r="N396" s="9">
        <v>0.9</v>
      </c>
      <c r="O396" s="8">
        <f t="shared" si="24"/>
        <v>26990</v>
      </c>
      <c r="P396" s="6" t="s">
        <v>15</v>
      </c>
    </row>
    <row r="397" spans="1:16" x14ac:dyDescent="0.25">
      <c r="A397" s="6" t="str">
        <f t="shared" si="25"/>
        <v>2020-2021 ALL D90</v>
      </c>
      <c r="B397" s="7">
        <f t="shared" si="26"/>
        <v>46114</v>
      </c>
      <c r="C397" s="7">
        <f t="shared" si="27"/>
        <v>46120</v>
      </c>
      <c r="D397" s="6">
        <v>3280</v>
      </c>
      <c r="E397" s="6">
        <v>337</v>
      </c>
      <c r="F397" s="6">
        <v>4</v>
      </c>
      <c r="G397" s="17">
        <v>1</v>
      </c>
      <c r="H397" s="17"/>
      <c r="I397" s="17" t="s">
        <v>1505</v>
      </c>
      <c r="J397" s="17">
        <v>26623030</v>
      </c>
      <c r="K397" s="17" t="s">
        <v>1963</v>
      </c>
      <c r="L397" s="17" t="s">
        <v>1966</v>
      </c>
      <c r="M397" s="18">
        <v>269900</v>
      </c>
      <c r="N397" s="9">
        <v>0.9</v>
      </c>
      <c r="O397" s="8">
        <f t="shared" si="24"/>
        <v>26990</v>
      </c>
      <c r="P397" s="6" t="s">
        <v>15</v>
      </c>
    </row>
    <row r="398" spans="1:16" x14ac:dyDescent="0.25">
      <c r="A398" s="6" t="str">
        <f t="shared" si="25"/>
        <v>2020-2021 ALL D90</v>
      </c>
      <c r="B398" s="7">
        <f t="shared" si="26"/>
        <v>46114</v>
      </c>
      <c r="C398" s="7">
        <f t="shared" si="27"/>
        <v>46120</v>
      </c>
      <c r="D398" s="6">
        <v>3280</v>
      </c>
      <c r="E398" s="6">
        <v>337</v>
      </c>
      <c r="F398" s="6">
        <v>4</v>
      </c>
      <c r="G398" s="17">
        <v>1</v>
      </c>
      <c r="H398" s="17"/>
      <c r="I398" s="17" t="s">
        <v>1505</v>
      </c>
      <c r="J398" s="17">
        <v>26623049</v>
      </c>
      <c r="K398" s="17" t="s">
        <v>1963</v>
      </c>
      <c r="L398" s="17" t="s">
        <v>1967</v>
      </c>
      <c r="M398" s="18">
        <v>269900</v>
      </c>
      <c r="N398" s="9">
        <v>0.9</v>
      </c>
      <c r="O398" s="8">
        <f t="shared" si="24"/>
        <v>26990</v>
      </c>
      <c r="P398" s="6" t="s">
        <v>15</v>
      </c>
    </row>
    <row r="399" spans="1:16" x14ac:dyDescent="0.25">
      <c r="A399" s="6" t="str">
        <f t="shared" si="25"/>
        <v>2020-2021 ALL D90</v>
      </c>
      <c r="B399" s="7">
        <f t="shared" si="26"/>
        <v>46114</v>
      </c>
      <c r="C399" s="7">
        <f t="shared" si="27"/>
        <v>46120</v>
      </c>
      <c r="D399" s="6">
        <v>3280</v>
      </c>
      <c r="E399" s="6">
        <v>337</v>
      </c>
      <c r="F399" s="6">
        <v>4</v>
      </c>
      <c r="G399" s="17">
        <v>1</v>
      </c>
      <c r="H399" s="17"/>
      <c r="I399" s="17" t="s">
        <v>1505</v>
      </c>
      <c r="J399" s="17">
        <v>26623058</v>
      </c>
      <c r="K399" s="17" t="s">
        <v>1963</v>
      </c>
      <c r="L399" s="17" t="s">
        <v>1968</v>
      </c>
      <c r="M399" s="18">
        <v>269900</v>
      </c>
      <c r="N399" s="9">
        <v>0.9</v>
      </c>
      <c r="O399" s="8">
        <f t="shared" si="24"/>
        <v>26990</v>
      </c>
      <c r="P399" s="6" t="s">
        <v>15</v>
      </c>
    </row>
    <row r="400" spans="1:16" x14ac:dyDescent="0.25">
      <c r="A400" s="6" t="str">
        <f t="shared" si="25"/>
        <v>2020-2021 ALL D90</v>
      </c>
      <c r="B400" s="7">
        <f t="shared" si="26"/>
        <v>46114</v>
      </c>
      <c r="C400" s="7">
        <f t="shared" si="27"/>
        <v>46120</v>
      </c>
      <c r="D400" s="6">
        <v>3280</v>
      </c>
      <c r="E400" s="6">
        <v>337</v>
      </c>
      <c r="F400" s="6">
        <v>4</v>
      </c>
      <c r="G400" s="17">
        <v>1</v>
      </c>
      <c r="H400" s="17"/>
      <c r="I400" s="17" t="s">
        <v>1505</v>
      </c>
      <c r="J400" s="17">
        <v>26623067</v>
      </c>
      <c r="K400" s="17" t="s">
        <v>1963</v>
      </c>
      <c r="L400" s="17" t="s">
        <v>1969</v>
      </c>
      <c r="M400" s="18">
        <v>269900</v>
      </c>
      <c r="N400" s="9">
        <v>0.9</v>
      </c>
      <c r="O400" s="8">
        <f t="shared" si="24"/>
        <v>26990</v>
      </c>
      <c r="P400" s="6" t="s">
        <v>15</v>
      </c>
    </row>
    <row r="401" spans="1:16" x14ac:dyDescent="0.25">
      <c r="A401" s="6" t="str">
        <f t="shared" si="25"/>
        <v>2020-2021 ALL D90</v>
      </c>
      <c r="B401" s="7">
        <f t="shared" si="26"/>
        <v>46114</v>
      </c>
      <c r="C401" s="7">
        <f t="shared" si="27"/>
        <v>46120</v>
      </c>
      <c r="D401" s="6">
        <v>3280</v>
      </c>
      <c r="E401" s="6">
        <v>337</v>
      </c>
      <c r="F401" s="6">
        <v>4</v>
      </c>
      <c r="G401" s="17">
        <v>1</v>
      </c>
      <c r="H401" s="17"/>
      <c r="I401" s="17" t="s">
        <v>1505</v>
      </c>
      <c r="J401" s="17">
        <v>26501466</v>
      </c>
      <c r="K401" s="17" t="s">
        <v>1970</v>
      </c>
      <c r="L401" s="17" t="s">
        <v>1971</v>
      </c>
      <c r="M401" s="18">
        <v>269900</v>
      </c>
      <c r="N401" s="9">
        <v>0.9</v>
      </c>
      <c r="O401" s="8">
        <f t="shared" si="24"/>
        <v>26990</v>
      </c>
      <c r="P401" s="6" t="s">
        <v>15</v>
      </c>
    </row>
    <row r="402" spans="1:16" x14ac:dyDescent="0.25">
      <c r="A402" s="6" t="str">
        <f t="shared" si="25"/>
        <v>2020-2021 ALL D90</v>
      </c>
      <c r="B402" s="7">
        <f t="shared" si="26"/>
        <v>46114</v>
      </c>
      <c r="C402" s="7">
        <f t="shared" si="27"/>
        <v>46120</v>
      </c>
      <c r="D402" s="6">
        <v>3280</v>
      </c>
      <c r="E402" s="6">
        <v>337</v>
      </c>
      <c r="F402" s="6">
        <v>4</v>
      </c>
      <c r="G402" s="17">
        <v>1</v>
      </c>
      <c r="H402" s="17"/>
      <c r="I402" s="17" t="s">
        <v>1505</v>
      </c>
      <c r="J402" s="17">
        <v>26501475</v>
      </c>
      <c r="K402" s="17" t="s">
        <v>1970</v>
      </c>
      <c r="L402" s="17" t="s">
        <v>1972</v>
      </c>
      <c r="M402" s="18">
        <v>269900</v>
      </c>
      <c r="N402" s="9">
        <v>0.9</v>
      </c>
      <c r="O402" s="8">
        <f t="shared" si="24"/>
        <v>26990</v>
      </c>
      <c r="P402" s="6" t="s">
        <v>15</v>
      </c>
    </row>
    <row r="403" spans="1:16" x14ac:dyDescent="0.25">
      <c r="A403" s="6" t="str">
        <f t="shared" si="25"/>
        <v>2020-2021 ALL D90</v>
      </c>
      <c r="B403" s="7">
        <f t="shared" si="26"/>
        <v>46114</v>
      </c>
      <c r="C403" s="7">
        <f t="shared" si="27"/>
        <v>46120</v>
      </c>
      <c r="D403" s="6">
        <v>3280</v>
      </c>
      <c r="E403" s="6">
        <v>337</v>
      </c>
      <c r="F403" s="6">
        <v>4</v>
      </c>
      <c r="G403" s="17">
        <v>1</v>
      </c>
      <c r="H403" s="17"/>
      <c r="I403" s="17" t="s">
        <v>1505</v>
      </c>
      <c r="J403" s="17">
        <v>26501484</v>
      </c>
      <c r="K403" s="17" t="s">
        <v>1970</v>
      </c>
      <c r="L403" s="17" t="s">
        <v>1973</v>
      </c>
      <c r="M403" s="18">
        <v>269900</v>
      </c>
      <c r="N403" s="9">
        <v>0.9</v>
      </c>
      <c r="O403" s="8">
        <f t="shared" si="24"/>
        <v>26990</v>
      </c>
      <c r="P403" s="6" t="s">
        <v>15</v>
      </c>
    </row>
    <row r="404" spans="1:16" x14ac:dyDescent="0.25">
      <c r="A404" s="6" t="str">
        <f t="shared" si="25"/>
        <v>2020-2021 ALL D90</v>
      </c>
      <c r="B404" s="7">
        <f t="shared" si="26"/>
        <v>46114</v>
      </c>
      <c r="C404" s="7">
        <f t="shared" si="27"/>
        <v>46120</v>
      </c>
      <c r="D404" s="6">
        <v>3280</v>
      </c>
      <c r="E404" s="6">
        <v>337</v>
      </c>
      <c r="F404" s="6">
        <v>4</v>
      </c>
      <c r="G404" s="17">
        <v>1</v>
      </c>
      <c r="H404" s="17"/>
      <c r="I404" s="17" t="s">
        <v>1505</v>
      </c>
      <c r="J404" s="17">
        <v>26501493</v>
      </c>
      <c r="K404" s="17" t="s">
        <v>1970</v>
      </c>
      <c r="L404" s="17" t="s">
        <v>1974</v>
      </c>
      <c r="M404" s="18">
        <v>269900</v>
      </c>
      <c r="N404" s="9">
        <v>0.9</v>
      </c>
      <c r="O404" s="8">
        <f t="shared" si="24"/>
        <v>26990</v>
      </c>
      <c r="P404" s="6" t="s">
        <v>15</v>
      </c>
    </row>
    <row r="405" spans="1:16" x14ac:dyDescent="0.25">
      <c r="A405" s="6" t="str">
        <f t="shared" si="25"/>
        <v>2020-2021 ALL D90</v>
      </c>
      <c r="B405" s="7">
        <f t="shared" si="26"/>
        <v>46114</v>
      </c>
      <c r="C405" s="7">
        <f t="shared" si="27"/>
        <v>46120</v>
      </c>
      <c r="D405" s="6">
        <v>3280</v>
      </c>
      <c r="E405" s="6">
        <v>337</v>
      </c>
      <c r="F405" s="6">
        <v>4</v>
      </c>
      <c r="G405" s="17">
        <v>1</v>
      </c>
      <c r="H405" s="17"/>
      <c r="I405" s="17" t="s">
        <v>1505</v>
      </c>
      <c r="J405" s="17">
        <v>26501500</v>
      </c>
      <c r="K405" s="17" t="s">
        <v>1970</v>
      </c>
      <c r="L405" s="17" t="s">
        <v>1975</v>
      </c>
      <c r="M405" s="18">
        <v>269900</v>
      </c>
      <c r="N405" s="9">
        <v>0.9</v>
      </c>
      <c r="O405" s="8">
        <f t="shared" si="24"/>
        <v>26990</v>
      </c>
      <c r="P405" s="6" t="s">
        <v>15</v>
      </c>
    </row>
    <row r="406" spans="1:16" x14ac:dyDescent="0.25">
      <c r="A406" s="6" t="str">
        <f t="shared" si="25"/>
        <v>2020-2021 ALL D90</v>
      </c>
      <c r="B406" s="7">
        <f t="shared" si="26"/>
        <v>46114</v>
      </c>
      <c r="C406" s="7">
        <f t="shared" si="27"/>
        <v>46120</v>
      </c>
      <c r="D406" s="6">
        <v>3280</v>
      </c>
      <c r="E406" s="6">
        <v>337</v>
      </c>
      <c r="F406" s="6">
        <v>4</v>
      </c>
      <c r="G406" s="17">
        <v>1</v>
      </c>
      <c r="H406" s="17"/>
      <c r="I406" s="17" t="s">
        <v>1505</v>
      </c>
      <c r="J406" s="17">
        <v>26501519</v>
      </c>
      <c r="K406" s="17" t="s">
        <v>1970</v>
      </c>
      <c r="L406" s="17" t="s">
        <v>1976</v>
      </c>
      <c r="M406" s="18">
        <v>269900</v>
      </c>
      <c r="N406" s="9">
        <v>0.9</v>
      </c>
      <c r="O406" s="8">
        <f t="shared" si="24"/>
        <v>26990</v>
      </c>
      <c r="P406" s="6" t="s">
        <v>15</v>
      </c>
    </row>
    <row r="407" spans="1:16" x14ac:dyDescent="0.25">
      <c r="A407" s="6" t="str">
        <f t="shared" si="25"/>
        <v>2020-2021 ALL D90</v>
      </c>
      <c r="B407" s="7">
        <f t="shared" si="26"/>
        <v>46114</v>
      </c>
      <c r="C407" s="7">
        <f t="shared" si="27"/>
        <v>46120</v>
      </c>
      <c r="D407" s="6">
        <v>3280</v>
      </c>
      <c r="E407" s="6">
        <v>337</v>
      </c>
      <c r="F407" s="6">
        <v>4</v>
      </c>
      <c r="G407" s="17">
        <v>1</v>
      </c>
      <c r="H407" s="17"/>
      <c r="I407" s="17" t="s">
        <v>1505</v>
      </c>
      <c r="J407" s="17">
        <v>26501662</v>
      </c>
      <c r="K407" s="17" t="s">
        <v>1977</v>
      </c>
      <c r="L407" s="17" t="s">
        <v>1978</v>
      </c>
      <c r="M407" s="18">
        <v>269900</v>
      </c>
      <c r="N407" s="9">
        <v>0.9</v>
      </c>
      <c r="O407" s="8">
        <f t="shared" si="24"/>
        <v>26990</v>
      </c>
      <c r="P407" s="6" t="s">
        <v>15</v>
      </c>
    </row>
    <row r="408" spans="1:16" x14ac:dyDescent="0.25">
      <c r="A408" s="6" t="str">
        <f t="shared" si="25"/>
        <v>2020-2021 ALL D90</v>
      </c>
      <c r="B408" s="7">
        <f t="shared" si="26"/>
        <v>46114</v>
      </c>
      <c r="C408" s="7">
        <f t="shared" si="27"/>
        <v>46120</v>
      </c>
      <c r="D408" s="6">
        <v>3280</v>
      </c>
      <c r="E408" s="6">
        <v>337</v>
      </c>
      <c r="F408" s="6">
        <v>4</v>
      </c>
      <c r="G408" s="17">
        <v>1</v>
      </c>
      <c r="H408" s="17"/>
      <c r="I408" s="17" t="s">
        <v>1505</v>
      </c>
      <c r="J408" s="17">
        <v>26501671</v>
      </c>
      <c r="K408" s="17" t="s">
        <v>1977</v>
      </c>
      <c r="L408" s="17" t="s">
        <v>1979</v>
      </c>
      <c r="M408" s="18">
        <v>269900</v>
      </c>
      <c r="N408" s="9">
        <v>0.9</v>
      </c>
      <c r="O408" s="8">
        <f t="shared" si="24"/>
        <v>26990</v>
      </c>
      <c r="P408" s="6" t="s">
        <v>15</v>
      </c>
    </row>
    <row r="409" spans="1:16" x14ac:dyDescent="0.25">
      <c r="A409" s="6" t="str">
        <f t="shared" si="25"/>
        <v>2020-2021 ALL D90</v>
      </c>
      <c r="B409" s="7">
        <f t="shared" si="26"/>
        <v>46114</v>
      </c>
      <c r="C409" s="7">
        <f t="shared" si="27"/>
        <v>46120</v>
      </c>
      <c r="D409" s="6">
        <v>3280</v>
      </c>
      <c r="E409" s="6">
        <v>337</v>
      </c>
      <c r="F409" s="6">
        <v>4</v>
      </c>
      <c r="G409" s="17">
        <v>1</v>
      </c>
      <c r="H409" s="17"/>
      <c r="I409" s="17" t="s">
        <v>1505</v>
      </c>
      <c r="J409" s="17">
        <v>26501680</v>
      </c>
      <c r="K409" s="17" t="s">
        <v>1977</v>
      </c>
      <c r="L409" s="17" t="s">
        <v>1980</v>
      </c>
      <c r="M409" s="18">
        <v>269900</v>
      </c>
      <c r="N409" s="9">
        <v>0.9</v>
      </c>
      <c r="O409" s="8">
        <f t="shared" si="24"/>
        <v>26990</v>
      </c>
      <c r="P409" s="6" t="s">
        <v>15</v>
      </c>
    </row>
    <row r="410" spans="1:16" x14ac:dyDescent="0.25">
      <c r="A410" s="6" t="str">
        <f t="shared" si="25"/>
        <v>2020-2021 ALL D90</v>
      </c>
      <c r="B410" s="7">
        <f t="shared" si="26"/>
        <v>46114</v>
      </c>
      <c r="C410" s="7">
        <f t="shared" si="27"/>
        <v>46120</v>
      </c>
      <c r="D410" s="6">
        <v>3280</v>
      </c>
      <c r="E410" s="6">
        <v>337</v>
      </c>
      <c r="F410" s="6">
        <v>4</v>
      </c>
      <c r="G410" s="17">
        <v>1</v>
      </c>
      <c r="H410" s="17"/>
      <c r="I410" s="17" t="s">
        <v>1505</v>
      </c>
      <c r="J410" s="17">
        <v>26501699</v>
      </c>
      <c r="K410" s="17" t="s">
        <v>1977</v>
      </c>
      <c r="L410" s="17" t="s">
        <v>1981</v>
      </c>
      <c r="M410" s="18">
        <v>269900</v>
      </c>
      <c r="N410" s="9">
        <v>0.9</v>
      </c>
      <c r="O410" s="8">
        <f t="shared" si="24"/>
        <v>26990</v>
      </c>
      <c r="P410" s="6" t="s">
        <v>15</v>
      </c>
    </row>
    <row r="411" spans="1:16" x14ac:dyDescent="0.25">
      <c r="A411" s="6" t="str">
        <f t="shared" si="25"/>
        <v>2020-2021 ALL D90</v>
      </c>
      <c r="B411" s="7">
        <f t="shared" si="26"/>
        <v>46114</v>
      </c>
      <c r="C411" s="7">
        <f t="shared" si="27"/>
        <v>46120</v>
      </c>
      <c r="D411" s="6">
        <v>3280</v>
      </c>
      <c r="E411" s="6">
        <v>337</v>
      </c>
      <c r="F411" s="6">
        <v>4</v>
      </c>
      <c r="G411" s="17">
        <v>1</v>
      </c>
      <c r="H411" s="17"/>
      <c r="I411" s="17" t="s">
        <v>1505</v>
      </c>
      <c r="J411" s="17">
        <v>26501706</v>
      </c>
      <c r="K411" s="17" t="s">
        <v>1977</v>
      </c>
      <c r="L411" s="17" t="s">
        <v>1982</v>
      </c>
      <c r="M411" s="18">
        <v>269900</v>
      </c>
      <c r="N411" s="9">
        <v>0.9</v>
      </c>
      <c r="O411" s="8">
        <f t="shared" si="24"/>
        <v>26990</v>
      </c>
      <c r="P411" s="6" t="s">
        <v>15</v>
      </c>
    </row>
    <row r="412" spans="1:16" x14ac:dyDescent="0.25">
      <c r="A412" s="6" t="str">
        <f t="shared" si="25"/>
        <v>2020-2021 ALL D90</v>
      </c>
      <c r="B412" s="7">
        <f t="shared" si="26"/>
        <v>46114</v>
      </c>
      <c r="C412" s="7">
        <f t="shared" si="27"/>
        <v>46120</v>
      </c>
      <c r="D412" s="6">
        <v>3280</v>
      </c>
      <c r="E412" s="6">
        <v>337</v>
      </c>
      <c r="F412" s="6">
        <v>4</v>
      </c>
      <c r="G412" s="17">
        <v>1</v>
      </c>
      <c r="H412" s="17"/>
      <c r="I412" s="17" t="s">
        <v>1505</v>
      </c>
      <c r="J412" s="17">
        <v>26501715</v>
      </c>
      <c r="K412" s="17" t="s">
        <v>1977</v>
      </c>
      <c r="L412" s="17" t="s">
        <v>1983</v>
      </c>
      <c r="M412" s="18">
        <v>269900</v>
      </c>
      <c r="N412" s="9">
        <v>0.9</v>
      </c>
      <c r="O412" s="8">
        <f t="shared" si="24"/>
        <v>26990</v>
      </c>
      <c r="P412" s="6" t="s">
        <v>15</v>
      </c>
    </row>
    <row r="413" spans="1:16" x14ac:dyDescent="0.25">
      <c r="A413" s="6" t="str">
        <f t="shared" si="25"/>
        <v>2020-2021 ALL D90</v>
      </c>
      <c r="B413" s="7">
        <f t="shared" si="26"/>
        <v>46114</v>
      </c>
      <c r="C413" s="7">
        <f t="shared" si="27"/>
        <v>46120</v>
      </c>
      <c r="D413" s="6">
        <v>3280</v>
      </c>
      <c r="E413" s="6">
        <v>337</v>
      </c>
      <c r="F413" s="6">
        <v>4</v>
      </c>
      <c r="G413" s="17">
        <v>1</v>
      </c>
      <c r="H413" s="17"/>
      <c r="I413" s="17" t="s">
        <v>1505</v>
      </c>
      <c r="J413" s="17">
        <v>26513784</v>
      </c>
      <c r="K413" s="17" t="s">
        <v>1984</v>
      </c>
      <c r="L413" s="17" t="s">
        <v>1985</v>
      </c>
      <c r="M413" s="18">
        <v>269900</v>
      </c>
      <c r="N413" s="9">
        <v>0.9</v>
      </c>
      <c r="O413" s="8">
        <f t="shared" si="24"/>
        <v>26990</v>
      </c>
      <c r="P413" s="6" t="s">
        <v>15</v>
      </c>
    </row>
    <row r="414" spans="1:16" x14ac:dyDescent="0.25">
      <c r="A414" s="6" t="str">
        <f t="shared" si="25"/>
        <v>2020-2021 ALL D90</v>
      </c>
      <c r="B414" s="7">
        <f t="shared" si="26"/>
        <v>46114</v>
      </c>
      <c r="C414" s="7">
        <f t="shared" si="27"/>
        <v>46120</v>
      </c>
      <c r="D414" s="6">
        <v>3280</v>
      </c>
      <c r="E414" s="6">
        <v>337</v>
      </c>
      <c r="F414" s="6">
        <v>4</v>
      </c>
      <c r="G414" s="17">
        <v>1</v>
      </c>
      <c r="H414" s="17"/>
      <c r="I414" s="17" t="s">
        <v>1505</v>
      </c>
      <c r="J414" s="17">
        <v>26513793</v>
      </c>
      <c r="K414" s="17" t="s">
        <v>1984</v>
      </c>
      <c r="L414" s="17" t="s">
        <v>1986</v>
      </c>
      <c r="M414" s="18">
        <v>269900</v>
      </c>
      <c r="N414" s="9">
        <v>0.9</v>
      </c>
      <c r="O414" s="8">
        <f t="shared" si="24"/>
        <v>26990</v>
      </c>
      <c r="P414" s="6" t="s">
        <v>15</v>
      </c>
    </row>
    <row r="415" spans="1:16" x14ac:dyDescent="0.25">
      <c r="A415" s="6" t="str">
        <f t="shared" si="25"/>
        <v>2020-2021 ALL D90</v>
      </c>
      <c r="B415" s="7">
        <f t="shared" si="26"/>
        <v>46114</v>
      </c>
      <c r="C415" s="7">
        <f t="shared" si="27"/>
        <v>46120</v>
      </c>
      <c r="D415" s="6">
        <v>3280</v>
      </c>
      <c r="E415" s="6">
        <v>337</v>
      </c>
      <c r="F415" s="6">
        <v>4</v>
      </c>
      <c r="G415" s="17">
        <v>1</v>
      </c>
      <c r="H415" s="17"/>
      <c r="I415" s="17" t="s">
        <v>1505</v>
      </c>
      <c r="J415" s="17">
        <v>26513800</v>
      </c>
      <c r="K415" s="17" t="s">
        <v>1984</v>
      </c>
      <c r="L415" s="17" t="s">
        <v>1987</v>
      </c>
      <c r="M415" s="18">
        <v>269900</v>
      </c>
      <c r="N415" s="9">
        <v>0.9</v>
      </c>
      <c r="O415" s="8">
        <f t="shared" si="24"/>
        <v>26990</v>
      </c>
      <c r="P415" s="6" t="s">
        <v>15</v>
      </c>
    </row>
    <row r="416" spans="1:16" x14ac:dyDescent="0.25">
      <c r="A416" s="6" t="str">
        <f t="shared" si="25"/>
        <v>2020-2021 ALL D90</v>
      </c>
      <c r="B416" s="7">
        <f t="shared" si="26"/>
        <v>46114</v>
      </c>
      <c r="C416" s="7">
        <f t="shared" si="27"/>
        <v>46120</v>
      </c>
      <c r="D416" s="6">
        <v>3280</v>
      </c>
      <c r="E416" s="6">
        <v>337</v>
      </c>
      <c r="F416" s="6">
        <v>4</v>
      </c>
      <c r="G416" s="17">
        <v>1</v>
      </c>
      <c r="H416" s="17"/>
      <c r="I416" s="17" t="s">
        <v>1505</v>
      </c>
      <c r="J416" s="17">
        <v>26513819</v>
      </c>
      <c r="K416" s="17" t="s">
        <v>1984</v>
      </c>
      <c r="L416" s="17" t="s">
        <v>1988</v>
      </c>
      <c r="M416" s="18">
        <v>269900</v>
      </c>
      <c r="N416" s="9">
        <v>0.9</v>
      </c>
      <c r="O416" s="8">
        <f t="shared" si="24"/>
        <v>26990</v>
      </c>
      <c r="P416" s="6" t="s">
        <v>15</v>
      </c>
    </row>
    <row r="417" spans="1:16" x14ac:dyDescent="0.25">
      <c r="A417" s="6" t="str">
        <f t="shared" si="25"/>
        <v>2020-2021 ALL D90</v>
      </c>
      <c r="B417" s="7">
        <f t="shared" si="26"/>
        <v>46114</v>
      </c>
      <c r="C417" s="7">
        <f t="shared" si="27"/>
        <v>46120</v>
      </c>
      <c r="D417" s="6">
        <v>3280</v>
      </c>
      <c r="E417" s="6">
        <v>337</v>
      </c>
      <c r="F417" s="6">
        <v>4</v>
      </c>
      <c r="G417" s="17">
        <v>1</v>
      </c>
      <c r="H417" s="17"/>
      <c r="I417" s="17" t="s">
        <v>1505</v>
      </c>
      <c r="J417" s="17">
        <v>26513828</v>
      </c>
      <c r="K417" s="17" t="s">
        <v>1984</v>
      </c>
      <c r="L417" s="17" t="s">
        <v>1989</v>
      </c>
      <c r="M417" s="18">
        <v>269900</v>
      </c>
      <c r="N417" s="9">
        <v>0.9</v>
      </c>
      <c r="O417" s="8">
        <f t="shared" si="24"/>
        <v>26990</v>
      </c>
      <c r="P417" s="6" t="s">
        <v>15</v>
      </c>
    </row>
    <row r="418" spans="1:16" x14ac:dyDescent="0.25">
      <c r="A418" s="6" t="str">
        <f t="shared" si="25"/>
        <v>2020-2021 ALL D90</v>
      </c>
      <c r="B418" s="7">
        <f t="shared" si="26"/>
        <v>46114</v>
      </c>
      <c r="C418" s="7">
        <f t="shared" si="27"/>
        <v>46120</v>
      </c>
      <c r="D418" s="6">
        <v>3280</v>
      </c>
      <c r="E418" s="6">
        <v>337</v>
      </c>
      <c r="F418" s="6">
        <v>4</v>
      </c>
      <c r="G418" s="17">
        <v>1</v>
      </c>
      <c r="H418" s="17"/>
      <c r="I418" s="17" t="s">
        <v>1505</v>
      </c>
      <c r="J418" s="17">
        <v>26513837</v>
      </c>
      <c r="K418" s="17" t="s">
        <v>1984</v>
      </c>
      <c r="L418" s="17" t="s">
        <v>1990</v>
      </c>
      <c r="M418" s="18">
        <v>269900</v>
      </c>
      <c r="N418" s="9">
        <v>0.9</v>
      </c>
      <c r="O418" s="8">
        <f t="shared" si="24"/>
        <v>26990</v>
      </c>
      <c r="P418" s="6" t="s">
        <v>15</v>
      </c>
    </row>
    <row r="419" spans="1:16" x14ac:dyDescent="0.25">
      <c r="A419" s="6" t="str">
        <f t="shared" si="25"/>
        <v>2020-2021 ALL D90</v>
      </c>
      <c r="B419" s="7">
        <f t="shared" si="26"/>
        <v>46114</v>
      </c>
      <c r="C419" s="7">
        <f t="shared" si="27"/>
        <v>46120</v>
      </c>
      <c r="D419" s="6">
        <v>3280</v>
      </c>
      <c r="E419" s="6">
        <v>337</v>
      </c>
      <c r="F419" s="6">
        <v>4</v>
      </c>
      <c r="G419" s="17">
        <v>1</v>
      </c>
      <c r="H419" s="17"/>
      <c r="I419" s="17" t="s">
        <v>1505</v>
      </c>
      <c r="J419" s="17">
        <v>28477598</v>
      </c>
      <c r="K419" s="17" t="s">
        <v>1991</v>
      </c>
      <c r="L419" s="17" t="s">
        <v>1992</v>
      </c>
      <c r="M419" s="18">
        <v>299900</v>
      </c>
      <c r="N419" s="9">
        <v>0.9</v>
      </c>
      <c r="O419" s="8">
        <f t="shared" si="24"/>
        <v>29990</v>
      </c>
      <c r="P419" s="6" t="s">
        <v>15</v>
      </c>
    </row>
    <row r="420" spans="1:16" x14ac:dyDescent="0.25">
      <c r="A420" s="6" t="str">
        <f t="shared" si="25"/>
        <v>2020-2021 ALL D90</v>
      </c>
      <c r="B420" s="7">
        <f t="shared" si="26"/>
        <v>46114</v>
      </c>
      <c r="C420" s="7">
        <f t="shared" si="27"/>
        <v>46120</v>
      </c>
      <c r="D420" s="6">
        <v>3280</v>
      </c>
      <c r="E420" s="6">
        <v>337</v>
      </c>
      <c r="F420" s="6">
        <v>4</v>
      </c>
      <c r="G420" s="17">
        <v>1</v>
      </c>
      <c r="H420" s="17"/>
      <c r="I420" s="17" t="s">
        <v>1505</v>
      </c>
      <c r="J420" s="17">
        <v>28477605</v>
      </c>
      <c r="K420" s="17" t="s">
        <v>1991</v>
      </c>
      <c r="L420" s="17" t="s">
        <v>1993</v>
      </c>
      <c r="M420" s="18">
        <v>299900</v>
      </c>
      <c r="N420" s="9">
        <v>0.9</v>
      </c>
      <c r="O420" s="8">
        <f t="shared" si="24"/>
        <v>29990</v>
      </c>
      <c r="P420" s="6" t="s">
        <v>15</v>
      </c>
    </row>
    <row r="421" spans="1:16" x14ac:dyDescent="0.25">
      <c r="A421" s="6" t="str">
        <f t="shared" si="25"/>
        <v>2020-2021 ALL D90</v>
      </c>
      <c r="B421" s="7">
        <f t="shared" si="26"/>
        <v>46114</v>
      </c>
      <c r="C421" s="7">
        <f t="shared" si="27"/>
        <v>46120</v>
      </c>
      <c r="D421" s="6">
        <v>3280</v>
      </c>
      <c r="E421" s="6">
        <v>337</v>
      </c>
      <c r="F421" s="6">
        <v>4</v>
      </c>
      <c r="G421" s="17">
        <v>1</v>
      </c>
      <c r="H421" s="17"/>
      <c r="I421" s="17" t="s">
        <v>1505</v>
      </c>
      <c r="J421" s="17">
        <v>28477614</v>
      </c>
      <c r="K421" s="17" t="s">
        <v>1991</v>
      </c>
      <c r="L421" s="17" t="s">
        <v>1994</v>
      </c>
      <c r="M421" s="18">
        <v>299900</v>
      </c>
      <c r="N421" s="9">
        <v>0.9</v>
      </c>
      <c r="O421" s="8">
        <f t="shared" si="24"/>
        <v>29990</v>
      </c>
      <c r="P421" s="6" t="s">
        <v>15</v>
      </c>
    </row>
    <row r="422" spans="1:16" x14ac:dyDescent="0.25">
      <c r="A422" s="6" t="str">
        <f t="shared" si="25"/>
        <v>2020-2021 ALL D90</v>
      </c>
      <c r="B422" s="7">
        <f t="shared" si="26"/>
        <v>46114</v>
      </c>
      <c r="C422" s="7">
        <f t="shared" si="27"/>
        <v>46120</v>
      </c>
      <c r="D422" s="6">
        <v>3280</v>
      </c>
      <c r="E422" s="6">
        <v>337</v>
      </c>
      <c r="F422" s="6">
        <v>4</v>
      </c>
      <c r="G422" s="17">
        <v>1</v>
      </c>
      <c r="H422" s="17"/>
      <c r="I422" s="17" t="s">
        <v>1505</v>
      </c>
      <c r="J422" s="17">
        <v>28477623</v>
      </c>
      <c r="K422" s="17" t="s">
        <v>1991</v>
      </c>
      <c r="L422" s="17" t="s">
        <v>1995</v>
      </c>
      <c r="M422" s="18">
        <v>299900</v>
      </c>
      <c r="N422" s="9">
        <v>0.9</v>
      </c>
      <c r="O422" s="8">
        <f t="shared" si="24"/>
        <v>29990</v>
      </c>
      <c r="P422" s="6" t="s">
        <v>15</v>
      </c>
    </row>
    <row r="423" spans="1:16" x14ac:dyDescent="0.25">
      <c r="A423" s="6" t="str">
        <f t="shared" si="25"/>
        <v>2020-2021 ALL D90</v>
      </c>
      <c r="B423" s="7">
        <f t="shared" si="26"/>
        <v>46114</v>
      </c>
      <c r="C423" s="7">
        <f t="shared" si="27"/>
        <v>46120</v>
      </c>
      <c r="D423" s="6">
        <v>3280</v>
      </c>
      <c r="E423" s="6">
        <v>337</v>
      </c>
      <c r="F423" s="6">
        <v>4</v>
      </c>
      <c r="G423" s="17">
        <v>1</v>
      </c>
      <c r="H423" s="17"/>
      <c r="I423" s="17" t="s">
        <v>1505</v>
      </c>
      <c r="J423" s="17">
        <v>28477632</v>
      </c>
      <c r="K423" s="17" t="s">
        <v>1991</v>
      </c>
      <c r="L423" s="17" t="s">
        <v>1996</v>
      </c>
      <c r="M423" s="18">
        <v>299900</v>
      </c>
      <c r="N423" s="9">
        <v>0.9</v>
      </c>
      <c r="O423" s="8">
        <f t="shared" si="24"/>
        <v>29990</v>
      </c>
      <c r="P423" s="6" t="s">
        <v>15</v>
      </c>
    </row>
    <row r="424" spans="1:16" x14ac:dyDescent="0.25">
      <c r="A424" s="6" t="str">
        <f t="shared" si="25"/>
        <v>2020-2021 ALL D90</v>
      </c>
      <c r="B424" s="7">
        <f t="shared" si="26"/>
        <v>46114</v>
      </c>
      <c r="C424" s="7">
        <f t="shared" si="27"/>
        <v>46120</v>
      </c>
      <c r="D424" s="6">
        <v>3280</v>
      </c>
      <c r="E424" s="6">
        <v>337</v>
      </c>
      <c r="F424" s="6">
        <v>4</v>
      </c>
      <c r="G424" s="17">
        <v>1</v>
      </c>
      <c r="H424" s="17"/>
      <c r="I424" s="17" t="s">
        <v>1505</v>
      </c>
      <c r="J424" s="17">
        <v>28477641</v>
      </c>
      <c r="K424" s="17" t="s">
        <v>1991</v>
      </c>
      <c r="L424" s="17" t="s">
        <v>1997</v>
      </c>
      <c r="M424" s="18">
        <v>299900</v>
      </c>
      <c r="N424" s="9">
        <v>0.9</v>
      </c>
      <c r="O424" s="8">
        <f t="shared" si="24"/>
        <v>29990</v>
      </c>
      <c r="P424" s="6" t="s">
        <v>15</v>
      </c>
    </row>
    <row r="425" spans="1:16" x14ac:dyDescent="0.25">
      <c r="A425" s="6" t="str">
        <f t="shared" si="25"/>
        <v>2020-2021 ALL D90</v>
      </c>
      <c r="B425" s="7">
        <f t="shared" si="26"/>
        <v>46114</v>
      </c>
      <c r="C425" s="7">
        <f t="shared" si="27"/>
        <v>46120</v>
      </c>
      <c r="D425" s="6">
        <v>3280</v>
      </c>
      <c r="E425" s="6">
        <v>337</v>
      </c>
      <c r="F425" s="6">
        <v>4</v>
      </c>
      <c r="G425" s="17">
        <v>1</v>
      </c>
      <c r="H425" s="17"/>
      <c r="I425" s="17" t="s">
        <v>1505</v>
      </c>
      <c r="J425" s="17">
        <v>28477534</v>
      </c>
      <c r="K425" s="17" t="s">
        <v>1998</v>
      </c>
      <c r="L425" s="17" t="s">
        <v>1999</v>
      </c>
      <c r="M425" s="18">
        <v>269900</v>
      </c>
      <c r="N425" s="9">
        <v>0.9</v>
      </c>
      <c r="O425" s="8">
        <f t="shared" si="24"/>
        <v>26990</v>
      </c>
      <c r="P425" s="6" t="s">
        <v>15</v>
      </c>
    </row>
    <row r="426" spans="1:16" x14ac:dyDescent="0.25">
      <c r="A426" s="6" t="str">
        <f t="shared" si="25"/>
        <v>2020-2021 ALL D90</v>
      </c>
      <c r="B426" s="7">
        <f t="shared" si="26"/>
        <v>46114</v>
      </c>
      <c r="C426" s="7">
        <f t="shared" si="27"/>
        <v>46120</v>
      </c>
      <c r="D426" s="6">
        <v>3280</v>
      </c>
      <c r="E426" s="6">
        <v>337</v>
      </c>
      <c r="F426" s="6">
        <v>4</v>
      </c>
      <c r="G426" s="17">
        <v>1</v>
      </c>
      <c r="H426" s="17"/>
      <c r="I426" s="17" t="s">
        <v>1505</v>
      </c>
      <c r="J426" s="17">
        <v>28477543</v>
      </c>
      <c r="K426" s="17" t="s">
        <v>1998</v>
      </c>
      <c r="L426" s="17" t="s">
        <v>2000</v>
      </c>
      <c r="M426" s="18">
        <v>269900</v>
      </c>
      <c r="N426" s="9">
        <v>0.9</v>
      </c>
      <c r="O426" s="8">
        <f t="shared" si="24"/>
        <v>26990</v>
      </c>
      <c r="P426" s="6" t="s">
        <v>15</v>
      </c>
    </row>
    <row r="427" spans="1:16" x14ac:dyDescent="0.25">
      <c r="A427" s="6" t="str">
        <f t="shared" si="25"/>
        <v>2020-2021 ALL D90</v>
      </c>
      <c r="B427" s="7">
        <f t="shared" si="26"/>
        <v>46114</v>
      </c>
      <c r="C427" s="7">
        <f t="shared" si="27"/>
        <v>46120</v>
      </c>
      <c r="D427" s="6">
        <v>3280</v>
      </c>
      <c r="E427" s="6">
        <v>337</v>
      </c>
      <c r="F427" s="6">
        <v>4</v>
      </c>
      <c r="G427" s="17">
        <v>1</v>
      </c>
      <c r="H427" s="17"/>
      <c r="I427" s="17" t="s">
        <v>1505</v>
      </c>
      <c r="J427" s="17">
        <v>28477552</v>
      </c>
      <c r="K427" s="17" t="s">
        <v>1998</v>
      </c>
      <c r="L427" s="17" t="s">
        <v>2001</v>
      </c>
      <c r="M427" s="18">
        <v>269900</v>
      </c>
      <c r="N427" s="9">
        <v>0.9</v>
      </c>
      <c r="O427" s="8">
        <f t="shared" si="24"/>
        <v>26990</v>
      </c>
      <c r="P427" s="6" t="s">
        <v>15</v>
      </c>
    </row>
    <row r="428" spans="1:16" x14ac:dyDescent="0.25">
      <c r="A428" s="6" t="str">
        <f t="shared" si="25"/>
        <v>2020-2021 ALL D90</v>
      </c>
      <c r="B428" s="7">
        <f t="shared" si="26"/>
        <v>46114</v>
      </c>
      <c r="C428" s="7">
        <f t="shared" si="27"/>
        <v>46120</v>
      </c>
      <c r="D428" s="6">
        <v>3280</v>
      </c>
      <c r="E428" s="6">
        <v>337</v>
      </c>
      <c r="F428" s="6">
        <v>4</v>
      </c>
      <c r="G428" s="17">
        <v>1</v>
      </c>
      <c r="H428" s="17"/>
      <c r="I428" s="17" t="s">
        <v>1505</v>
      </c>
      <c r="J428" s="17">
        <v>28477561</v>
      </c>
      <c r="K428" s="17" t="s">
        <v>1998</v>
      </c>
      <c r="L428" s="17" t="s">
        <v>2002</v>
      </c>
      <c r="M428" s="18">
        <v>269900</v>
      </c>
      <c r="N428" s="9">
        <v>0.9</v>
      </c>
      <c r="O428" s="8">
        <f t="shared" si="24"/>
        <v>26990</v>
      </c>
      <c r="P428" s="6" t="s">
        <v>15</v>
      </c>
    </row>
    <row r="429" spans="1:16" x14ac:dyDescent="0.25">
      <c r="A429" s="6" t="str">
        <f t="shared" si="25"/>
        <v>2020-2021 ALL D90</v>
      </c>
      <c r="B429" s="7">
        <f t="shared" si="26"/>
        <v>46114</v>
      </c>
      <c r="C429" s="7">
        <f t="shared" si="27"/>
        <v>46120</v>
      </c>
      <c r="D429" s="6">
        <v>3280</v>
      </c>
      <c r="E429" s="6">
        <v>337</v>
      </c>
      <c r="F429" s="6">
        <v>4</v>
      </c>
      <c r="G429" s="17">
        <v>1</v>
      </c>
      <c r="H429" s="17"/>
      <c r="I429" s="17" t="s">
        <v>1505</v>
      </c>
      <c r="J429" s="17">
        <v>28477570</v>
      </c>
      <c r="K429" s="17" t="s">
        <v>1998</v>
      </c>
      <c r="L429" s="17" t="s">
        <v>2003</v>
      </c>
      <c r="M429" s="18">
        <v>269900</v>
      </c>
      <c r="N429" s="9">
        <v>0.9</v>
      </c>
      <c r="O429" s="8">
        <f t="shared" si="24"/>
        <v>26990</v>
      </c>
      <c r="P429" s="6" t="s">
        <v>15</v>
      </c>
    </row>
    <row r="430" spans="1:16" x14ac:dyDescent="0.25">
      <c r="A430" s="6" t="str">
        <f t="shared" si="25"/>
        <v>2020-2021 ALL D90</v>
      </c>
      <c r="B430" s="7">
        <f t="shared" si="26"/>
        <v>46114</v>
      </c>
      <c r="C430" s="7">
        <f t="shared" si="27"/>
        <v>46120</v>
      </c>
      <c r="D430" s="6">
        <v>3280</v>
      </c>
      <c r="E430" s="6">
        <v>337</v>
      </c>
      <c r="F430" s="6">
        <v>4</v>
      </c>
      <c r="G430" s="17">
        <v>1</v>
      </c>
      <c r="H430" s="17"/>
      <c r="I430" s="17" t="s">
        <v>1505</v>
      </c>
      <c r="J430" s="17">
        <v>28477589</v>
      </c>
      <c r="K430" s="17" t="s">
        <v>1998</v>
      </c>
      <c r="L430" s="17" t="s">
        <v>2004</v>
      </c>
      <c r="M430" s="18">
        <v>269900</v>
      </c>
      <c r="N430" s="9">
        <v>0.9</v>
      </c>
      <c r="O430" s="8">
        <f t="shared" si="24"/>
        <v>26990</v>
      </c>
      <c r="P430" s="6" t="s">
        <v>15</v>
      </c>
    </row>
    <row r="431" spans="1:16" x14ac:dyDescent="0.25">
      <c r="A431" s="6" t="str">
        <f t="shared" si="25"/>
        <v>2020-2021 ALL D90</v>
      </c>
      <c r="B431" s="7">
        <f t="shared" si="26"/>
        <v>46114</v>
      </c>
      <c r="C431" s="7">
        <f t="shared" si="27"/>
        <v>46120</v>
      </c>
      <c r="D431" s="6">
        <v>3280</v>
      </c>
      <c r="E431" s="6">
        <v>337</v>
      </c>
      <c r="F431" s="6">
        <v>4</v>
      </c>
      <c r="G431" s="17">
        <v>1</v>
      </c>
      <c r="H431" s="17"/>
      <c r="I431" s="17" t="s">
        <v>1505</v>
      </c>
      <c r="J431" s="17">
        <v>29604804</v>
      </c>
      <c r="K431" s="17" t="s">
        <v>2005</v>
      </c>
      <c r="L431" s="17" t="s">
        <v>2006</v>
      </c>
      <c r="M431" s="18">
        <v>299900</v>
      </c>
      <c r="N431" s="9">
        <v>0.9</v>
      </c>
      <c r="O431" s="8">
        <f t="shared" si="24"/>
        <v>29990</v>
      </c>
      <c r="P431" s="6" t="s">
        <v>15</v>
      </c>
    </row>
    <row r="432" spans="1:16" x14ac:dyDescent="0.25">
      <c r="A432" s="6" t="str">
        <f t="shared" si="25"/>
        <v>2020-2021 ALL D90</v>
      </c>
      <c r="B432" s="7">
        <f t="shared" si="26"/>
        <v>46114</v>
      </c>
      <c r="C432" s="7">
        <f t="shared" si="27"/>
        <v>46120</v>
      </c>
      <c r="D432" s="6">
        <v>3280</v>
      </c>
      <c r="E432" s="6">
        <v>337</v>
      </c>
      <c r="F432" s="6">
        <v>4</v>
      </c>
      <c r="G432" s="17">
        <v>1</v>
      </c>
      <c r="H432" s="17"/>
      <c r="I432" s="17" t="s">
        <v>1505</v>
      </c>
      <c r="J432" s="17">
        <v>29604813</v>
      </c>
      <c r="K432" s="17" t="s">
        <v>2005</v>
      </c>
      <c r="L432" s="17" t="s">
        <v>2007</v>
      </c>
      <c r="M432" s="18">
        <v>299900</v>
      </c>
      <c r="N432" s="9">
        <v>0.9</v>
      </c>
      <c r="O432" s="8">
        <f t="shared" si="24"/>
        <v>29990</v>
      </c>
      <c r="P432" s="6" t="s">
        <v>15</v>
      </c>
    </row>
    <row r="433" spans="1:16" x14ac:dyDescent="0.25">
      <c r="A433" s="6" t="str">
        <f t="shared" si="25"/>
        <v>2020-2021 ALL D90</v>
      </c>
      <c r="B433" s="7">
        <f t="shared" si="26"/>
        <v>46114</v>
      </c>
      <c r="C433" s="7">
        <f t="shared" si="27"/>
        <v>46120</v>
      </c>
      <c r="D433" s="6">
        <v>3280</v>
      </c>
      <c r="E433" s="6">
        <v>337</v>
      </c>
      <c r="F433" s="6">
        <v>4</v>
      </c>
      <c r="G433" s="17">
        <v>1</v>
      </c>
      <c r="H433" s="17"/>
      <c r="I433" s="17" t="s">
        <v>1505</v>
      </c>
      <c r="J433" s="17">
        <v>29604822</v>
      </c>
      <c r="K433" s="17" t="s">
        <v>2005</v>
      </c>
      <c r="L433" s="17" t="s">
        <v>2008</v>
      </c>
      <c r="M433" s="18">
        <v>299900</v>
      </c>
      <c r="N433" s="9">
        <v>0.9</v>
      </c>
      <c r="O433" s="8">
        <f t="shared" si="24"/>
        <v>29990</v>
      </c>
      <c r="P433" s="6" t="s">
        <v>15</v>
      </c>
    </row>
    <row r="434" spans="1:16" x14ac:dyDescent="0.25">
      <c r="A434" s="6" t="str">
        <f t="shared" si="25"/>
        <v>2020-2021 ALL D90</v>
      </c>
      <c r="B434" s="7">
        <f t="shared" si="26"/>
        <v>46114</v>
      </c>
      <c r="C434" s="7">
        <f t="shared" si="27"/>
        <v>46120</v>
      </c>
      <c r="D434" s="6">
        <v>3280</v>
      </c>
      <c r="E434" s="6">
        <v>337</v>
      </c>
      <c r="F434" s="6">
        <v>4</v>
      </c>
      <c r="G434" s="17">
        <v>1</v>
      </c>
      <c r="H434" s="17"/>
      <c r="I434" s="17" t="s">
        <v>1505</v>
      </c>
      <c r="J434" s="17">
        <v>29604831</v>
      </c>
      <c r="K434" s="17" t="s">
        <v>2005</v>
      </c>
      <c r="L434" s="17" t="s">
        <v>2009</v>
      </c>
      <c r="M434" s="18">
        <v>299900</v>
      </c>
      <c r="N434" s="9">
        <v>0.9</v>
      </c>
      <c r="O434" s="8">
        <f t="shared" si="24"/>
        <v>29990</v>
      </c>
      <c r="P434" s="6" t="s">
        <v>15</v>
      </c>
    </row>
    <row r="435" spans="1:16" x14ac:dyDescent="0.25">
      <c r="A435" s="6" t="str">
        <f t="shared" si="25"/>
        <v>2020-2021 ALL D90</v>
      </c>
      <c r="B435" s="7">
        <f t="shared" si="26"/>
        <v>46114</v>
      </c>
      <c r="C435" s="7">
        <f t="shared" si="27"/>
        <v>46120</v>
      </c>
      <c r="D435" s="6">
        <v>3280</v>
      </c>
      <c r="E435" s="6">
        <v>337</v>
      </c>
      <c r="F435" s="6">
        <v>4</v>
      </c>
      <c r="G435" s="17">
        <v>1</v>
      </c>
      <c r="H435" s="17"/>
      <c r="I435" s="17" t="s">
        <v>1505</v>
      </c>
      <c r="J435" s="17">
        <v>29604840</v>
      </c>
      <c r="K435" s="17" t="s">
        <v>2005</v>
      </c>
      <c r="L435" s="17" t="s">
        <v>2010</v>
      </c>
      <c r="M435" s="18">
        <v>299900</v>
      </c>
      <c r="N435" s="9">
        <v>0.9</v>
      </c>
      <c r="O435" s="8">
        <f t="shared" si="24"/>
        <v>29990</v>
      </c>
      <c r="P435" s="6" t="s">
        <v>15</v>
      </c>
    </row>
    <row r="436" spans="1:16" x14ac:dyDescent="0.25">
      <c r="A436" s="6" t="str">
        <f t="shared" si="25"/>
        <v>2020-2021 ALL D90</v>
      </c>
      <c r="B436" s="7">
        <f t="shared" si="26"/>
        <v>46114</v>
      </c>
      <c r="C436" s="7">
        <f t="shared" si="27"/>
        <v>46120</v>
      </c>
      <c r="D436" s="6">
        <v>3280</v>
      </c>
      <c r="E436" s="6">
        <v>337</v>
      </c>
      <c r="F436" s="6">
        <v>4</v>
      </c>
      <c r="G436" s="17">
        <v>1</v>
      </c>
      <c r="H436" s="17"/>
      <c r="I436" s="17" t="s">
        <v>1505</v>
      </c>
      <c r="J436" s="17">
        <v>29604859</v>
      </c>
      <c r="K436" s="17" t="s">
        <v>2005</v>
      </c>
      <c r="L436" s="17" t="s">
        <v>2011</v>
      </c>
      <c r="M436" s="18">
        <v>299900</v>
      </c>
      <c r="N436" s="9">
        <v>0.9</v>
      </c>
      <c r="O436" s="8">
        <f t="shared" si="24"/>
        <v>29990</v>
      </c>
      <c r="P436" s="6" t="s">
        <v>15</v>
      </c>
    </row>
    <row r="437" spans="1:16" x14ac:dyDescent="0.25">
      <c r="A437" s="6" t="str">
        <f t="shared" si="25"/>
        <v>2020-2021 ALL D90</v>
      </c>
      <c r="B437" s="7">
        <f t="shared" si="26"/>
        <v>46114</v>
      </c>
      <c r="C437" s="7">
        <f t="shared" si="27"/>
        <v>46120</v>
      </c>
      <c r="D437" s="6">
        <v>3280</v>
      </c>
      <c r="E437" s="6">
        <v>337</v>
      </c>
      <c r="F437" s="6">
        <v>4</v>
      </c>
      <c r="G437" s="17">
        <v>1</v>
      </c>
      <c r="H437" s="17"/>
      <c r="I437" s="17" t="s">
        <v>1505</v>
      </c>
      <c r="J437" s="17">
        <v>28349682</v>
      </c>
      <c r="K437" s="17" t="s">
        <v>2012</v>
      </c>
      <c r="L437" s="17" t="s">
        <v>2013</v>
      </c>
      <c r="M437" s="18">
        <v>269900</v>
      </c>
      <c r="N437" s="9">
        <v>0.9</v>
      </c>
      <c r="O437" s="8">
        <f t="shared" si="24"/>
        <v>26990</v>
      </c>
      <c r="P437" s="6" t="s">
        <v>15</v>
      </c>
    </row>
    <row r="438" spans="1:16" x14ac:dyDescent="0.25">
      <c r="A438" s="6" t="str">
        <f t="shared" si="25"/>
        <v>2020-2021 ALL D90</v>
      </c>
      <c r="B438" s="7">
        <f t="shared" si="26"/>
        <v>46114</v>
      </c>
      <c r="C438" s="7">
        <f t="shared" si="27"/>
        <v>46120</v>
      </c>
      <c r="D438" s="6">
        <v>3280</v>
      </c>
      <c r="E438" s="6">
        <v>337</v>
      </c>
      <c r="F438" s="6">
        <v>4</v>
      </c>
      <c r="G438" s="17">
        <v>1</v>
      </c>
      <c r="H438" s="17"/>
      <c r="I438" s="17" t="s">
        <v>1505</v>
      </c>
      <c r="J438" s="17">
        <v>28349691</v>
      </c>
      <c r="K438" s="17" t="s">
        <v>2012</v>
      </c>
      <c r="L438" s="17" t="s">
        <v>2014</v>
      </c>
      <c r="M438" s="18">
        <v>269900</v>
      </c>
      <c r="N438" s="9">
        <v>0.9</v>
      </c>
      <c r="O438" s="8">
        <f t="shared" si="24"/>
        <v>26990</v>
      </c>
      <c r="P438" s="6" t="s">
        <v>15</v>
      </c>
    </row>
    <row r="439" spans="1:16" x14ac:dyDescent="0.25">
      <c r="A439" s="6" t="str">
        <f t="shared" si="25"/>
        <v>2020-2021 ALL D90</v>
      </c>
      <c r="B439" s="7">
        <f t="shared" si="26"/>
        <v>46114</v>
      </c>
      <c r="C439" s="7">
        <f t="shared" si="27"/>
        <v>46120</v>
      </c>
      <c r="D439" s="6">
        <v>3280</v>
      </c>
      <c r="E439" s="6">
        <v>337</v>
      </c>
      <c r="F439" s="6">
        <v>4</v>
      </c>
      <c r="G439" s="17">
        <v>1</v>
      </c>
      <c r="H439" s="17"/>
      <c r="I439" s="17" t="s">
        <v>1505</v>
      </c>
      <c r="J439" s="17">
        <v>28349708</v>
      </c>
      <c r="K439" s="17" t="s">
        <v>2012</v>
      </c>
      <c r="L439" s="17" t="s">
        <v>2015</v>
      </c>
      <c r="M439" s="18">
        <v>269900</v>
      </c>
      <c r="N439" s="9">
        <v>0.9</v>
      </c>
      <c r="O439" s="8">
        <f t="shared" si="24"/>
        <v>26990</v>
      </c>
      <c r="P439" s="6" t="s">
        <v>15</v>
      </c>
    </row>
    <row r="440" spans="1:16" x14ac:dyDescent="0.25">
      <c r="A440" s="6" t="str">
        <f t="shared" si="25"/>
        <v>2020-2021 ALL D90</v>
      </c>
      <c r="B440" s="7">
        <f t="shared" si="26"/>
        <v>46114</v>
      </c>
      <c r="C440" s="7">
        <f t="shared" si="27"/>
        <v>46120</v>
      </c>
      <c r="D440" s="6">
        <v>3280</v>
      </c>
      <c r="E440" s="6">
        <v>337</v>
      </c>
      <c r="F440" s="6">
        <v>4</v>
      </c>
      <c r="G440" s="17">
        <v>1</v>
      </c>
      <c r="H440" s="17"/>
      <c r="I440" s="17" t="s">
        <v>1505</v>
      </c>
      <c r="J440" s="17">
        <v>28349717</v>
      </c>
      <c r="K440" s="17" t="s">
        <v>2012</v>
      </c>
      <c r="L440" s="17" t="s">
        <v>2016</v>
      </c>
      <c r="M440" s="18">
        <v>269900</v>
      </c>
      <c r="N440" s="9">
        <v>0.9</v>
      </c>
      <c r="O440" s="8">
        <f t="shared" si="24"/>
        <v>26990</v>
      </c>
      <c r="P440" s="6" t="s">
        <v>15</v>
      </c>
    </row>
    <row r="441" spans="1:16" x14ac:dyDescent="0.25">
      <c r="A441" s="6" t="str">
        <f t="shared" si="25"/>
        <v>2020-2021 ALL D90</v>
      </c>
      <c r="B441" s="7">
        <f t="shared" si="26"/>
        <v>46114</v>
      </c>
      <c r="C441" s="7">
        <f t="shared" si="27"/>
        <v>46120</v>
      </c>
      <c r="D441" s="6">
        <v>3280</v>
      </c>
      <c r="E441" s="6">
        <v>337</v>
      </c>
      <c r="F441" s="6">
        <v>4</v>
      </c>
      <c r="G441" s="17">
        <v>1</v>
      </c>
      <c r="H441" s="17"/>
      <c r="I441" s="17" t="s">
        <v>1505</v>
      </c>
      <c r="J441" s="17">
        <v>28349726</v>
      </c>
      <c r="K441" s="17" t="s">
        <v>2012</v>
      </c>
      <c r="L441" s="17" t="s">
        <v>2017</v>
      </c>
      <c r="M441" s="18">
        <v>269900</v>
      </c>
      <c r="N441" s="9">
        <v>0.9</v>
      </c>
      <c r="O441" s="8">
        <f t="shared" si="24"/>
        <v>26990</v>
      </c>
      <c r="P441" s="6" t="s">
        <v>15</v>
      </c>
    </row>
    <row r="442" spans="1:16" x14ac:dyDescent="0.25">
      <c r="A442" s="6" t="str">
        <f t="shared" si="25"/>
        <v>2020-2021 ALL D90</v>
      </c>
      <c r="B442" s="7">
        <f t="shared" si="26"/>
        <v>46114</v>
      </c>
      <c r="C442" s="7">
        <f t="shared" si="27"/>
        <v>46120</v>
      </c>
      <c r="D442" s="6">
        <v>3280</v>
      </c>
      <c r="E442" s="6">
        <v>337</v>
      </c>
      <c r="F442" s="6">
        <v>4</v>
      </c>
      <c r="G442" s="17">
        <v>1</v>
      </c>
      <c r="H442" s="17"/>
      <c r="I442" s="17" t="s">
        <v>1505</v>
      </c>
      <c r="J442" s="17">
        <v>28349735</v>
      </c>
      <c r="K442" s="17" t="s">
        <v>2012</v>
      </c>
      <c r="L442" s="17" t="s">
        <v>2018</v>
      </c>
      <c r="M442" s="18">
        <v>269900</v>
      </c>
      <c r="N442" s="9">
        <v>0.9</v>
      </c>
      <c r="O442" s="8">
        <f t="shared" si="24"/>
        <v>26990</v>
      </c>
      <c r="P442" s="6" t="s">
        <v>15</v>
      </c>
    </row>
    <row r="443" spans="1:16" x14ac:dyDescent="0.25">
      <c r="A443" s="6" t="str">
        <f t="shared" si="25"/>
        <v>2020-2021 ALL D90</v>
      </c>
      <c r="B443" s="7">
        <f t="shared" si="26"/>
        <v>46114</v>
      </c>
      <c r="C443" s="7">
        <f t="shared" si="27"/>
        <v>46120</v>
      </c>
      <c r="D443" s="6">
        <v>3280</v>
      </c>
      <c r="E443" s="6">
        <v>337</v>
      </c>
      <c r="F443" s="6">
        <v>4</v>
      </c>
      <c r="G443" s="17">
        <v>1</v>
      </c>
      <c r="H443" s="17"/>
      <c r="I443" s="17" t="s">
        <v>1505</v>
      </c>
      <c r="J443" s="17">
        <v>28477650</v>
      </c>
      <c r="K443" s="17" t="s">
        <v>2019</v>
      </c>
      <c r="L443" s="17" t="s">
        <v>2020</v>
      </c>
      <c r="M443" s="18">
        <v>299900</v>
      </c>
      <c r="N443" s="9">
        <v>0.9</v>
      </c>
      <c r="O443" s="8">
        <f t="shared" si="24"/>
        <v>29990</v>
      </c>
      <c r="P443" s="6" t="s">
        <v>15</v>
      </c>
    </row>
    <row r="444" spans="1:16" x14ac:dyDescent="0.25">
      <c r="A444" s="6" t="str">
        <f t="shared" si="25"/>
        <v>2020-2021 ALL D90</v>
      </c>
      <c r="B444" s="7">
        <f t="shared" si="26"/>
        <v>46114</v>
      </c>
      <c r="C444" s="7">
        <f t="shared" si="27"/>
        <v>46120</v>
      </c>
      <c r="D444" s="6">
        <v>3280</v>
      </c>
      <c r="E444" s="6">
        <v>337</v>
      </c>
      <c r="F444" s="6">
        <v>4</v>
      </c>
      <c r="G444" s="17">
        <v>1</v>
      </c>
      <c r="H444" s="17"/>
      <c r="I444" s="17" t="s">
        <v>1505</v>
      </c>
      <c r="J444" s="17">
        <v>28477669</v>
      </c>
      <c r="K444" s="17" t="s">
        <v>2019</v>
      </c>
      <c r="L444" s="17" t="s">
        <v>2021</v>
      </c>
      <c r="M444" s="18">
        <v>299900</v>
      </c>
      <c r="N444" s="9">
        <v>0.9</v>
      </c>
      <c r="O444" s="8">
        <f t="shared" si="24"/>
        <v>29990</v>
      </c>
      <c r="P444" s="6" t="s">
        <v>15</v>
      </c>
    </row>
    <row r="445" spans="1:16" x14ac:dyDescent="0.25">
      <c r="A445" s="6" t="str">
        <f t="shared" si="25"/>
        <v>2020-2021 ALL D90</v>
      </c>
      <c r="B445" s="7">
        <f t="shared" si="26"/>
        <v>46114</v>
      </c>
      <c r="C445" s="7">
        <f t="shared" si="27"/>
        <v>46120</v>
      </c>
      <c r="D445" s="6">
        <v>3280</v>
      </c>
      <c r="E445" s="6">
        <v>337</v>
      </c>
      <c r="F445" s="6">
        <v>4</v>
      </c>
      <c r="G445" s="17">
        <v>1</v>
      </c>
      <c r="H445" s="17"/>
      <c r="I445" s="17" t="s">
        <v>1505</v>
      </c>
      <c r="J445" s="17">
        <v>28477678</v>
      </c>
      <c r="K445" s="17" t="s">
        <v>2019</v>
      </c>
      <c r="L445" s="17" t="s">
        <v>2022</v>
      </c>
      <c r="M445" s="18">
        <v>299900</v>
      </c>
      <c r="N445" s="9">
        <v>0.9</v>
      </c>
      <c r="O445" s="8">
        <f t="shared" si="24"/>
        <v>29990</v>
      </c>
      <c r="P445" s="6" t="s">
        <v>15</v>
      </c>
    </row>
    <row r="446" spans="1:16" x14ac:dyDescent="0.25">
      <c r="A446" s="6" t="str">
        <f t="shared" si="25"/>
        <v>2020-2021 ALL D90</v>
      </c>
      <c r="B446" s="7">
        <f t="shared" si="26"/>
        <v>46114</v>
      </c>
      <c r="C446" s="7">
        <f t="shared" si="27"/>
        <v>46120</v>
      </c>
      <c r="D446" s="6">
        <v>3280</v>
      </c>
      <c r="E446" s="6">
        <v>337</v>
      </c>
      <c r="F446" s="6">
        <v>4</v>
      </c>
      <c r="G446" s="17">
        <v>1</v>
      </c>
      <c r="H446" s="17"/>
      <c r="I446" s="17" t="s">
        <v>1505</v>
      </c>
      <c r="J446" s="17">
        <v>28477687</v>
      </c>
      <c r="K446" s="17" t="s">
        <v>2019</v>
      </c>
      <c r="L446" s="17" t="s">
        <v>2023</v>
      </c>
      <c r="M446" s="18">
        <v>299900</v>
      </c>
      <c r="N446" s="9">
        <v>0.9</v>
      </c>
      <c r="O446" s="8">
        <f t="shared" si="24"/>
        <v>29990</v>
      </c>
      <c r="P446" s="6" t="s">
        <v>15</v>
      </c>
    </row>
    <row r="447" spans="1:16" x14ac:dyDescent="0.25">
      <c r="A447" s="6" t="str">
        <f t="shared" si="25"/>
        <v>2020-2021 ALL D90</v>
      </c>
      <c r="B447" s="7">
        <f t="shared" si="26"/>
        <v>46114</v>
      </c>
      <c r="C447" s="7">
        <f t="shared" si="27"/>
        <v>46120</v>
      </c>
      <c r="D447" s="6">
        <v>3280</v>
      </c>
      <c r="E447" s="6">
        <v>337</v>
      </c>
      <c r="F447" s="6">
        <v>4</v>
      </c>
      <c r="G447" s="17">
        <v>1</v>
      </c>
      <c r="H447" s="17"/>
      <c r="I447" s="17" t="s">
        <v>1505</v>
      </c>
      <c r="J447" s="17">
        <v>28477696</v>
      </c>
      <c r="K447" s="17" t="s">
        <v>2019</v>
      </c>
      <c r="L447" s="17" t="s">
        <v>2024</v>
      </c>
      <c r="M447" s="18">
        <v>299900</v>
      </c>
      <c r="N447" s="9">
        <v>0.9</v>
      </c>
      <c r="O447" s="8">
        <f t="shared" si="24"/>
        <v>29990</v>
      </c>
      <c r="P447" s="6" t="s">
        <v>15</v>
      </c>
    </row>
    <row r="448" spans="1:16" x14ac:dyDescent="0.25">
      <c r="A448" s="6" t="str">
        <f t="shared" si="25"/>
        <v>2020-2021 ALL D90</v>
      </c>
      <c r="B448" s="7">
        <f t="shared" si="26"/>
        <v>46114</v>
      </c>
      <c r="C448" s="7">
        <f t="shared" si="27"/>
        <v>46120</v>
      </c>
      <c r="D448" s="6">
        <v>3280</v>
      </c>
      <c r="E448" s="6">
        <v>337</v>
      </c>
      <c r="F448" s="6">
        <v>4</v>
      </c>
      <c r="G448" s="17">
        <v>1</v>
      </c>
      <c r="H448" s="17"/>
      <c r="I448" s="17" t="s">
        <v>1505</v>
      </c>
      <c r="J448" s="17">
        <v>28477703</v>
      </c>
      <c r="K448" s="17" t="s">
        <v>2019</v>
      </c>
      <c r="L448" s="17" t="s">
        <v>2025</v>
      </c>
      <c r="M448" s="18">
        <v>299900</v>
      </c>
      <c r="N448" s="9">
        <v>0.9</v>
      </c>
      <c r="O448" s="8">
        <f t="shared" si="24"/>
        <v>29990</v>
      </c>
      <c r="P448" s="6" t="s">
        <v>15</v>
      </c>
    </row>
    <row r="449" spans="1:16" x14ac:dyDescent="0.25">
      <c r="A449" s="6" t="str">
        <f t="shared" si="25"/>
        <v>2020-2021 ALL D90</v>
      </c>
      <c r="B449" s="7">
        <f t="shared" si="26"/>
        <v>46114</v>
      </c>
      <c r="C449" s="7">
        <f t="shared" si="27"/>
        <v>46120</v>
      </c>
      <c r="D449" s="6">
        <v>3280</v>
      </c>
      <c r="E449" s="6">
        <v>337</v>
      </c>
      <c r="F449" s="6">
        <v>4</v>
      </c>
      <c r="G449" s="17">
        <v>1</v>
      </c>
      <c r="H449" s="17"/>
      <c r="I449" s="17" t="s">
        <v>1505</v>
      </c>
      <c r="J449" s="17">
        <v>38095464</v>
      </c>
      <c r="K449" s="17" t="s">
        <v>2026</v>
      </c>
      <c r="L449" s="17" t="s">
        <v>2027</v>
      </c>
      <c r="M449" s="18">
        <v>269900</v>
      </c>
      <c r="N449" s="9">
        <v>0.9</v>
      </c>
      <c r="O449" s="8">
        <f t="shared" si="24"/>
        <v>26990</v>
      </c>
      <c r="P449" s="6" t="s">
        <v>15</v>
      </c>
    </row>
    <row r="450" spans="1:16" x14ac:dyDescent="0.25">
      <c r="A450" s="6" t="str">
        <f t="shared" si="25"/>
        <v>2020-2021 ALL D90</v>
      </c>
      <c r="B450" s="7">
        <f t="shared" si="26"/>
        <v>46114</v>
      </c>
      <c r="C450" s="7">
        <f t="shared" si="27"/>
        <v>46120</v>
      </c>
      <c r="D450" s="6">
        <v>3280</v>
      </c>
      <c r="E450" s="6">
        <v>337</v>
      </c>
      <c r="F450" s="6">
        <v>4</v>
      </c>
      <c r="G450" s="17">
        <v>1</v>
      </c>
      <c r="H450" s="17"/>
      <c r="I450" s="17" t="s">
        <v>1505</v>
      </c>
      <c r="J450" s="17">
        <v>38095473</v>
      </c>
      <c r="K450" s="17" t="s">
        <v>2026</v>
      </c>
      <c r="L450" s="17" t="s">
        <v>2028</v>
      </c>
      <c r="M450" s="18">
        <v>269900</v>
      </c>
      <c r="N450" s="9">
        <v>0.9</v>
      </c>
      <c r="O450" s="8">
        <f t="shared" si="24"/>
        <v>26990</v>
      </c>
      <c r="P450" s="6" t="s">
        <v>15</v>
      </c>
    </row>
    <row r="451" spans="1:16" x14ac:dyDescent="0.25">
      <c r="A451" s="6" t="str">
        <f t="shared" si="25"/>
        <v>2020-2021 ALL D90</v>
      </c>
      <c r="B451" s="7">
        <f t="shared" si="26"/>
        <v>46114</v>
      </c>
      <c r="C451" s="7">
        <f t="shared" si="27"/>
        <v>46120</v>
      </c>
      <c r="D451" s="6">
        <v>3280</v>
      </c>
      <c r="E451" s="6">
        <v>337</v>
      </c>
      <c r="F451" s="6">
        <v>4</v>
      </c>
      <c r="G451" s="17">
        <v>1</v>
      </c>
      <c r="H451" s="17"/>
      <c r="I451" s="17" t="s">
        <v>1505</v>
      </c>
      <c r="J451" s="17">
        <v>38095482</v>
      </c>
      <c r="K451" s="17" t="s">
        <v>2026</v>
      </c>
      <c r="L451" s="17" t="s">
        <v>2029</v>
      </c>
      <c r="M451" s="18">
        <v>269900</v>
      </c>
      <c r="N451" s="9">
        <v>0.9</v>
      </c>
      <c r="O451" s="8">
        <f t="shared" ref="O451:O454" si="28">M451-((90*M451)/100)</f>
        <v>26990</v>
      </c>
      <c r="P451" s="6" t="s">
        <v>15</v>
      </c>
    </row>
    <row r="452" spans="1:16" x14ac:dyDescent="0.25">
      <c r="A452" s="6" t="str">
        <f t="shared" ref="A452:A454" si="29">A451</f>
        <v>2020-2021 ALL D90</v>
      </c>
      <c r="B452" s="7">
        <f t="shared" ref="B452:B454" si="30">B451</f>
        <v>46114</v>
      </c>
      <c r="C452" s="7">
        <f t="shared" ref="C452:C454" si="31">C451</f>
        <v>46120</v>
      </c>
      <c r="D452" s="6">
        <v>3280</v>
      </c>
      <c r="E452" s="6">
        <v>337</v>
      </c>
      <c r="F452" s="6">
        <v>4</v>
      </c>
      <c r="G452" s="17">
        <v>1</v>
      </c>
      <c r="H452" s="17"/>
      <c r="I452" s="17" t="s">
        <v>1505</v>
      </c>
      <c r="J452" s="17">
        <v>38095491</v>
      </c>
      <c r="K452" s="17" t="s">
        <v>2026</v>
      </c>
      <c r="L452" s="17" t="s">
        <v>2030</v>
      </c>
      <c r="M452" s="18">
        <v>279900</v>
      </c>
      <c r="N452" s="9">
        <v>0.9</v>
      </c>
      <c r="O452" s="8">
        <f t="shared" si="28"/>
        <v>27990</v>
      </c>
      <c r="P452" s="6" t="s">
        <v>15</v>
      </c>
    </row>
    <row r="453" spans="1:16" x14ac:dyDescent="0.25">
      <c r="A453" s="6" t="str">
        <f t="shared" si="29"/>
        <v>2020-2021 ALL D90</v>
      </c>
      <c r="B453" s="7">
        <f t="shared" si="30"/>
        <v>46114</v>
      </c>
      <c r="C453" s="7">
        <f t="shared" si="31"/>
        <v>46120</v>
      </c>
      <c r="D453" s="6">
        <v>3280</v>
      </c>
      <c r="E453" s="6">
        <v>337</v>
      </c>
      <c r="F453" s="6">
        <v>4</v>
      </c>
      <c r="G453" s="17">
        <v>1</v>
      </c>
      <c r="H453" s="17"/>
      <c r="I453" s="17" t="s">
        <v>1505</v>
      </c>
      <c r="J453" s="17">
        <v>38095508</v>
      </c>
      <c r="K453" s="17" t="s">
        <v>2026</v>
      </c>
      <c r="L453" s="17" t="s">
        <v>2031</v>
      </c>
      <c r="M453" s="18">
        <v>279900</v>
      </c>
      <c r="N453" s="9">
        <v>0.9</v>
      </c>
      <c r="O453" s="8">
        <f t="shared" si="28"/>
        <v>27990</v>
      </c>
      <c r="P453" s="6" t="s">
        <v>15</v>
      </c>
    </row>
    <row r="454" spans="1:16" x14ac:dyDescent="0.25">
      <c r="A454" s="6" t="str">
        <f t="shared" si="29"/>
        <v>2020-2021 ALL D90</v>
      </c>
      <c r="B454" s="7">
        <f t="shared" si="30"/>
        <v>46114</v>
      </c>
      <c r="C454" s="7">
        <f t="shared" si="31"/>
        <v>46120</v>
      </c>
      <c r="D454" s="6">
        <v>3280</v>
      </c>
      <c r="E454" s="6">
        <v>337</v>
      </c>
      <c r="F454" s="6">
        <v>4</v>
      </c>
      <c r="G454" s="17">
        <v>1</v>
      </c>
      <c r="H454" s="17"/>
      <c r="I454" s="17" t="s">
        <v>1505</v>
      </c>
      <c r="J454" s="17">
        <v>38095517</v>
      </c>
      <c r="K454" s="17" t="s">
        <v>2026</v>
      </c>
      <c r="L454" s="17" t="s">
        <v>2032</v>
      </c>
      <c r="M454" s="18">
        <v>279900</v>
      </c>
      <c r="N454" s="9">
        <v>0.9</v>
      </c>
      <c r="O454" s="8">
        <f t="shared" si="28"/>
        <v>27990</v>
      </c>
      <c r="P454" s="6" t="s">
        <v>15</v>
      </c>
    </row>
  </sheetData>
  <autoFilter ref="A1:P454" xr:uid="{00000000-0009-0000-0000-000001000000}"/>
  <phoneticPr fontId="1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26"/>
  <sheetViews>
    <sheetView zoomScale="70" zoomScaleNormal="70" workbookViewId="0">
      <pane ySplit="1" topLeftCell="A47" activePane="bottomLeft" state="frozen"/>
      <selection activeCell="G13" sqref="G13"/>
      <selection pane="bottomLeft" activeCell="G13" sqref="G13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9.5703125" style="2" bestFit="1" customWidth="1"/>
    <col min="11" max="11" width="12.5703125" style="2" bestFit="1" customWidth="1"/>
    <col min="12" max="12" width="81.7109375" style="2" bestFit="1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7" t="s">
        <v>4427</v>
      </c>
      <c r="B2" s="7">
        <f>'2019 ALL D95'!B2</f>
        <v>46114</v>
      </c>
      <c r="C2" s="7">
        <f>'2019 ALL D95'!C2</f>
        <v>46120</v>
      </c>
      <c r="D2" s="6">
        <v>3280</v>
      </c>
      <c r="E2" s="6">
        <v>337</v>
      </c>
      <c r="F2" s="6">
        <v>4</v>
      </c>
      <c r="G2" s="15">
        <v>1</v>
      </c>
      <c r="H2" s="15"/>
      <c r="I2" s="15" t="s">
        <v>1505</v>
      </c>
      <c r="J2" s="15">
        <v>57634916</v>
      </c>
      <c r="K2" s="15" t="s">
        <v>2047</v>
      </c>
      <c r="L2" s="15" t="s">
        <v>2049</v>
      </c>
      <c r="M2" s="15">
        <v>239900</v>
      </c>
      <c r="N2" s="9">
        <v>0.9</v>
      </c>
      <c r="O2" s="8">
        <f>M2-((90*M2)/100)</f>
        <v>23990</v>
      </c>
      <c r="P2" s="6" t="s">
        <v>15</v>
      </c>
    </row>
    <row r="3" spans="1:16" x14ac:dyDescent="0.25">
      <c r="A3" s="7" t="str">
        <f>A2</f>
        <v>2022 ALL D90</v>
      </c>
      <c r="B3" s="7">
        <f>B2</f>
        <v>46114</v>
      </c>
      <c r="C3" s="7">
        <f>C2</f>
        <v>46120</v>
      </c>
      <c r="D3" s="6">
        <v>3280</v>
      </c>
      <c r="E3" s="6">
        <v>337</v>
      </c>
      <c r="F3" s="6">
        <v>4</v>
      </c>
      <c r="G3" s="15">
        <v>1</v>
      </c>
      <c r="H3" s="15"/>
      <c r="I3" s="15" t="s">
        <v>1505</v>
      </c>
      <c r="J3" s="15">
        <v>57634925</v>
      </c>
      <c r="K3" s="15" t="s">
        <v>2047</v>
      </c>
      <c r="L3" s="15" t="s">
        <v>2050</v>
      </c>
      <c r="M3" s="15">
        <v>239900</v>
      </c>
      <c r="N3" s="9">
        <f>N2</f>
        <v>0.9</v>
      </c>
      <c r="O3" s="8">
        <f t="shared" ref="O3:O66" si="0">M3-((90*M3)/100)</f>
        <v>23990</v>
      </c>
      <c r="P3" s="6" t="s">
        <v>15</v>
      </c>
    </row>
    <row r="4" spans="1:16" x14ac:dyDescent="0.25">
      <c r="A4" s="7" t="str">
        <f t="shared" ref="A4:C67" si="1">A3</f>
        <v>2022 ALL D90</v>
      </c>
      <c r="B4" s="7">
        <f t="shared" si="1"/>
        <v>46114</v>
      </c>
      <c r="C4" s="7">
        <f t="shared" si="1"/>
        <v>46120</v>
      </c>
      <c r="D4" s="6">
        <v>3280</v>
      </c>
      <c r="E4" s="6">
        <v>337</v>
      </c>
      <c r="F4" s="6">
        <v>4</v>
      </c>
      <c r="G4" s="15">
        <v>1</v>
      </c>
      <c r="H4" s="15"/>
      <c r="I4" s="15" t="s">
        <v>1505</v>
      </c>
      <c r="J4" s="15">
        <v>57634934</v>
      </c>
      <c r="K4" s="15" t="s">
        <v>2047</v>
      </c>
      <c r="L4" s="15" t="s">
        <v>2051</v>
      </c>
      <c r="M4" s="15">
        <v>239900</v>
      </c>
      <c r="N4" s="9">
        <f t="shared" ref="N4:N67" si="2">N3</f>
        <v>0.9</v>
      </c>
      <c r="O4" s="8">
        <f t="shared" si="0"/>
        <v>23990</v>
      </c>
      <c r="P4" s="6" t="s">
        <v>15</v>
      </c>
    </row>
    <row r="5" spans="1:16" x14ac:dyDescent="0.25">
      <c r="A5" s="7" t="str">
        <f t="shared" si="1"/>
        <v>2022 ALL D90</v>
      </c>
      <c r="B5" s="7">
        <f t="shared" si="1"/>
        <v>46114</v>
      </c>
      <c r="C5" s="7">
        <f t="shared" si="1"/>
        <v>46120</v>
      </c>
      <c r="D5" s="6">
        <v>3280</v>
      </c>
      <c r="E5" s="6">
        <v>337</v>
      </c>
      <c r="F5" s="6">
        <v>4</v>
      </c>
      <c r="G5" s="15">
        <v>1</v>
      </c>
      <c r="H5" s="15"/>
      <c r="I5" s="15" t="s">
        <v>1505</v>
      </c>
      <c r="J5" s="15">
        <v>57634943</v>
      </c>
      <c r="K5" s="15" t="s">
        <v>2047</v>
      </c>
      <c r="L5" s="15" t="s">
        <v>2052</v>
      </c>
      <c r="M5" s="15">
        <v>249900</v>
      </c>
      <c r="N5" s="9">
        <f t="shared" si="2"/>
        <v>0.9</v>
      </c>
      <c r="O5" s="8">
        <f t="shared" si="0"/>
        <v>24990</v>
      </c>
      <c r="P5" s="6" t="s">
        <v>15</v>
      </c>
    </row>
    <row r="6" spans="1:16" x14ac:dyDescent="0.25">
      <c r="A6" s="7" t="str">
        <f t="shared" si="1"/>
        <v>2022 ALL D90</v>
      </c>
      <c r="B6" s="7">
        <f t="shared" si="1"/>
        <v>46114</v>
      </c>
      <c r="C6" s="7">
        <f t="shared" si="1"/>
        <v>46120</v>
      </c>
      <c r="D6" s="6">
        <v>3280</v>
      </c>
      <c r="E6" s="6">
        <v>337</v>
      </c>
      <c r="F6" s="6">
        <v>4</v>
      </c>
      <c r="G6" s="15">
        <v>1</v>
      </c>
      <c r="H6" s="15"/>
      <c r="I6" s="15" t="s">
        <v>1505</v>
      </c>
      <c r="J6" s="15">
        <v>57634952</v>
      </c>
      <c r="K6" s="15" t="s">
        <v>2047</v>
      </c>
      <c r="L6" s="15" t="s">
        <v>2053</v>
      </c>
      <c r="M6" s="15">
        <v>249900</v>
      </c>
      <c r="N6" s="9">
        <f t="shared" si="2"/>
        <v>0.9</v>
      </c>
      <c r="O6" s="8">
        <f t="shared" si="0"/>
        <v>24990</v>
      </c>
      <c r="P6" s="6" t="s">
        <v>15</v>
      </c>
    </row>
    <row r="7" spans="1:16" x14ac:dyDescent="0.25">
      <c r="A7" s="7" t="str">
        <f t="shared" si="1"/>
        <v>2022 ALL D90</v>
      </c>
      <c r="B7" s="7">
        <f t="shared" si="1"/>
        <v>46114</v>
      </c>
      <c r="C7" s="7">
        <f t="shared" si="1"/>
        <v>46120</v>
      </c>
      <c r="D7" s="6">
        <v>3280</v>
      </c>
      <c r="E7" s="6">
        <v>337</v>
      </c>
      <c r="F7" s="6">
        <v>4</v>
      </c>
      <c r="G7" s="15">
        <v>1</v>
      </c>
      <c r="H7" s="15"/>
      <c r="I7" s="15" t="s">
        <v>1505</v>
      </c>
      <c r="J7" s="15">
        <v>57634961</v>
      </c>
      <c r="K7" s="15" t="s">
        <v>2047</v>
      </c>
      <c r="L7" s="15" t="s">
        <v>2048</v>
      </c>
      <c r="M7" s="15">
        <v>249900</v>
      </c>
      <c r="N7" s="9">
        <f t="shared" si="2"/>
        <v>0.9</v>
      </c>
      <c r="O7" s="8">
        <f t="shared" si="0"/>
        <v>24990</v>
      </c>
      <c r="P7" s="6" t="s">
        <v>15</v>
      </c>
    </row>
    <row r="8" spans="1:16" x14ac:dyDescent="0.25">
      <c r="A8" s="7" t="str">
        <f t="shared" si="1"/>
        <v>2022 ALL D90</v>
      </c>
      <c r="B8" s="7">
        <f t="shared" si="1"/>
        <v>46114</v>
      </c>
      <c r="C8" s="7">
        <f t="shared" si="1"/>
        <v>46120</v>
      </c>
      <c r="D8" s="6">
        <v>3280</v>
      </c>
      <c r="E8" s="6">
        <v>337</v>
      </c>
      <c r="F8" s="6">
        <v>4</v>
      </c>
      <c r="G8" s="15">
        <v>1</v>
      </c>
      <c r="H8" s="15"/>
      <c r="I8" s="15" t="s">
        <v>1505</v>
      </c>
      <c r="J8" s="15">
        <v>57635095</v>
      </c>
      <c r="K8" s="15" t="s">
        <v>2040</v>
      </c>
      <c r="L8" s="15" t="s">
        <v>2041</v>
      </c>
      <c r="M8" s="15">
        <v>239900</v>
      </c>
      <c r="N8" s="9">
        <f t="shared" si="2"/>
        <v>0.9</v>
      </c>
      <c r="O8" s="8">
        <f t="shared" si="0"/>
        <v>23990</v>
      </c>
      <c r="P8" s="6" t="s">
        <v>15</v>
      </c>
    </row>
    <row r="9" spans="1:16" x14ac:dyDescent="0.25">
      <c r="A9" s="7" t="str">
        <f t="shared" si="1"/>
        <v>2022 ALL D90</v>
      </c>
      <c r="B9" s="7">
        <f t="shared" si="1"/>
        <v>46114</v>
      </c>
      <c r="C9" s="7">
        <f t="shared" si="1"/>
        <v>46120</v>
      </c>
      <c r="D9" s="6">
        <v>3280</v>
      </c>
      <c r="E9" s="6">
        <v>337</v>
      </c>
      <c r="F9" s="6">
        <v>4</v>
      </c>
      <c r="G9" s="15">
        <v>1</v>
      </c>
      <c r="H9" s="15"/>
      <c r="I9" s="15" t="s">
        <v>1505</v>
      </c>
      <c r="J9" s="15">
        <v>57635102</v>
      </c>
      <c r="K9" s="15" t="s">
        <v>2040</v>
      </c>
      <c r="L9" s="15" t="s">
        <v>2042</v>
      </c>
      <c r="M9" s="15">
        <v>239900</v>
      </c>
      <c r="N9" s="9">
        <f t="shared" si="2"/>
        <v>0.9</v>
      </c>
      <c r="O9" s="8">
        <f t="shared" si="0"/>
        <v>23990</v>
      </c>
      <c r="P9" s="6" t="s">
        <v>15</v>
      </c>
    </row>
    <row r="10" spans="1:16" x14ac:dyDescent="0.25">
      <c r="A10" s="7" t="str">
        <f t="shared" si="1"/>
        <v>2022 ALL D90</v>
      </c>
      <c r="B10" s="7">
        <f t="shared" si="1"/>
        <v>46114</v>
      </c>
      <c r="C10" s="7">
        <f t="shared" si="1"/>
        <v>46120</v>
      </c>
      <c r="D10" s="6">
        <v>3280</v>
      </c>
      <c r="E10" s="6">
        <v>337</v>
      </c>
      <c r="F10" s="6">
        <v>4</v>
      </c>
      <c r="G10" s="15">
        <v>1</v>
      </c>
      <c r="H10" s="15"/>
      <c r="I10" s="15" t="s">
        <v>1505</v>
      </c>
      <c r="J10" s="15">
        <v>57635111</v>
      </c>
      <c r="K10" s="15" t="s">
        <v>2040</v>
      </c>
      <c r="L10" s="15" t="s">
        <v>2043</v>
      </c>
      <c r="M10" s="15">
        <v>239900</v>
      </c>
      <c r="N10" s="9">
        <f t="shared" si="2"/>
        <v>0.9</v>
      </c>
      <c r="O10" s="8">
        <f t="shared" si="0"/>
        <v>23990</v>
      </c>
      <c r="P10" s="6" t="s">
        <v>15</v>
      </c>
    </row>
    <row r="11" spans="1:16" x14ac:dyDescent="0.25">
      <c r="A11" s="7" t="str">
        <f t="shared" si="1"/>
        <v>2022 ALL D90</v>
      </c>
      <c r="B11" s="7">
        <f t="shared" si="1"/>
        <v>46114</v>
      </c>
      <c r="C11" s="7">
        <f t="shared" si="1"/>
        <v>46120</v>
      </c>
      <c r="D11" s="6">
        <v>3280</v>
      </c>
      <c r="E11" s="6">
        <v>337</v>
      </c>
      <c r="F11" s="6">
        <v>4</v>
      </c>
      <c r="G11" s="15">
        <v>1</v>
      </c>
      <c r="H11" s="15"/>
      <c r="I11" s="15" t="s">
        <v>1505</v>
      </c>
      <c r="J11" s="15">
        <v>57635120</v>
      </c>
      <c r="K11" s="15" t="s">
        <v>2040</v>
      </c>
      <c r="L11" s="15" t="s">
        <v>2044</v>
      </c>
      <c r="M11" s="15">
        <v>249900</v>
      </c>
      <c r="N11" s="9">
        <f t="shared" si="2"/>
        <v>0.9</v>
      </c>
      <c r="O11" s="8">
        <f t="shared" si="0"/>
        <v>24990</v>
      </c>
      <c r="P11" s="6" t="s">
        <v>15</v>
      </c>
    </row>
    <row r="12" spans="1:16" x14ac:dyDescent="0.25">
      <c r="A12" s="7" t="str">
        <f t="shared" si="1"/>
        <v>2022 ALL D90</v>
      </c>
      <c r="B12" s="7">
        <f t="shared" si="1"/>
        <v>46114</v>
      </c>
      <c r="C12" s="7">
        <f t="shared" si="1"/>
        <v>46120</v>
      </c>
      <c r="D12" s="6">
        <v>3280</v>
      </c>
      <c r="E12" s="6">
        <v>337</v>
      </c>
      <c r="F12" s="6">
        <v>4</v>
      </c>
      <c r="G12" s="15">
        <v>1</v>
      </c>
      <c r="H12" s="15"/>
      <c r="I12" s="15" t="s">
        <v>1505</v>
      </c>
      <c r="J12" s="15">
        <v>57635139</v>
      </c>
      <c r="K12" s="15" t="s">
        <v>2040</v>
      </c>
      <c r="L12" s="15" t="s">
        <v>2045</v>
      </c>
      <c r="M12" s="15">
        <v>249900</v>
      </c>
      <c r="N12" s="9">
        <f t="shared" si="2"/>
        <v>0.9</v>
      </c>
      <c r="O12" s="8">
        <f t="shared" si="0"/>
        <v>24990</v>
      </c>
      <c r="P12" s="6" t="s">
        <v>15</v>
      </c>
    </row>
    <row r="13" spans="1:16" x14ac:dyDescent="0.25">
      <c r="A13" s="7" t="str">
        <f t="shared" si="1"/>
        <v>2022 ALL D90</v>
      </c>
      <c r="B13" s="7">
        <f t="shared" si="1"/>
        <v>46114</v>
      </c>
      <c r="C13" s="7">
        <f t="shared" si="1"/>
        <v>46120</v>
      </c>
      <c r="D13" s="6">
        <v>3280</v>
      </c>
      <c r="E13" s="6">
        <v>337</v>
      </c>
      <c r="F13" s="6">
        <v>4</v>
      </c>
      <c r="G13" s="15">
        <v>1</v>
      </c>
      <c r="H13" s="15"/>
      <c r="I13" s="15" t="s">
        <v>1505</v>
      </c>
      <c r="J13" s="15">
        <v>57635148</v>
      </c>
      <c r="K13" s="15" t="s">
        <v>2040</v>
      </c>
      <c r="L13" s="15" t="s">
        <v>2046</v>
      </c>
      <c r="M13" s="15">
        <v>249900</v>
      </c>
      <c r="N13" s="9">
        <f t="shared" si="2"/>
        <v>0.9</v>
      </c>
      <c r="O13" s="8">
        <f t="shared" si="0"/>
        <v>24990</v>
      </c>
      <c r="P13" s="6" t="s">
        <v>15</v>
      </c>
    </row>
    <row r="14" spans="1:16" x14ac:dyDescent="0.25">
      <c r="A14" s="7" t="str">
        <f t="shared" si="1"/>
        <v>2022 ALL D90</v>
      </c>
      <c r="B14" s="7">
        <f t="shared" si="1"/>
        <v>46114</v>
      </c>
      <c r="C14" s="7">
        <f t="shared" si="1"/>
        <v>46120</v>
      </c>
      <c r="D14" s="6">
        <v>3280</v>
      </c>
      <c r="E14" s="6">
        <v>337</v>
      </c>
      <c r="F14" s="6">
        <v>4</v>
      </c>
      <c r="G14" s="15">
        <v>1</v>
      </c>
      <c r="H14" s="15"/>
      <c r="I14" s="15" t="s">
        <v>1505</v>
      </c>
      <c r="J14" s="15">
        <v>38095526</v>
      </c>
      <c r="K14" s="15" t="s">
        <v>2033</v>
      </c>
      <c r="L14" s="15" t="s">
        <v>2034</v>
      </c>
      <c r="M14" s="15">
        <v>249900</v>
      </c>
      <c r="N14" s="9">
        <f t="shared" si="2"/>
        <v>0.9</v>
      </c>
      <c r="O14" s="8">
        <f t="shared" si="0"/>
        <v>24990</v>
      </c>
      <c r="P14" s="6" t="s">
        <v>15</v>
      </c>
    </row>
    <row r="15" spans="1:16" x14ac:dyDescent="0.25">
      <c r="A15" s="7" t="str">
        <f t="shared" si="1"/>
        <v>2022 ALL D90</v>
      </c>
      <c r="B15" s="7">
        <f t="shared" si="1"/>
        <v>46114</v>
      </c>
      <c r="C15" s="7">
        <f t="shared" si="1"/>
        <v>46120</v>
      </c>
      <c r="D15" s="6">
        <v>3280</v>
      </c>
      <c r="E15" s="6">
        <v>337</v>
      </c>
      <c r="F15" s="6">
        <v>4</v>
      </c>
      <c r="G15" s="15">
        <v>1</v>
      </c>
      <c r="H15" s="15"/>
      <c r="I15" s="15" t="s">
        <v>1505</v>
      </c>
      <c r="J15" s="15">
        <v>38095535</v>
      </c>
      <c r="K15" s="15" t="s">
        <v>2033</v>
      </c>
      <c r="L15" s="15" t="s">
        <v>2035</v>
      </c>
      <c r="M15" s="15">
        <v>249900</v>
      </c>
      <c r="N15" s="9">
        <f t="shared" si="2"/>
        <v>0.9</v>
      </c>
      <c r="O15" s="8">
        <f t="shared" si="0"/>
        <v>24990</v>
      </c>
      <c r="P15" s="6" t="s">
        <v>15</v>
      </c>
    </row>
    <row r="16" spans="1:16" x14ac:dyDescent="0.25">
      <c r="A16" s="7" t="str">
        <f t="shared" si="1"/>
        <v>2022 ALL D90</v>
      </c>
      <c r="B16" s="7">
        <f t="shared" si="1"/>
        <v>46114</v>
      </c>
      <c r="C16" s="7">
        <f t="shared" si="1"/>
        <v>46120</v>
      </c>
      <c r="D16" s="6">
        <v>3280</v>
      </c>
      <c r="E16" s="6">
        <v>337</v>
      </c>
      <c r="F16" s="6">
        <v>4</v>
      </c>
      <c r="G16" s="15">
        <v>1</v>
      </c>
      <c r="H16" s="15"/>
      <c r="I16" s="15" t="s">
        <v>1505</v>
      </c>
      <c r="J16" s="15">
        <v>38095544</v>
      </c>
      <c r="K16" s="15" t="s">
        <v>2033</v>
      </c>
      <c r="L16" s="15" t="s">
        <v>2036</v>
      </c>
      <c r="M16" s="15">
        <v>249900</v>
      </c>
      <c r="N16" s="9">
        <f t="shared" si="2"/>
        <v>0.9</v>
      </c>
      <c r="O16" s="8">
        <f t="shared" si="0"/>
        <v>24990</v>
      </c>
      <c r="P16" s="6" t="s">
        <v>15</v>
      </c>
    </row>
    <row r="17" spans="1:16" x14ac:dyDescent="0.25">
      <c r="A17" s="7" t="str">
        <f t="shared" si="1"/>
        <v>2022 ALL D90</v>
      </c>
      <c r="B17" s="7">
        <f t="shared" si="1"/>
        <v>46114</v>
      </c>
      <c r="C17" s="7">
        <f t="shared" si="1"/>
        <v>46120</v>
      </c>
      <c r="D17" s="6">
        <v>3280</v>
      </c>
      <c r="E17" s="6">
        <v>337</v>
      </c>
      <c r="F17" s="6">
        <v>4</v>
      </c>
      <c r="G17" s="15">
        <v>1</v>
      </c>
      <c r="H17" s="15"/>
      <c r="I17" s="15" t="s">
        <v>1505</v>
      </c>
      <c r="J17" s="15">
        <v>38095553</v>
      </c>
      <c r="K17" s="15" t="s">
        <v>2033</v>
      </c>
      <c r="L17" s="15" t="s">
        <v>2037</v>
      </c>
      <c r="M17" s="15">
        <v>259900</v>
      </c>
      <c r="N17" s="9">
        <f t="shared" si="2"/>
        <v>0.9</v>
      </c>
      <c r="O17" s="8">
        <f t="shared" si="0"/>
        <v>25990</v>
      </c>
      <c r="P17" s="6" t="s">
        <v>15</v>
      </c>
    </row>
    <row r="18" spans="1:16" x14ac:dyDescent="0.25">
      <c r="A18" s="7" t="str">
        <f t="shared" si="1"/>
        <v>2022 ALL D90</v>
      </c>
      <c r="B18" s="7">
        <f t="shared" si="1"/>
        <v>46114</v>
      </c>
      <c r="C18" s="7">
        <f t="shared" si="1"/>
        <v>46120</v>
      </c>
      <c r="D18" s="6">
        <v>3280</v>
      </c>
      <c r="E18" s="6">
        <v>337</v>
      </c>
      <c r="F18" s="6">
        <v>4</v>
      </c>
      <c r="G18" s="15">
        <v>1</v>
      </c>
      <c r="H18" s="15"/>
      <c r="I18" s="15" t="s">
        <v>1505</v>
      </c>
      <c r="J18" s="15">
        <v>38095562</v>
      </c>
      <c r="K18" s="15" t="s">
        <v>2033</v>
      </c>
      <c r="L18" s="15" t="s">
        <v>2038</v>
      </c>
      <c r="M18" s="15">
        <v>259900</v>
      </c>
      <c r="N18" s="9">
        <f t="shared" si="2"/>
        <v>0.9</v>
      </c>
      <c r="O18" s="8">
        <f t="shared" si="0"/>
        <v>25990</v>
      </c>
      <c r="P18" s="6" t="s">
        <v>15</v>
      </c>
    </row>
    <row r="19" spans="1:16" x14ac:dyDescent="0.25">
      <c r="A19" s="7" t="str">
        <f t="shared" si="1"/>
        <v>2022 ALL D90</v>
      </c>
      <c r="B19" s="7">
        <f t="shared" si="1"/>
        <v>46114</v>
      </c>
      <c r="C19" s="7">
        <f t="shared" si="1"/>
        <v>46120</v>
      </c>
      <c r="D19" s="6">
        <v>3280</v>
      </c>
      <c r="E19" s="6">
        <v>337</v>
      </c>
      <c r="F19" s="6">
        <v>4</v>
      </c>
      <c r="G19" s="15">
        <v>1</v>
      </c>
      <c r="H19" s="15"/>
      <c r="I19" s="15" t="s">
        <v>1505</v>
      </c>
      <c r="J19" s="15">
        <v>38095571</v>
      </c>
      <c r="K19" s="15" t="s">
        <v>2033</v>
      </c>
      <c r="L19" s="15" t="s">
        <v>2039</v>
      </c>
      <c r="M19" s="15">
        <v>259900</v>
      </c>
      <c r="N19" s="9">
        <f t="shared" si="2"/>
        <v>0.9</v>
      </c>
      <c r="O19" s="8">
        <f t="shared" si="0"/>
        <v>25990</v>
      </c>
      <c r="P19" s="6" t="s">
        <v>15</v>
      </c>
    </row>
    <row r="20" spans="1:16" x14ac:dyDescent="0.25">
      <c r="A20" s="7" t="str">
        <f t="shared" si="1"/>
        <v>2022 ALL D90</v>
      </c>
      <c r="B20" s="7">
        <f t="shared" si="1"/>
        <v>46114</v>
      </c>
      <c r="C20" s="7">
        <f t="shared" si="1"/>
        <v>46120</v>
      </c>
      <c r="D20" s="6">
        <v>3280</v>
      </c>
      <c r="E20" s="6">
        <v>337</v>
      </c>
      <c r="F20" s="6">
        <v>4</v>
      </c>
      <c r="G20" s="15">
        <v>1</v>
      </c>
      <c r="H20" s="15"/>
      <c r="I20" s="15" t="s">
        <v>1505</v>
      </c>
      <c r="J20" s="15">
        <v>57950173</v>
      </c>
      <c r="K20" s="15" t="s">
        <v>2166</v>
      </c>
      <c r="L20" s="15" t="s">
        <v>2170</v>
      </c>
      <c r="M20" s="15">
        <v>209900</v>
      </c>
      <c r="N20" s="9">
        <f t="shared" si="2"/>
        <v>0.9</v>
      </c>
      <c r="O20" s="8">
        <f t="shared" si="0"/>
        <v>20990</v>
      </c>
      <c r="P20" s="6" t="s">
        <v>15</v>
      </c>
    </row>
    <row r="21" spans="1:16" x14ac:dyDescent="0.25">
      <c r="A21" s="7" t="str">
        <f t="shared" si="1"/>
        <v>2022 ALL D90</v>
      </c>
      <c r="B21" s="7">
        <f t="shared" si="1"/>
        <v>46114</v>
      </c>
      <c r="C21" s="7">
        <f t="shared" si="1"/>
        <v>46120</v>
      </c>
      <c r="D21" s="6">
        <v>3280</v>
      </c>
      <c r="E21" s="6">
        <v>337</v>
      </c>
      <c r="F21" s="6">
        <v>4</v>
      </c>
      <c r="G21" s="15">
        <v>1</v>
      </c>
      <c r="H21" s="15"/>
      <c r="I21" s="15" t="s">
        <v>1505</v>
      </c>
      <c r="J21" s="15">
        <v>57950182</v>
      </c>
      <c r="K21" s="15" t="s">
        <v>2166</v>
      </c>
      <c r="L21" s="15" t="s">
        <v>2167</v>
      </c>
      <c r="M21" s="15">
        <v>209900</v>
      </c>
      <c r="N21" s="9">
        <f t="shared" si="2"/>
        <v>0.9</v>
      </c>
      <c r="O21" s="8">
        <f t="shared" si="0"/>
        <v>20990</v>
      </c>
      <c r="P21" s="6" t="s">
        <v>15</v>
      </c>
    </row>
    <row r="22" spans="1:16" x14ac:dyDescent="0.25">
      <c r="A22" s="7" t="str">
        <f t="shared" si="1"/>
        <v>2022 ALL D90</v>
      </c>
      <c r="B22" s="7">
        <f t="shared" si="1"/>
        <v>46114</v>
      </c>
      <c r="C22" s="7">
        <f t="shared" si="1"/>
        <v>46120</v>
      </c>
      <c r="D22" s="6">
        <v>3280</v>
      </c>
      <c r="E22" s="6">
        <v>337</v>
      </c>
      <c r="F22" s="6">
        <v>4</v>
      </c>
      <c r="G22" s="15">
        <v>1</v>
      </c>
      <c r="H22" s="15"/>
      <c r="I22" s="15" t="s">
        <v>1505</v>
      </c>
      <c r="J22" s="15">
        <v>57950191</v>
      </c>
      <c r="K22" s="15" t="s">
        <v>2166</v>
      </c>
      <c r="L22" s="15" t="s">
        <v>2171</v>
      </c>
      <c r="M22" s="15">
        <v>209900</v>
      </c>
      <c r="N22" s="9">
        <f t="shared" si="2"/>
        <v>0.9</v>
      </c>
      <c r="O22" s="8">
        <f t="shared" si="0"/>
        <v>20990</v>
      </c>
      <c r="P22" s="6" t="s">
        <v>15</v>
      </c>
    </row>
    <row r="23" spans="1:16" x14ac:dyDescent="0.25">
      <c r="A23" s="7" t="str">
        <f t="shared" si="1"/>
        <v>2022 ALL D90</v>
      </c>
      <c r="B23" s="7">
        <f t="shared" si="1"/>
        <v>46114</v>
      </c>
      <c r="C23" s="7">
        <f t="shared" si="1"/>
        <v>46120</v>
      </c>
      <c r="D23" s="6">
        <v>3280</v>
      </c>
      <c r="E23" s="6">
        <v>337</v>
      </c>
      <c r="F23" s="6">
        <v>4</v>
      </c>
      <c r="G23" s="15">
        <v>1</v>
      </c>
      <c r="H23" s="15"/>
      <c r="I23" s="15" t="s">
        <v>1505</v>
      </c>
      <c r="J23" s="15">
        <v>57950208</v>
      </c>
      <c r="K23" s="15" t="s">
        <v>2166</v>
      </c>
      <c r="L23" s="15" t="s">
        <v>2168</v>
      </c>
      <c r="M23" s="15">
        <v>219900</v>
      </c>
      <c r="N23" s="9">
        <f t="shared" si="2"/>
        <v>0.9</v>
      </c>
      <c r="O23" s="8">
        <f t="shared" si="0"/>
        <v>21990</v>
      </c>
      <c r="P23" s="6" t="s">
        <v>15</v>
      </c>
    </row>
    <row r="24" spans="1:16" x14ac:dyDescent="0.25">
      <c r="A24" s="7" t="str">
        <f t="shared" si="1"/>
        <v>2022 ALL D90</v>
      </c>
      <c r="B24" s="7">
        <f t="shared" si="1"/>
        <v>46114</v>
      </c>
      <c r="C24" s="7">
        <f t="shared" si="1"/>
        <v>46120</v>
      </c>
      <c r="D24" s="6">
        <v>3280</v>
      </c>
      <c r="E24" s="6">
        <v>337</v>
      </c>
      <c r="F24" s="6">
        <v>4</v>
      </c>
      <c r="G24" s="15">
        <v>1</v>
      </c>
      <c r="H24" s="15"/>
      <c r="I24" s="15" t="s">
        <v>1505</v>
      </c>
      <c r="J24" s="15">
        <v>57950217</v>
      </c>
      <c r="K24" s="15" t="s">
        <v>2166</v>
      </c>
      <c r="L24" s="15" t="s">
        <v>2172</v>
      </c>
      <c r="M24" s="15">
        <v>219900</v>
      </c>
      <c r="N24" s="9">
        <f t="shared" si="2"/>
        <v>0.9</v>
      </c>
      <c r="O24" s="8">
        <f t="shared" si="0"/>
        <v>21990</v>
      </c>
      <c r="P24" s="6" t="s">
        <v>15</v>
      </c>
    </row>
    <row r="25" spans="1:16" x14ac:dyDescent="0.25">
      <c r="A25" s="7" t="str">
        <f t="shared" si="1"/>
        <v>2022 ALL D90</v>
      </c>
      <c r="B25" s="7">
        <f t="shared" si="1"/>
        <v>46114</v>
      </c>
      <c r="C25" s="7">
        <f t="shared" si="1"/>
        <v>46120</v>
      </c>
      <c r="D25" s="6">
        <v>3280</v>
      </c>
      <c r="E25" s="6">
        <v>337</v>
      </c>
      <c r="F25" s="6">
        <v>4</v>
      </c>
      <c r="G25" s="15">
        <v>1</v>
      </c>
      <c r="H25" s="15"/>
      <c r="I25" s="15" t="s">
        <v>1505</v>
      </c>
      <c r="J25" s="15">
        <v>57950226</v>
      </c>
      <c r="K25" s="15" t="s">
        <v>2166</v>
      </c>
      <c r="L25" s="15" t="s">
        <v>2169</v>
      </c>
      <c r="M25" s="15">
        <v>219900</v>
      </c>
      <c r="N25" s="9">
        <f t="shared" si="2"/>
        <v>0.9</v>
      </c>
      <c r="O25" s="8">
        <f t="shared" si="0"/>
        <v>21990</v>
      </c>
      <c r="P25" s="6" t="s">
        <v>15</v>
      </c>
    </row>
    <row r="26" spans="1:16" x14ac:dyDescent="0.25">
      <c r="A26" s="7" t="str">
        <f t="shared" si="1"/>
        <v>2022 ALL D90</v>
      </c>
      <c r="B26" s="7">
        <f t="shared" si="1"/>
        <v>46114</v>
      </c>
      <c r="C26" s="7">
        <f t="shared" si="1"/>
        <v>46120</v>
      </c>
      <c r="D26" s="6">
        <v>3280</v>
      </c>
      <c r="E26" s="6">
        <v>337</v>
      </c>
      <c r="F26" s="6">
        <v>4</v>
      </c>
      <c r="G26" s="15">
        <v>1</v>
      </c>
      <c r="H26" s="15"/>
      <c r="I26" s="15" t="s">
        <v>1505</v>
      </c>
      <c r="J26" s="15">
        <v>60538667</v>
      </c>
      <c r="K26" s="15" t="s">
        <v>2159</v>
      </c>
      <c r="L26" s="15" t="s">
        <v>2165</v>
      </c>
      <c r="M26" s="15">
        <v>209900</v>
      </c>
      <c r="N26" s="9">
        <f t="shared" si="2"/>
        <v>0.9</v>
      </c>
      <c r="O26" s="8">
        <f t="shared" si="0"/>
        <v>20990</v>
      </c>
      <c r="P26" s="6" t="s">
        <v>15</v>
      </c>
    </row>
    <row r="27" spans="1:16" x14ac:dyDescent="0.25">
      <c r="A27" s="7" t="str">
        <f t="shared" si="1"/>
        <v>2022 ALL D90</v>
      </c>
      <c r="B27" s="7">
        <f t="shared" si="1"/>
        <v>46114</v>
      </c>
      <c r="C27" s="7">
        <f t="shared" si="1"/>
        <v>46120</v>
      </c>
      <c r="D27" s="6">
        <v>3280</v>
      </c>
      <c r="E27" s="6">
        <v>337</v>
      </c>
      <c r="F27" s="6">
        <v>4</v>
      </c>
      <c r="G27" s="15">
        <v>1</v>
      </c>
      <c r="H27" s="15"/>
      <c r="I27" s="15" t="s">
        <v>1505</v>
      </c>
      <c r="J27" s="15">
        <v>60538676</v>
      </c>
      <c r="K27" s="15" t="s">
        <v>2159</v>
      </c>
      <c r="L27" s="15" t="s">
        <v>2160</v>
      </c>
      <c r="M27" s="15">
        <v>209900</v>
      </c>
      <c r="N27" s="9">
        <f t="shared" si="2"/>
        <v>0.9</v>
      </c>
      <c r="O27" s="8">
        <f t="shared" si="0"/>
        <v>20990</v>
      </c>
      <c r="P27" s="6" t="s">
        <v>15</v>
      </c>
    </row>
    <row r="28" spans="1:16" x14ac:dyDescent="0.25">
      <c r="A28" s="7" t="str">
        <f t="shared" si="1"/>
        <v>2022 ALL D90</v>
      </c>
      <c r="B28" s="7">
        <f t="shared" si="1"/>
        <v>46114</v>
      </c>
      <c r="C28" s="7">
        <f t="shared" si="1"/>
        <v>46120</v>
      </c>
      <c r="D28" s="6">
        <v>3280</v>
      </c>
      <c r="E28" s="6">
        <v>337</v>
      </c>
      <c r="F28" s="6">
        <v>4</v>
      </c>
      <c r="G28" s="15">
        <v>1</v>
      </c>
      <c r="H28" s="15"/>
      <c r="I28" s="15" t="s">
        <v>1505</v>
      </c>
      <c r="J28" s="15">
        <v>60538685</v>
      </c>
      <c r="K28" s="15" t="s">
        <v>2159</v>
      </c>
      <c r="L28" s="15" t="s">
        <v>2161</v>
      </c>
      <c r="M28" s="15">
        <v>209900</v>
      </c>
      <c r="N28" s="9">
        <f t="shared" si="2"/>
        <v>0.9</v>
      </c>
      <c r="O28" s="8">
        <f t="shared" si="0"/>
        <v>20990</v>
      </c>
      <c r="P28" s="6" t="s">
        <v>15</v>
      </c>
    </row>
    <row r="29" spans="1:16" x14ac:dyDescent="0.25">
      <c r="A29" s="7" t="str">
        <f t="shared" si="1"/>
        <v>2022 ALL D90</v>
      </c>
      <c r="B29" s="7">
        <f t="shared" si="1"/>
        <v>46114</v>
      </c>
      <c r="C29" s="7">
        <f t="shared" si="1"/>
        <v>46120</v>
      </c>
      <c r="D29" s="6">
        <v>3280</v>
      </c>
      <c r="E29" s="6">
        <v>337</v>
      </c>
      <c r="F29" s="6">
        <v>4</v>
      </c>
      <c r="G29" s="15">
        <v>1</v>
      </c>
      <c r="H29" s="15"/>
      <c r="I29" s="15" t="s">
        <v>1505</v>
      </c>
      <c r="J29" s="15">
        <v>60538694</v>
      </c>
      <c r="K29" s="15" t="s">
        <v>2159</v>
      </c>
      <c r="L29" s="15" t="s">
        <v>2163</v>
      </c>
      <c r="M29" s="15">
        <v>219900</v>
      </c>
      <c r="N29" s="9">
        <f t="shared" si="2"/>
        <v>0.9</v>
      </c>
      <c r="O29" s="8">
        <f t="shared" si="0"/>
        <v>21990</v>
      </c>
      <c r="P29" s="6" t="s">
        <v>15</v>
      </c>
    </row>
    <row r="30" spans="1:16" x14ac:dyDescent="0.25">
      <c r="A30" s="7" t="str">
        <f t="shared" si="1"/>
        <v>2022 ALL D90</v>
      </c>
      <c r="B30" s="7">
        <f t="shared" si="1"/>
        <v>46114</v>
      </c>
      <c r="C30" s="7">
        <f t="shared" si="1"/>
        <v>46120</v>
      </c>
      <c r="D30" s="6">
        <v>3280</v>
      </c>
      <c r="E30" s="6">
        <v>337</v>
      </c>
      <c r="F30" s="6">
        <v>4</v>
      </c>
      <c r="G30" s="15">
        <v>1</v>
      </c>
      <c r="H30" s="15"/>
      <c r="I30" s="15" t="s">
        <v>1505</v>
      </c>
      <c r="J30" s="15">
        <v>60538701</v>
      </c>
      <c r="K30" s="15" t="s">
        <v>2159</v>
      </c>
      <c r="L30" s="15" t="s">
        <v>2162</v>
      </c>
      <c r="M30" s="15">
        <v>219900</v>
      </c>
      <c r="N30" s="9">
        <f t="shared" si="2"/>
        <v>0.9</v>
      </c>
      <c r="O30" s="8">
        <f t="shared" si="0"/>
        <v>21990</v>
      </c>
      <c r="P30" s="6" t="s">
        <v>15</v>
      </c>
    </row>
    <row r="31" spans="1:16" x14ac:dyDescent="0.25">
      <c r="A31" s="7" t="str">
        <f t="shared" si="1"/>
        <v>2022 ALL D90</v>
      </c>
      <c r="B31" s="7">
        <f t="shared" si="1"/>
        <v>46114</v>
      </c>
      <c r="C31" s="7">
        <f t="shared" si="1"/>
        <v>46120</v>
      </c>
      <c r="D31" s="6">
        <v>3280</v>
      </c>
      <c r="E31" s="6">
        <v>337</v>
      </c>
      <c r="F31" s="6">
        <v>4</v>
      </c>
      <c r="G31" s="15">
        <v>1</v>
      </c>
      <c r="H31" s="15"/>
      <c r="I31" s="15" t="s">
        <v>1505</v>
      </c>
      <c r="J31" s="15">
        <v>60538710</v>
      </c>
      <c r="K31" s="15" t="s">
        <v>2159</v>
      </c>
      <c r="L31" s="15" t="s">
        <v>2164</v>
      </c>
      <c r="M31" s="15">
        <v>219900</v>
      </c>
      <c r="N31" s="9">
        <f t="shared" si="2"/>
        <v>0.9</v>
      </c>
      <c r="O31" s="8">
        <f t="shared" si="0"/>
        <v>21990</v>
      </c>
      <c r="P31" s="6" t="s">
        <v>15</v>
      </c>
    </row>
    <row r="32" spans="1:16" x14ac:dyDescent="0.25">
      <c r="A32" s="7" t="str">
        <f t="shared" si="1"/>
        <v>2022 ALL D90</v>
      </c>
      <c r="B32" s="7">
        <f t="shared" si="1"/>
        <v>46114</v>
      </c>
      <c r="C32" s="7">
        <f t="shared" si="1"/>
        <v>46120</v>
      </c>
      <c r="D32" s="6">
        <v>3280</v>
      </c>
      <c r="E32" s="6">
        <v>337</v>
      </c>
      <c r="F32" s="6">
        <v>4</v>
      </c>
      <c r="G32" s="15">
        <v>1</v>
      </c>
      <c r="H32" s="15"/>
      <c r="I32" s="15" t="s">
        <v>1505</v>
      </c>
      <c r="J32" s="15">
        <v>33407242</v>
      </c>
      <c r="K32" s="15" t="s">
        <v>3376</v>
      </c>
      <c r="L32" s="15" t="s">
        <v>3377</v>
      </c>
      <c r="M32" s="15">
        <v>289900</v>
      </c>
      <c r="N32" s="9">
        <f t="shared" si="2"/>
        <v>0.9</v>
      </c>
      <c r="O32" s="8">
        <f t="shared" si="0"/>
        <v>28990</v>
      </c>
      <c r="P32" s="6" t="s">
        <v>15</v>
      </c>
    </row>
    <row r="33" spans="1:16" x14ac:dyDescent="0.25">
      <c r="A33" s="7" t="str">
        <f t="shared" si="1"/>
        <v>2022 ALL D90</v>
      </c>
      <c r="B33" s="7">
        <f t="shared" si="1"/>
        <v>46114</v>
      </c>
      <c r="C33" s="7">
        <f t="shared" si="1"/>
        <v>46120</v>
      </c>
      <c r="D33" s="6">
        <v>3280</v>
      </c>
      <c r="E33" s="6">
        <v>337</v>
      </c>
      <c r="F33" s="6">
        <v>4</v>
      </c>
      <c r="G33" s="15">
        <v>1</v>
      </c>
      <c r="H33" s="15"/>
      <c r="I33" s="15" t="s">
        <v>1505</v>
      </c>
      <c r="J33" s="15">
        <v>33407251</v>
      </c>
      <c r="K33" s="15" t="s">
        <v>3376</v>
      </c>
      <c r="L33" s="15" t="s">
        <v>3378</v>
      </c>
      <c r="M33" s="15">
        <v>289900</v>
      </c>
      <c r="N33" s="9">
        <f t="shared" si="2"/>
        <v>0.9</v>
      </c>
      <c r="O33" s="8">
        <f t="shared" si="0"/>
        <v>28990</v>
      </c>
      <c r="P33" s="6" t="s">
        <v>15</v>
      </c>
    </row>
    <row r="34" spans="1:16" x14ac:dyDescent="0.25">
      <c r="A34" s="7" t="str">
        <f t="shared" si="1"/>
        <v>2022 ALL D90</v>
      </c>
      <c r="B34" s="7">
        <f t="shared" si="1"/>
        <v>46114</v>
      </c>
      <c r="C34" s="7">
        <f t="shared" si="1"/>
        <v>46120</v>
      </c>
      <c r="D34" s="6">
        <v>3280</v>
      </c>
      <c r="E34" s="6">
        <v>337</v>
      </c>
      <c r="F34" s="6">
        <v>4</v>
      </c>
      <c r="G34" s="15">
        <v>1</v>
      </c>
      <c r="H34" s="15"/>
      <c r="I34" s="15" t="s">
        <v>1505</v>
      </c>
      <c r="J34" s="15">
        <v>33407260</v>
      </c>
      <c r="K34" s="15" t="s">
        <v>3376</v>
      </c>
      <c r="L34" s="15" t="s">
        <v>3379</v>
      </c>
      <c r="M34" s="15">
        <v>289900</v>
      </c>
      <c r="N34" s="9">
        <f t="shared" si="2"/>
        <v>0.9</v>
      </c>
      <c r="O34" s="8">
        <f t="shared" si="0"/>
        <v>28990</v>
      </c>
      <c r="P34" s="6" t="s">
        <v>15</v>
      </c>
    </row>
    <row r="35" spans="1:16" x14ac:dyDescent="0.25">
      <c r="A35" s="7" t="str">
        <f t="shared" si="1"/>
        <v>2022 ALL D90</v>
      </c>
      <c r="B35" s="7">
        <f t="shared" si="1"/>
        <v>46114</v>
      </c>
      <c r="C35" s="7">
        <f t="shared" ref="C35:C98" si="3">C34</f>
        <v>46120</v>
      </c>
      <c r="D35" s="6">
        <v>3280</v>
      </c>
      <c r="E35" s="6">
        <v>337</v>
      </c>
      <c r="F35" s="6">
        <v>4</v>
      </c>
      <c r="G35" s="15">
        <v>1</v>
      </c>
      <c r="H35" s="15"/>
      <c r="I35" s="15" t="s">
        <v>1505</v>
      </c>
      <c r="J35" s="15">
        <v>33407279</v>
      </c>
      <c r="K35" s="15" t="s">
        <v>3376</v>
      </c>
      <c r="L35" s="15" t="s">
        <v>3380</v>
      </c>
      <c r="M35" s="15">
        <v>289900</v>
      </c>
      <c r="N35" s="9">
        <f t="shared" si="2"/>
        <v>0.9</v>
      </c>
      <c r="O35" s="8">
        <f t="shared" si="0"/>
        <v>28990</v>
      </c>
      <c r="P35" s="6" t="s">
        <v>15</v>
      </c>
    </row>
    <row r="36" spans="1:16" x14ac:dyDescent="0.25">
      <c r="A36" s="7" t="str">
        <f t="shared" si="1"/>
        <v>2022 ALL D90</v>
      </c>
      <c r="B36" s="7">
        <f t="shared" ref="B36:B99" si="4">B35</f>
        <v>46114</v>
      </c>
      <c r="C36" s="7">
        <f t="shared" si="3"/>
        <v>46120</v>
      </c>
      <c r="D36" s="6">
        <v>3280</v>
      </c>
      <c r="E36" s="6">
        <v>337</v>
      </c>
      <c r="F36" s="6">
        <v>4</v>
      </c>
      <c r="G36" s="15">
        <v>1</v>
      </c>
      <c r="H36" s="15"/>
      <c r="I36" s="15" t="s">
        <v>1505</v>
      </c>
      <c r="J36" s="15">
        <v>33407288</v>
      </c>
      <c r="K36" s="15" t="s">
        <v>3376</v>
      </c>
      <c r="L36" s="15" t="s">
        <v>3381</v>
      </c>
      <c r="M36" s="15">
        <v>289900</v>
      </c>
      <c r="N36" s="9">
        <f t="shared" si="2"/>
        <v>0.9</v>
      </c>
      <c r="O36" s="8">
        <f t="shared" si="0"/>
        <v>28990</v>
      </c>
      <c r="P36" s="6" t="s">
        <v>15</v>
      </c>
    </row>
    <row r="37" spans="1:16" x14ac:dyDescent="0.25">
      <c r="A37" s="7" t="str">
        <f t="shared" si="1"/>
        <v>2022 ALL D90</v>
      </c>
      <c r="B37" s="7">
        <f t="shared" si="4"/>
        <v>46114</v>
      </c>
      <c r="C37" s="7">
        <f t="shared" si="3"/>
        <v>46120</v>
      </c>
      <c r="D37" s="6">
        <v>3280</v>
      </c>
      <c r="E37" s="6">
        <v>337</v>
      </c>
      <c r="F37" s="6">
        <v>4</v>
      </c>
      <c r="G37" s="15">
        <v>1</v>
      </c>
      <c r="H37" s="15"/>
      <c r="I37" s="15" t="s">
        <v>1505</v>
      </c>
      <c r="J37" s="15">
        <v>33407297</v>
      </c>
      <c r="K37" s="15" t="s">
        <v>3376</v>
      </c>
      <c r="L37" s="15" t="s">
        <v>3382</v>
      </c>
      <c r="M37" s="15">
        <v>289900</v>
      </c>
      <c r="N37" s="9">
        <f t="shared" si="2"/>
        <v>0.9</v>
      </c>
      <c r="O37" s="8">
        <f t="shared" si="0"/>
        <v>28990</v>
      </c>
      <c r="P37" s="6" t="s">
        <v>15</v>
      </c>
    </row>
    <row r="38" spans="1:16" x14ac:dyDescent="0.25">
      <c r="A38" s="7" t="str">
        <f t="shared" si="1"/>
        <v>2022 ALL D90</v>
      </c>
      <c r="B38" s="7">
        <f t="shared" si="4"/>
        <v>46114</v>
      </c>
      <c r="C38" s="7">
        <f t="shared" si="3"/>
        <v>46120</v>
      </c>
      <c r="D38" s="6">
        <v>3280</v>
      </c>
      <c r="E38" s="6">
        <v>337</v>
      </c>
      <c r="F38" s="6">
        <v>4</v>
      </c>
      <c r="G38" s="15">
        <v>1</v>
      </c>
      <c r="H38" s="15"/>
      <c r="I38" s="15" t="s">
        <v>1505</v>
      </c>
      <c r="J38" s="15">
        <v>33407304</v>
      </c>
      <c r="K38" s="15" t="s">
        <v>2632</v>
      </c>
      <c r="L38" s="15" t="s">
        <v>2633</v>
      </c>
      <c r="M38" s="15">
        <v>289900</v>
      </c>
      <c r="N38" s="9">
        <f t="shared" si="2"/>
        <v>0.9</v>
      </c>
      <c r="O38" s="8">
        <f t="shared" si="0"/>
        <v>28990</v>
      </c>
      <c r="P38" s="6" t="s">
        <v>15</v>
      </c>
    </row>
    <row r="39" spans="1:16" x14ac:dyDescent="0.25">
      <c r="A39" s="7" t="str">
        <f t="shared" si="1"/>
        <v>2022 ALL D90</v>
      </c>
      <c r="B39" s="7">
        <f t="shared" si="4"/>
        <v>46114</v>
      </c>
      <c r="C39" s="7">
        <f t="shared" si="3"/>
        <v>46120</v>
      </c>
      <c r="D39" s="6">
        <v>3280</v>
      </c>
      <c r="E39" s="6">
        <v>337</v>
      </c>
      <c r="F39" s="6">
        <v>4</v>
      </c>
      <c r="G39" s="15">
        <v>1</v>
      </c>
      <c r="H39" s="15"/>
      <c r="I39" s="15" t="s">
        <v>1505</v>
      </c>
      <c r="J39" s="15">
        <v>33407313</v>
      </c>
      <c r="K39" s="15" t="s">
        <v>2632</v>
      </c>
      <c r="L39" s="15" t="s">
        <v>2634</v>
      </c>
      <c r="M39" s="15">
        <v>289900</v>
      </c>
      <c r="N39" s="9">
        <f t="shared" si="2"/>
        <v>0.9</v>
      </c>
      <c r="O39" s="8">
        <f t="shared" si="0"/>
        <v>28990</v>
      </c>
      <c r="P39" s="6" t="s">
        <v>15</v>
      </c>
    </row>
    <row r="40" spans="1:16" x14ac:dyDescent="0.25">
      <c r="A40" s="7" t="str">
        <f t="shared" si="1"/>
        <v>2022 ALL D90</v>
      </c>
      <c r="B40" s="7">
        <f t="shared" si="4"/>
        <v>46114</v>
      </c>
      <c r="C40" s="7">
        <f t="shared" si="3"/>
        <v>46120</v>
      </c>
      <c r="D40" s="6">
        <v>3280</v>
      </c>
      <c r="E40" s="6">
        <v>337</v>
      </c>
      <c r="F40" s="6">
        <v>4</v>
      </c>
      <c r="G40" s="15">
        <v>1</v>
      </c>
      <c r="H40" s="15"/>
      <c r="I40" s="15" t="s">
        <v>1505</v>
      </c>
      <c r="J40" s="15">
        <v>33407322</v>
      </c>
      <c r="K40" s="15" t="s">
        <v>2632</v>
      </c>
      <c r="L40" s="15" t="s">
        <v>2635</v>
      </c>
      <c r="M40" s="15">
        <v>289900</v>
      </c>
      <c r="N40" s="9">
        <f t="shared" si="2"/>
        <v>0.9</v>
      </c>
      <c r="O40" s="8">
        <f t="shared" si="0"/>
        <v>28990</v>
      </c>
      <c r="P40" s="6" t="s">
        <v>15</v>
      </c>
    </row>
    <row r="41" spans="1:16" x14ac:dyDescent="0.25">
      <c r="A41" s="7" t="str">
        <f t="shared" si="1"/>
        <v>2022 ALL D90</v>
      </c>
      <c r="B41" s="7">
        <f t="shared" si="4"/>
        <v>46114</v>
      </c>
      <c r="C41" s="7">
        <f t="shared" si="3"/>
        <v>46120</v>
      </c>
      <c r="D41" s="6">
        <v>3280</v>
      </c>
      <c r="E41" s="6">
        <v>337</v>
      </c>
      <c r="F41" s="6">
        <v>4</v>
      </c>
      <c r="G41" s="15">
        <v>1</v>
      </c>
      <c r="H41" s="15"/>
      <c r="I41" s="15" t="s">
        <v>1505</v>
      </c>
      <c r="J41" s="15">
        <v>33407331</v>
      </c>
      <c r="K41" s="15" t="s">
        <v>2632</v>
      </c>
      <c r="L41" s="15" t="s">
        <v>2636</v>
      </c>
      <c r="M41" s="15">
        <v>289900</v>
      </c>
      <c r="N41" s="9">
        <f t="shared" si="2"/>
        <v>0.9</v>
      </c>
      <c r="O41" s="8">
        <f t="shared" si="0"/>
        <v>28990</v>
      </c>
      <c r="P41" s="6" t="s">
        <v>15</v>
      </c>
    </row>
    <row r="42" spans="1:16" x14ac:dyDescent="0.25">
      <c r="A42" s="7" t="str">
        <f t="shared" si="1"/>
        <v>2022 ALL D90</v>
      </c>
      <c r="B42" s="7">
        <f t="shared" si="4"/>
        <v>46114</v>
      </c>
      <c r="C42" s="7">
        <f t="shared" si="3"/>
        <v>46120</v>
      </c>
      <c r="D42" s="6">
        <v>3280</v>
      </c>
      <c r="E42" s="6">
        <v>337</v>
      </c>
      <c r="F42" s="6">
        <v>4</v>
      </c>
      <c r="G42" s="15">
        <v>1</v>
      </c>
      <c r="H42" s="15"/>
      <c r="I42" s="15" t="s">
        <v>1505</v>
      </c>
      <c r="J42" s="15">
        <v>33407340</v>
      </c>
      <c r="K42" s="15" t="s">
        <v>2632</v>
      </c>
      <c r="L42" s="15" t="s">
        <v>2637</v>
      </c>
      <c r="M42" s="15">
        <v>289900</v>
      </c>
      <c r="N42" s="9">
        <f t="shared" si="2"/>
        <v>0.9</v>
      </c>
      <c r="O42" s="8">
        <f t="shared" si="0"/>
        <v>28990</v>
      </c>
      <c r="P42" s="6" t="s">
        <v>15</v>
      </c>
    </row>
    <row r="43" spans="1:16" x14ac:dyDescent="0.25">
      <c r="A43" s="7" t="str">
        <f t="shared" si="1"/>
        <v>2022 ALL D90</v>
      </c>
      <c r="B43" s="7">
        <f t="shared" si="4"/>
        <v>46114</v>
      </c>
      <c r="C43" s="7">
        <f t="shared" si="3"/>
        <v>46120</v>
      </c>
      <c r="D43" s="6">
        <v>3280</v>
      </c>
      <c r="E43" s="6">
        <v>337</v>
      </c>
      <c r="F43" s="6">
        <v>4</v>
      </c>
      <c r="G43" s="15">
        <v>1</v>
      </c>
      <c r="H43" s="15"/>
      <c r="I43" s="15" t="s">
        <v>1505</v>
      </c>
      <c r="J43" s="15">
        <v>33407359</v>
      </c>
      <c r="K43" s="15" t="s">
        <v>2632</v>
      </c>
      <c r="L43" s="15" t="s">
        <v>2638</v>
      </c>
      <c r="M43" s="15">
        <v>289900</v>
      </c>
      <c r="N43" s="9">
        <f t="shared" si="2"/>
        <v>0.9</v>
      </c>
      <c r="O43" s="8">
        <f t="shared" si="0"/>
        <v>28990</v>
      </c>
      <c r="P43" s="6" t="s">
        <v>15</v>
      </c>
    </row>
    <row r="44" spans="1:16" x14ac:dyDescent="0.25">
      <c r="A44" s="7" t="str">
        <f t="shared" si="1"/>
        <v>2022 ALL D90</v>
      </c>
      <c r="B44" s="7">
        <f t="shared" si="4"/>
        <v>46114</v>
      </c>
      <c r="C44" s="7">
        <f t="shared" si="3"/>
        <v>46120</v>
      </c>
      <c r="D44" s="6">
        <v>3280</v>
      </c>
      <c r="E44" s="6">
        <v>337</v>
      </c>
      <c r="F44" s="6">
        <v>4</v>
      </c>
      <c r="G44" s="15">
        <v>1</v>
      </c>
      <c r="H44" s="15"/>
      <c r="I44" s="15" t="s">
        <v>1505</v>
      </c>
      <c r="J44" s="15">
        <v>33407368</v>
      </c>
      <c r="K44" s="15" t="s">
        <v>2639</v>
      </c>
      <c r="L44" s="15" t="s">
        <v>2640</v>
      </c>
      <c r="M44" s="15">
        <v>289900</v>
      </c>
      <c r="N44" s="9">
        <f t="shared" si="2"/>
        <v>0.9</v>
      </c>
      <c r="O44" s="8">
        <f t="shared" si="0"/>
        <v>28990</v>
      </c>
      <c r="P44" s="6" t="s">
        <v>15</v>
      </c>
    </row>
    <row r="45" spans="1:16" x14ac:dyDescent="0.25">
      <c r="A45" s="7" t="str">
        <f t="shared" si="1"/>
        <v>2022 ALL D90</v>
      </c>
      <c r="B45" s="7">
        <f t="shared" si="4"/>
        <v>46114</v>
      </c>
      <c r="C45" s="7">
        <f t="shared" si="3"/>
        <v>46120</v>
      </c>
      <c r="D45" s="6">
        <v>3280</v>
      </c>
      <c r="E45" s="6">
        <v>337</v>
      </c>
      <c r="F45" s="6">
        <v>4</v>
      </c>
      <c r="G45" s="15">
        <v>1</v>
      </c>
      <c r="H45" s="15"/>
      <c r="I45" s="15" t="s">
        <v>1505</v>
      </c>
      <c r="J45" s="15">
        <v>33407377</v>
      </c>
      <c r="K45" s="15" t="s">
        <v>2639</v>
      </c>
      <c r="L45" s="15" t="s">
        <v>2641</v>
      </c>
      <c r="M45" s="15">
        <v>289900</v>
      </c>
      <c r="N45" s="9">
        <f t="shared" si="2"/>
        <v>0.9</v>
      </c>
      <c r="O45" s="8">
        <f t="shared" si="0"/>
        <v>28990</v>
      </c>
      <c r="P45" s="6" t="s">
        <v>15</v>
      </c>
    </row>
    <row r="46" spans="1:16" x14ac:dyDescent="0.25">
      <c r="A46" s="7" t="str">
        <f t="shared" si="1"/>
        <v>2022 ALL D90</v>
      </c>
      <c r="B46" s="7">
        <f t="shared" si="4"/>
        <v>46114</v>
      </c>
      <c r="C46" s="7">
        <f t="shared" si="3"/>
        <v>46120</v>
      </c>
      <c r="D46" s="6">
        <v>3280</v>
      </c>
      <c r="E46" s="6">
        <v>337</v>
      </c>
      <c r="F46" s="6">
        <v>4</v>
      </c>
      <c r="G46" s="15">
        <v>1</v>
      </c>
      <c r="H46" s="15"/>
      <c r="I46" s="15" t="s">
        <v>1505</v>
      </c>
      <c r="J46" s="15">
        <v>33407386</v>
      </c>
      <c r="K46" s="15" t="s">
        <v>2639</v>
      </c>
      <c r="L46" s="15" t="s">
        <v>2642</v>
      </c>
      <c r="M46" s="15">
        <v>289900</v>
      </c>
      <c r="N46" s="9">
        <f t="shared" si="2"/>
        <v>0.9</v>
      </c>
      <c r="O46" s="8">
        <f t="shared" si="0"/>
        <v>28990</v>
      </c>
      <c r="P46" s="6" t="s">
        <v>15</v>
      </c>
    </row>
    <row r="47" spans="1:16" x14ac:dyDescent="0.25">
      <c r="A47" s="7" t="str">
        <f t="shared" si="1"/>
        <v>2022 ALL D90</v>
      </c>
      <c r="B47" s="7">
        <f t="shared" si="4"/>
        <v>46114</v>
      </c>
      <c r="C47" s="7">
        <f t="shared" si="3"/>
        <v>46120</v>
      </c>
      <c r="D47" s="6">
        <v>3280</v>
      </c>
      <c r="E47" s="6">
        <v>337</v>
      </c>
      <c r="F47" s="6">
        <v>4</v>
      </c>
      <c r="G47" s="15">
        <v>1</v>
      </c>
      <c r="H47" s="15"/>
      <c r="I47" s="15" t="s">
        <v>1505</v>
      </c>
      <c r="J47" s="15">
        <v>33407395</v>
      </c>
      <c r="K47" s="15" t="s">
        <v>2639</v>
      </c>
      <c r="L47" s="15" t="s">
        <v>2643</v>
      </c>
      <c r="M47" s="15">
        <v>289900</v>
      </c>
      <c r="N47" s="9">
        <f t="shared" si="2"/>
        <v>0.9</v>
      </c>
      <c r="O47" s="8">
        <f t="shared" si="0"/>
        <v>28990</v>
      </c>
      <c r="P47" s="6" t="s">
        <v>15</v>
      </c>
    </row>
    <row r="48" spans="1:16" x14ac:dyDescent="0.25">
      <c r="A48" s="7" t="str">
        <f t="shared" si="1"/>
        <v>2022 ALL D90</v>
      </c>
      <c r="B48" s="7">
        <f t="shared" si="4"/>
        <v>46114</v>
      </c>
      <c r="C48" s="7">
        <f t="shared" si="3"/>
        <v>46120</v>
      </c>
      <c r="D48" s="6">
        <v>3280</v>
      </c>
      <c r="E48" s="6">
        <v>337</v>
      </c>
      <c r="F48" s="6">
        <v>4</v>
      </c>
      <c r="G48" s="15">
        <v>1</v>
      </c>
      <c r="H48" s="15"/>
      <c r="I48" s="15" t="s">
        <v>1505</v>
      </c>
      <c r="J48" s="15">
        <v>33407402</v>
      </c>
      <c r="K48" s="15" t="s">
        <v>2639</v>
      </c>
      <c r="L48" s="15" t="s">
        <v>2644</v>
      </c>
      <c r="M48" s="15">
        <v>289900</v>
      </c>
      <c r="N48" s="9">
        <f t="shared" si="2"/>
        <v>0.9</v>
      </c>
      <c r="O48" s="8">
        <f t="shared" si="0"/>
        <v>28990</v>
      </c>
      <c r="P48" s="6" t="s">
        <v>15</v>
      </c>
    </row>
    <row r="49" spans="1:16" x14ac:dyDescent="0.25">
      <c r="A49" s="7" t="str">
        <f t="shared" si="1"/>
        <v>2022 ALL D90</v>
      </c>
      <c r="B49" s="7">
        <f t="shared" si="4"/>
        <v>46114</v>
      </c>
      <c r="C49" s="7">
        <f t="shared" si="3"/>
        <v>46120</v>
      </c>
      <c r="D49" s="6">
        <v>3280</v>
      </c>
      <c r="E49" s="6">
        <v>337</v>
      </c>
      <c r="F49" s="6">
        <v>4</v>
      </c>
      <c r="G49" s="15">
        <v>1</v>
      </c>
      <c r="H49" s="15"/>
      <c r="I49" s="15" t="s">
        <v>1505</v>
      </c>
      <c r="J49" s="15">
        <v>33407411</v>
      </c>
      <c r="K49" s="15" t="s">
        <v>2639</v>
      </c>
      <c r="L49" s="15" t="s">
        <v>2645</v>
      </c>
      <c r="M49" s="15">
        <v>289900</v>
      </c>
      <c r="N49" s="9">
        <f t="shared" si="2"/>
        <v>0.9</v>
      </c>
      <c r="O49" s="8">
        <f t="shared" si="0"/>
        <v>28990</v>
      </c>
      <c r="P49" s="6" t="s">
        <v>15</v>
      </c>
    </row>
    <row r="50" spans="1:16" x14ac:dyDescent="0.25">
      <c r="A50" s="7" t="str">
        <f t="shared" si="1"/>
        <v>2022 ALL D90</v>
      </c>
      <c r="B50" s="7">
        <f t="shared" si="4"/>
        <v>46114</v>
      </c>
      <c r="C50" s="7">
        <f t="shared" si="3"/>
        <v>46120</v>
      </c>
      <c r="D50" s="6">
        <v>3280</v>
      </c>
      <c r="E50" s="6">
        <v>337</v>
      </c>
      <c r="F50" s="6">
        <v>4</v>
      </c>
      <c r="G50" s="15">
        <v>1</v>
      </c>
      <c r="H50" s="15"/>
      <c r="I50" s="15" t="s">
        <v>1505</v>
      </c>
      <c r="J50" s="15">
        <v>33407420</v>
      </c>
      <c r="K50" s="15" t="s">
        <v>2646</v>
      </c>
      <c r="L50" s="15" t="s">
        <v>2647</v>
      </c>
      <c r="M50" s="15">
        <v>289900</v>
      </c>
      <c r="N50" s="9">
        <f t="shared" si="2"/>
        <v>0.9</v>
      </c>
      <c r="O50" s="8">
        <f t="shared" si="0"/>
        <v>28990</v>
      </c>
      <c r="P50" s="6" t="s">
        <v>15</v>
      </c>
    </row>
    <row r="51" spans="1:16" x14ac:dyDescent="0.25">
      <c r="A51" s="7" t="str">
        <f t="shared" si="1"/>
        <v>2022 ALL D90</v>
      </c>
      <c r="B51" s="7">
        <f t="shared" si="4"/>
        <v>46114</v>
      </c>
      <c r="C51" s="7">
        <f t="shared" si="3"/>
        <v>46120</v>
      </c>
      <c r="D51" s="6">
        <v>3280</v>
      </c>
      <c r="E51" s="6">
        <v>337</v>
      </c>
      <c r="F51" s="6">
        <v>4</v>
      </c>
      <c r="G51" s="15">
        <v>1</v>
      </c>
      <c r="H51" s="15"/>
      <c r="I51" s="15" t="s">
        <v>1505</v>
      </c>
      <c r="J51" s="15">
        <v>33407439</v>
      </c>
      <c r="K51" s="15" t="s">
        <v>2646</v>
      </c>
      <c r="L51" s="15" t="s">
        <v>2648</v>
      </c>
      <c r="M51" s="15">
        <v>289900</v>
      </c>
      <c r="N51" s="9">
        <f t="shared" si="2"/>
        <v>0.9</v>
      </c>
      <c r="O51" s="8">
        <f t="shared" si="0"/>
        <v>28990</v>
      </c>
      <c r="P51" s="6" t="s">
        <v>15</v>
      </c>
    </row>
    <row r="52" spans="1:16" x14ac:dyDescent="0.25">
      <c r="A52" s="7" t="str">
        <f t="shared" si="1"/>
        <v>2022 ALL D90</v>
      </c>
      <c r="B52" s="7">
        <f t="shared" si="4"/>
        <v>46114</v>
      </c>
      <c r="C52" s="7">
        <f t="shared" si="3"/>
        <v>46120</v>
      </c>
      <c r="D52" s="6">
        <v>3280</v>
      </c>
      <c r="E52" s="6">
        <v>337</v>
      </c>
      <c r="F52" s="6">
        <v>4</v>
      </c>
      <c r="G52" s="15">
        <v>1</v>
      </c>
      <c r="H52" s="15"/>
      <c r="I52" s="15" t="s">
        <v>1505</v>
      </c>
      <c r="J52" s="15">
        <v>33407448</v>
      </c>
      <c r="K52" s="15" t="s">
        <v>2646</v>
      </c>
      <c r="L52" s="15" t="s">
        <v>2649</v>
      </c>
      <c r="M52" s="15">
        <v>289900</v>
      </c>
      <c r="N52" s="9">
        <f t="shared" si="2"/>
        <v>0.9</v>
      </c>
      <c r="O52" s="8">
        <f t="shared" si="0"/>
        <v>28990</v>
      </c>
      <c r="P52" s="6" t="s">
        <v>15</v>
      </c>
    </row>
    <row r="53" spans="1:16" x14ac:dyDescent="0.25">
      <c r="A53" s="7" t="str">
        <f t="shared" si="1"/>
        <v>2022 ALL D90</v>
      </c>
      <c r="B53" s="7">
        <f t="shared" si="4"/>
        <v>46114</v>
      </c>
      <c r="C53" s="7">
        <f t="shared" si="3"/>
        <v>46120</v>
      </c>
      <c r="D53" s="6">
        <v>3280</v>
      </c>
      <c r="E53" s="6">
        <v>337</v>
      </c>
      <c r="F53" s="6">
        <v>4</v>
      </c>
      <c r="G53" s="15">
        <v>1</v>
      </c>
      <c r="H53" s="15"/>
      <c r="I53" s="15" t="s">
        <v>1505</v>
      </c>
      <c r="J53" s="15">
        <v>33407457</v>
      </c>
      <c r="K53" s="15" t="s">
        <v>2646</v>
      </c>
      <c r="L53" s="15" t="s">
        <v>2650</v>
      </c>
      <c r="M53" s="15">
        <v>289900</v>
      </c>
      <c r="N53" s="9">
        <f t="shared" si="2"/>
        <v>0.9</v>
      </c>
      <c r="O53" s="8">
        <f t="shared" si="0"/>
        <v>28990</v>
      </c>
      <c r="P53" s="6" t="s">
        <v>15</v>
      </c>
    </row>
    <row r="54" spans="1:16" x14ac:dyDescent="0.25">
      <c r="A54" s="7" t="str">
        <f t="shared" si="1"/>
        <v>2022 ALL D90</v>
      </c>
      <c r="B54" s="7">
        <f t="shared" si="4"/>
        <v>46114</v>
      </c>
      <c r="C54" s="7">
        <f t="shared" si="3"/>
        <v>46120</v>
      </c>
      <c r="D54" s="6">
        <v>3280</v>
      </c>
      <c r="E54" s="6">
        <v>337</v>
      </c>
      <c r="F54" s="6">
        <v>4</v>
      </c>
      <c r="G54" s="15">
        <v>1</v>
      </c>
      <c r="H54" s="15"/>
      <c r="I54" s="15" t="s">
        <v>1505</v>
      </c>
      <c r="J54" s="15">
        <v>33407466</v>
      </c>
      <c r="K54" s="15" t="s">
        <v>2646</v>
      </c>
      <c r="L54" s="15" t="s">
        <v>2651</v>
      </c>
      <c r="M54" s="15">
        <v>289900</v>
      </c>
      <c r="N54" s="9">
        <f t="shared" si="2"/>
        <v>0.9</v>
      </c>
      <c r="O54" s="8">
        <f t="shared" si="0"/>
        <v>28990</v>
      </c>
      <c r="P54" s="6" t="s">
        <v>15</v>
      </c>
    </row>
    <row r="55" spans="1:16" x14ac:dyDescent="0.25">
      <c r="A55" s="7" t="str">
        <f t="shared" si="1"/>
        <v>2022 ALL D90</v>
      </c>
      <c r="B55" s="7">
        <f t="shared" si="4"/>
        <v>46114</v>
      </c>
      <c r="C55" s="7">
        <f t="shared" si="3"/>
        <v>46120</v>
      </c>
      <c r="D55" s="6">
        <v>3280</v>
      </c>
      <c r="E55" s="6">
        <v>337</v>
      </c>
      <c r="F55" s="6">
        <v>4</v>
      </c>
      <c r="G55" s="15">
        <v>1</v>
      </c>
      <c r="H55" s="15"/>
      <c r="I55" s="15" t="s">
        <v>1505</v>
      </c>
      <c r="J55" s="15">
        <v>33407475</v>
      </c>
      <c r="K55" s="15" t="s">
        <v>2646</v>
      </c>
      <c r="L55" s="15" t="s">
        <v>2652</v>
      </c>
      <c r="M55" s="15">
        <v>289900</v>
      </c>
      <c r="N55" s="9">
        <f t="shared" si="2"/>
        <v>0.9</v>
      </c>
      <c r="O55" s="8">
        <f t="shared" si="0"/>
        <v>28990</v>
      </c>
      <c r="P55" s="6" t="s">
        <v>15</v>
      </c>
    </row>
    <row r="56" spans="1:16" x14ac:dyDescent="0.25">
      <c r="A56" s="7" t="str">
        <f t="shared" si="1"/>
        <v>2022 ALL D90</v>
      </c>
      <c r="B56" s="7">
        <f t="shared" si="4"/>
        <v>46114</v>
      </c>
      <c r="C56" s="7">
        <f t="shared" si="3"/>
        <v>46120</v>
      </c>
      <c r="D56" s="6">
        <v>3280</v>
      </c>
      <c r="E56" s="6">
        <v>337</v>
      </c>
      <c r="F56" s="6">
        <v>4</v>
      </c>
      <c r="G56" s="15">
        <v>1</v>
      </c>
      <c r="H56" s="15"/>
      <c r="I56" s="15" t="s">
        <v>1505</v>
      </c>
      <c r="J56" s="15">
        <v>33407484</v>
      </c>
      <c r="K56" s="15" t="s">
        <v>2653</v>
      </c>
      <c r="L56" s="15" t="s">
        <v>2654</v>
      </c>
      <c r="M56" s="15">
        <v>289900</v>
      </c>
      <c r="N56" s="9">
        <f t="shared" si="2"/>
        <v>0.9</v>
      </c>
      <c r="O56" s="8">
        <f t="shared" si="0"/>
        <v>28990</v>
      </c>
      <c r="P56" s="6" t="s">
        <v>15</v>
      </c>
    </row>
    <row r="57" spans="1:16" x14ac:dyDescent="0.25">
      <c r="A57" s="7" t="str">
        <f t="shared" si="1"/>
        <v>2022 ALL D90</v>
      </c>
      <c r="B57" s="7">
        <f t="shared" si="4"/>
        <v>46114</v>
      </c>
      <c r="C57" s="7">
        <f t="shared" si="3"/>
        <v>46120</v>
      </c>
      <c r="D57" s="6">
        <v>3280</v>
      </c>
      <c r="E57" s="6">
        <v>337</v>
      </c>
      <c r="F57" s="6">
        <v>4</v>
      </c>
      <c r="G57" s="15">
        <v>1</v>
      </c>
      <c r="H57" s="15"/>
      <c r="I57" s="15" t="s">
        <v>1505</v>
      </c>
      <c r="J57" s="15">
        <v>33407493</v>
      </c>
      <c r="K57" s="15" t="s">
        <v>2653</v>
      </c>
      <c r="L57" s="15" t="s">
        <v>2655</v>
      </c>
      <c r="M57" s="15">
        <v>289900</v>
      </c>
      <c r="N57" s="9">
        <f t="shared" si="2"/>
        <v>0.9</v>
      </c>
      <c r="O57" s="8">
        <f t="shared" si="0"/>
        <v>28990</v>
      </c>
      <c r="P57" s="6" t="s">
        <v>15</v>
      </c>
    </row>
    <row r="58" spans="1:16" x14ac:dyDescent="0.25">
      <c r="A58" s="7" t="str">
        <f t="shared" si="1"/>
        <v>2022 ALL D90</v>
      </c>
      <c r="B58" s="7">
        <f t="shared" si="4"/>
        <v>46114</v>
      </c>
      <c r="C58" s="7">
        <f t="shared" si="3"/>
        <v>46120</v>
      </c>
      <c r="D58" s="6">
        <v>3280</v>
      </c>
      <c r="E58" s="6">
        <v>337</v>
      </c>
      <c r="F58" s="6">
        <v>4</v>
      </c>
      <c r="G58" s="15">
        <v>1</v>
      </c>
      <c r="H58" s="15"/>
      <c r="I58" s="15" t="s">
        <v>1505</v>
      </c>
      <c r="J58" s="15">
        <v>33407500</v>
      </c>
      <c r="K58" s="15" t="s">
        <v>2653</v>
      </c>
      <c r="L58" s="15" t="s">
        <v>2656</v>
      </c>
      <c r="M58" s="15">
        <v>289900</v>
      </c>
      <c r="N58" s="9">
        <f t="shared" si="2"/>
        <v>0.9</v>
      </c>
      <c r="O58" s="8">
        <f t="shared" si="0"/>
        <v>28990</v>
      </c>
      <c r="P58" s="6" t="s">
        <v>15</v>
      </c>
    </row>
    <row r="59" spans="1:16" x14ac:dyDescent="0.25">
      <c r="A59" s="7" t="str">
        <f t="shared" si="1"/>
        <v>2022 ALL D90</v>
      </c>
      <c r="B59" s="7">
        <f t="shared" si="4"/>
        <v>46114</v>
      </c>
      <c r="C59" s="7">
        <f t="shared" si="3"/>
        <v>46120</v>
      </c>
      <c r="D59" s="6">
        <v>3280</v>
      </c>
      <c r="E59" s="6">
        <v>337</v>
      </c>
      <c r="F59" s="6">
        <v>4</v>
      </c>
      <c r="G59" s="15">
        <v>1</v>
      </c>
      <c r="H59" s="15"/>
      <c r="I59" s="15" t="s">
        <v>1505</v>
      </c>
      <c r="J59" s="15">
        <v>33407519</v>
      </c>
      <c r="K59" s="15" t="s">
        <v>2653</v>
      </c>
      <c r="L59" s="15" t="s">
        <v>2657</v>
      </c>
      <c r="M59" s="15">
        <v>289900</v>
      </c>
      <c r="N59" s="9">
        <f t="shared" si="2"/>
        <v>0.9</v>
      </c>
      <c r="O59" s="8">
        <f t="shared" si="0"/>
        <v>28990</v>
      </c>
      <c r="P59" s="6" t="s">
        <v>15</v>
      </c>
    </row>
    <row r="60" spans="1:16" x14ac:dyDescent="0.25">
      <c r="A60" s="7" t="str">
        <f t="shared" si="1"/>
        <v>2022 ALL D90</v>
      </c>
      <c r="B60" s="7">
        <f t="shared" si="4"/>
        <v>46114</v>
      </c>
      <c r="C60" s="7">
        <f t="shared" si="3"/>
        <v>46120</v>
      </c>
      <c r="D60" s="6">
        <v>3280</v>
      </c>
      <c r="E60" s="6">
        <v>337</v>
      </c>
      <c r="F60" s="6">
        <v>4</v>
      </c>
      <c r="G60" s="15">
        <v>1</v>
      </c>
      <c r="H60" s="15"/>
      <c r="I60" s="15" t="s">
        <v>1505</v>
      </c>
      <c r="J60" s="15">
        <v>33407528</v>
      </c>
      <c r="K60" s="15" t="s">
        <v>2653</v>
      </c>
      <c r="L60" s="15" t="s">
        <v>2658</v>
      </c>
      <c r="M60" s="15">
        <v>289900</v>
      </c>
      <c r="N60" s="9">
        <f t="shared" si="2"/>
        <v>0.9</v>
      </c>
      <c r="O60" s="8">
        <f t="shared" si="0"/>
        <v>28990</v>
      </c>
      <c r="P60" s="6" t="s">
        <v>15</v>
      </c>
    </row>
    <row r="61" spans="1:16" x14ac:dyDescent="0.25">
      <c r="A61" s="7" t="str">
        <f t="shared" si="1"/>
        <v>2022 ALL D90</v>
      </c>
      <c r="B61" s="7">
        <f t="shared" si="4"/>
        <v>46114</v>
      </c>
      <c r="C61" s="7">
        <f t="shared" si="3"/>
        <v>46120</v>
      </c>
      <c r="D61" s="6">
        <v>3280</v>
      </c>
      <c r="E61" s="6">
        <v>337</v>
      </c>
      <c r="F61" s="6">
        <v>4</v>
      </c>
      <c r="G61" s="15">
        <v>1</v>
      </c>
      <c r="H61" s="15"/>
      <c r="I61" s="15" t="s">
        <v>1505</v>
      </c>
      <c r="J61" s="15">
        <v>33407537</v>
      </c>
      <c r="K61" s="15" t="s">
        <v>2653</v>
      </c>
      <c r="L61" s="15" t="s">
        <v>2659</v>
      </c>
      <c r="M61" s="15">
        <v>289900</v>
      </c>
      <c r="N61" s="9">
        <f t="shared" si="2"/>
        <v>0.9</v>
      </c>
      <c r="O61" s="8">
        <f t="shared" si="0"/>
        <v>28990</v>
      </c>
      <c r="P61" s="6" t="s">
        <v>15</v>
      </c>
    </row>
    <row r="62" spans="1:16" x14ac:dyDescent="0.25">
      <c r="A62" s="7" t="str">
        <f t="shared" si="1"/>
        <v>2022 ALL D90</v>
      </c>
      <c r="B62" s="7">
        <f t="shared" si="4"/>
        <v>46114</v>
      </c>
      <c r="C62" s="7">
        <f t="shared" si="3"/>
        <v>46120</v>
      </c>
      <c r="D62" s="6">
        <v>3280</v>
      </c>
      <c r="E62" s="6">
        <v>337</v>
      </c>
      <c r="F62" s="6">
        <v>4</v>
      </c>
      <c r="G62" s="15">
        <v>1</v>
      </c>
      <c r="H62" s="15"/>
      <c r="I62" s="15" t="s">
        <v>1505</v>
      </c>
      <c r="J62" s="15">
        <v>33407546</v>
      </c>
      <c r="K62" s="15" t="s">
        <v>2660</v>
      </c>
      <c r="L62" s="15" t="s">
        <v>2661</v>
      </c>
      <c r="M62" s="15">
        <v>289900</v>
      </c>
      <c r="N62" s="9">
        <f t="shared" si="2"/>
        <v>0.9</v>
      </c>
      <c r="O62" s="8">
        <f t="shared" si="0"/>
        <v>28990</v>
      </c>
      <c r="P62" s="6" t="s">
        <v>15</v>
      </c>
    </row>
    <row r="63" spans="1:16" x14ac:dyDescent="0.25">
      <c r="A63" s="7" t="str">
        <f t="shared" si="1"/>
        <v>2022 ALL D90</v>
      </c>
      <c r="B63" s="7">
        <f t="shared" si="4"/>
        <v>46114</v>
      </c>
      <c r="C63" s="7">
        <f t="shared" si="3"/>
        <v>46120</v>
      </c>
      <c r="D63" s="6">
        <v>3280</v>
      </c>
      <c r="E63" s="6">
        <v>337</v>
      </c>
      <c r="F63" s="6">
        <v>4</v>
      </c>
      <c r="G63" s="15">
        <v>1</v>
      </c>
      <c r="H63" s="15"/>
      <c r="I63" s="15" t="s">
        <v>1505</v>
      </c>
      <c r="J63" s="15">
        <v>33407555</v>
      </c>
      <c r="K63" s="15" t="s">
        <v>2660</v>
      </c>
      <c r="L63" s="15" t="s">
        <v>2662</v>
      </c>
      <c r="M63" s="15">
        <v>289900</v>
      </c>
      <c r="N63" s="9">
        <f t="shared" si="2"/>
        <v>0.9</v>
      </c>
      <c r="O63" s="8">
        <f t="shared" si="0"/>
        <v>28990</v>
      </c>
      <c r="P63" s="6" t="s">
        <v>15</v>
      </c>
    </row>
    <row r="64" spans="1:16" x14ac:dyDescent="0.25">
      <c r="A64" s="7" t="str">
        <f t="shared" si="1"/>
        <v>2022 ALL D90</v>
      </c>
      <c r="B64" s="7">
        <f t="shared" si="4"/>
        <v>46114</v>
      </c>
      <c r="C64" s="7">
        <f t="shared" si="3"/>
        <v>46120</v>
      </c>
      <c r="D64" s="6">
        <v>3280</v>
      </c>
      <c r="E64" s="6">
        <v>337</v>
      </c>
      <c r="F64" s="6">
        <v>4</v>
      </c>
      <c r="G64" s="15">
        <v>1</v>
      </c>
      <c r="H64" s="15"/>
      <c r="I64" s="15" t="s">
        <v>1505</v>
      </c>
      <c r="J64" s="15">
        <v>33407564</v>
      </c>
      <c r="K64" s="15" t="s">
        <v>2660</v>
      </c>
      <c r="L64" s="15" t="s">
        <v>2663</v>
      </c>
      <c r="M64" s="15">
        <v>289900</v>
      </c>
      <c r="N64" s="9">
        <f t="shared" si="2"/>
        <v>0.9</v>
      </c>
      <c r="O64" s="8">
        <f t="shared" si="0"/>
        <v>28990</v>
      </c>
      <c r="P64" s="6" t="s">
        <v>15</v>
      </c>
    </row>
    <row r="65" spans="1:16" x14ac:dyDescent="0.25">
      <c r="A65" s="7" t="str">
        <f t="shared" si="1"/>
        <v>2022 ALL D90</v>
      </c>
      <c r="B65" s="7">
        <f t="shared" si="4"/>
        <v>46114</v>
      </c>
      <c r="C65" s="7">
        <f t="shared" si="3"/>
        <v>46120</v>
      </c>
      <c r="D65" s="6">
        <v>3280</v>
      </c>
      <c r="E65" s="6">
        <v>337</v>
      </c>
      <c r="F65" s="6">
        <v>4</v>
      </c>
      <c r="G65" s="15">
        <v>1</v>
      </c>
      <c r="H65" s="15"/>
      <c r="I65" s="15" t="s">
        <v>1505</v>
      </c>
      <c r="J65" s="15">
        <v>33407573</v>
      </c>
      <c r="K65" s="15" t="s">
        <v>2660</v>
      </c>
      <c r="L65" s="15" t="s">
        <v>2664</v>
      </c>
      <c r="M65" s="15">
        <v>289900</v>
      </c>
      <c r="N65" s="9">
        <f t="shared" si="2"/>
        <v>0.9</v>
      </c>
      <c r="O65" s="8">
        <f t="shared" si="0"/>
        <v>28990</v>
      </c>
      <c r="P65" s="6" t="s">
        <v>15</v>
      </c>
    </row>
    <row r="66" spans="1:16" x14ac:dyDescent="0.25">
      <c r="A66" s="7" t="str">
        <f t="shared" si="1"/>
        <v>2022 ALL D90</v>
      </c>
      <c r="B66" s="7">
        <f t="shared" si="4"/>
        <v>46114</v>
      </c>
      <c r="C66" s="7">
        <f t="shared" si="3"/>
        <v>46120</v>
      </c>
      <c r="D66" s="6">
        <v>3280</v>
      </c>
      <c r="E66" s="6">
        <v>337</v>
      </c>
      <c r="F66" s="6">
        <v>4</v>
      </c>
      <c r="G66" s="15">
        <v>1</v>
      </c>
      <c r="H66" s="15"/>
      <c r="I66" s="15" t="s">
        <v>1505</v>
      </c>
      <c r="J66" s="15">
        <v>33407582</v>
      </c>
      <c r="K66" s="15" t="s">
        <v>2660</v>
      </c>
      <c r="L66" s="15" t="s">
        <v>2665</v>
      </c>
      <c r="M66" s="15">
        <v>289900</v>
      </c>
      <c r="N66" s="9">
        <f t="shared" si="2"/>
        <v>0.9</v>
      </c>
      <c r="O66" s="8">
        <f t="shared" si="0"/>
        <v>28990</v>
      </c>
      <c r="P66" s="6" t="s">
        <v>15</v>
      </c>
    </row>
    <row r="67" spans="1:16" x14ac:dyDescent="0.25">
      <c r="A67" s="7" t="str">
        <f t="shared" si="1"/>
        <v>2022 ALL D90</v>
      </c>
      <c r="B67" s="7">
        <f t="shared" si="4"/>
        <v>46114</v>
      </c>
      <c r="C67" s="7">
        <f t="shared" si="3"/>
        <v>46120</v>
      </c>
      <c r="D67" s="6">
        <v>3280</v>
      </c>
      <c r="E67" s="6">
        <v>337</v>
      </c>
      <c r="F67" s="6">
        <v>4</v>
      </c>
      <c r="G67" s="15">
        <v>1</v>
      </c>
      <c r="H67" s="15"/>
      <c r="I67" s="15" t="s">
        <v>1505</v>
      </c>
      <c r="J67" s="15">
        <v>33407591</v>
      </c>
      <c r="K67" s="15" t="s">
        <v>2660</v>
      </c>
      <c r="L67" s="15" t="s">
        <v>2666</v>
      </c>
      <c r="M67" s="15">
        <v>289900</v>
      </c>
      <c r="N67" s="9">
        <f t="shared" si="2"/>
        <v>0.9</v>
      </c>
      <c r="O67" s="8">
        <f t="shared" ref="O67:O130" si="5">M67-((90*M67)/100)</f>
        <v>28990</v>
      </c>
      <c r="P67" s="6" t="s">
        <v>15</v>
      </c>
    </row>
    <row r="68" spans="1:16" x14ac:dyDescent="0.25">
      <c r="A68" s="7" t="str">
        <f t="shared" ref="A68:B131" si="6">A67</f>
        <v>2022 ALL D90</v>
      </c>
      <c r="B68" s="7">
        <f t="shared" si="4"/>
        <v>46114</v>
      </c>
      <c r="C68" s="7">
        <f t="shared" si="3"/>
        <v>46120</v>
      </c>
      <c r="D68" s="6">
        <v>3280</v>
      </c>
      <c r="E68" s="6">
        <v>337</v>
      </c>
      <c r="F68" s="6">
        <v>4</v>
      </c>
      <c r="G68" s="15">
        <v>1</v>
      </c>
      <c r="H68" s="15"/>
      <c r="I68" s="15" t="s">
        <v>1505</v>
      </c>
      <c r="J68" s="15">
        <v>33407608</v>
      </c>
      <c r="K68" s="15" t="s">
        <v>2667</v>
      </c>
      <c r="L68" s="15" t="s">
        <v>2668</v>
      </c>
      <c r="M68" s="15">
        <v>289900</v>
      </c>
      <c r="N68" s="9">
        <f t="shared" ref="N68:N131" si="7">N67</f>
        <v>0.9</v>
      </c>
      <c r="O68" s="8">
        <f t="shared" si="5"/>
        <v>28990</v>
      </c>
      <c r="P68" s="6" t="s">
        <v>15</v>
      </c>
    </row>
    <row r="69" spans="1:16" x14ac:dyDescent="0.25">
      <c r="A69" s="7" t="str">
        <f t="shared" si="6"/>
        <v>2022 ALL D90</v>
      </c>
      <c r="B69" s="7">
        <f t="shared" si="4"/>
        <v>46114</v>
      </c>
      <c r="C69" s="7">
        <f t="shared" si="3"/>
        <v>46120</v>
      </c>
      <c r="D69" s="6">
        <v>3280</v>
      </c>
      <c r="E69" s="6">
        <v>337</v>
      </c>
      <c r="F69" s="6">
        <v>4</v>
      </c>
      <c r="G69" s="15">
        <v>1</v>
      </c>
      <c r="H69" s="15"/>
      <c r="I69" s="15" t="s">
        <v>1505</v>
      </c>
      <c r="J69" s="15">
        <v>33407617</v>
      </c>
      <c r="K69" s="15" t="s">
        <v>2667</v>
      </c>
      <c r="L69" s="15" t="s">
        <v>2669</v>
      </c>
      <c r="M69" s="15">
        <v>289900</v>
      </c>
      <c r="N69" s="9">
        <f t="shared" si="7"/>
        <v>0.9</v>
      </c>
      <c r="O69" s="8">
        <f t="shared" si="5"/>
        <v>28990</v>
      </c>
      <c r="P69" s="6" t="s">
        <v>15</v>
      </c>
    </row>
    <row r="70" spans="1:16" x14ac:dyDescent="0.25">
      <c r="A70" s="7" t="str">
        <f t="shared" si="6"/>
        <v>2022 ALL D90</v>
      </c>
      <c r="B70" s="7">
        <f t="shared" si="4"/>
        <v>46114</v>
      </c>
      <c r="C70" s="7">
        <f t="shared" si="3"/>
        <v>46120</v>
      </c>
      <c r="D70" s="6">
        <v>3280</v>
      </c>
      <c r="E70" s="6">
        <v>337</v>
      </c>
      <c r="F70" s="6">
        <v>4</v>
      </c>
      <c r="G70" s="15">
        <v>1</v>
      </c>
      <c r="H70" s="15"/>
      <c r="I70" s="15" t="s">
        <v>1505</v>
      </c>
      <c r="J70" s="15">
        <v>33407626</v>
      </c>
      <c r="K70" s="15" t="s">
        <v>2667</v>
      </c>
      <c r="L70" s="15" t="s">
        <v>2670</v>
      </c>
      <c r="M70" s="15">
        <v>289900</v>
      </c>
      <c r="N70" s="9">
        <f t="shared" si="7"/>
        <v>0.9</v>
      </c>
      <c r="O70" s="8">
        <f t="shared" si="5"/>
        <v>28990</v>
      </c>
      <c r="P70" s="6" t="s">
        <v>15</v>
      </c>
    </row>
    <row r="71" spans="1:16" x14ac:dyDescent="0.25">
      <c r="A71" s="7" t="str">
        <f t="shared" si="6"/>
        <v>2022 ALL D90</v>
      </c>
      <c r="B71" s="7">
        <f t="shared" si="4"/>
        <v>46114</v>
      </c>
      <c r="C71" s="7">
        <f t="shared" si="3"/>
        <v>46120</v>
      </c>
      <c r="D71" s="6">
        <v>3280</v>
      </c>
      <c r="E71" s="6">
        <v>337</v>
      </c>
      <c r="F71" s="6">
        <v>4</v>
      </c>
      <c r="G71" s="15">
        <v>1</v>
      </c>
      <c r="H71" s="15"/>
      <c r="I71" s="15" t="s">
        <v>1505</v>
      </c>
      <c r="J71" s="15">
        <v>33407635</v>
      </c>
      <c r="K71" s="15" t="s">
        <v>2667</v>
      </c>
      <c r="L71" s="15" t="s">
        <v>2671</v>
      </c>
      <c r="M71" s="15">
        <v>289900</v>
      </c>
      <c r="N71" s="9">
        <f t="shared" si="7"/>
        <v>0.9</v>
      </c>
      <c r="O71" s="8">
        <f t="shared" si="5"/>
        <v>28990</v>
      </c>
      <c r="P71" s="6" t="s">
        <v>15</v>
      </c>
    </row>
    <row r="72" spans="1:16" x14ac:dyDescent="0.25">
      <c r="A72" s="7" t="str">
        <f t="shared" si="6"/>
        <v>2022 ALL D90</v>
      </c>
      <c r="B72" s="7">
        <f t="shared" si="4"/>
        <v>46114</v>
      </c>
      <c r="C72" s="7">
        <f t="shared" si="3"/>
        <v>46120</v>
      </c>
      <c r="D72" s="6">
        <v>3280</v>
      </c>
      <c r="E72" s="6">
        <v>337</v>
      </c>
      <c r="F72" s="6">
        <v>4</v>
      </c>
      <c r="G72" s="15">
        <v>1</v>
      </c>
      <c r="H72" s="15"/>
      <c r="I72" s="15" t="s">
        <v>1505</v>
      </c>
      <c r="J72" s="15">
        <v>33407644</v>
      </c>
      <c r="K72" s="15" t="s">
        <v>2667</v>
      </c>
      <c r="L72" s="15" t="s">
        <v>2672</v>
      </c>
      <c r="M72" s="15">
        <v>289900</v>
      </c>
      <c r="N72" s="9">
        <f t="shared" si="7"/>
        <v>0.9</v>
      </c>
      <c r="O72" s="8">
        <f t="shared" si="5"/>
        <v>28990</v>
      </c>
      <c r="P72" s="6" t="s">
        <v>15</v>
      </c>
    </row>
    <row r="73" spans="1:16" x14ac:dyDescent="0.25">
      <c r="A73" s="7" t="str">
        <f t="shared" si="6"/>
        <v>2022 ALL D90</v>
      </c>
      <c r="B73" s="7">
        <f t="shared" si="4"/>
        <v>46114</v>
      </c>
      <c r="C73" s="7">
        <f t="shared" si="3"/>
        <v>46120</v>
      </c>
      <c r="D73" s="6">
        <v>3280</v>
      </c>
      <c r="E73" s="6">
        <v>337</v>
      </c>
      <c r="F73" s="6">
        <v>4</v>
      </c>
      <c r="G73" s="15">
        <v>1</v>
      </c>
      <c r="H73" s="15"/>
      <c r="I73" s="15" t="s">
        <v>1505</v>
      </c>
      <c r="J73" s="15">
        <v>33407653</v>
      </c>
      <c r="K73" s="15" t="s">
        <v>2667</v>
      </c>
      <c r="L73" s="15" t="s">
        <v>2673</v>
      </c>
      <c r="M73" s="15">
        <v>289900</v>
      </c>
      <c r="N73" s="9">
        <f t="shared" si="7"/>
        <v>0.9</v>
      </c>
      <c r="O73" s="8">
        <f t="shared" si="5"/>
        <v>28990</v>
      </c>
      <c r="P73" s="6" t="s">
        <v>15</v>
      </c>
    </row>
    <row r="74" spans="1:16" x14ac:dyDescent="0.25">
      <c r="A74" s="7" t="str">
        <f t="shared" si="6"/>
        <v>2022 ALL D90</v>
      </c>
      <c r="B74" s="7">
        <f t="shared" si="4"/>
        <v>46114</v>
      </c>
      <c r="C74" s="7">
        <f t="shared" si="3"/>
        <v>46120</v>
      </c>
      <c r="D74" s="6">
        <v>3280</v>
      </c>
      <c r="E74" s="6">
        <v>337</v>
      </c>
      <c r="F74" s="6">
        <v>4</v>
      </c>
      <c r="G74" s="15">
        <v>1</v>
      </c>
      <c r="H74" s="15"/>
      <c r="I74" s="15" t="s">
        <v>1505</v>
      </c>
      <c r="J74" s="15">
        <v>33407662</v>
      </c>
      <c r="K74" s="15" t="s">
        <v>2674</v>
      </c>
      <c r="L74" s="15" t="s">
        <v>2675</v>
      </c>
      <c r="M74" s="15">
        <v>289900</v>
      </c>
      <c r="N74" s="9">
        <f t="shared" si="7"/>
        <v>0.9</v>
      </c>
      <c r="O74" s="8">
        <f t="shared" si="5"/>
        <v>28990</v>
      </c>
      <c r="P74" s="6" t="s">
        <v>15</v>
      </c>
    </row>
    <row r="75" spans="1:16" x14ac:dyDescent="0.25">
      <c r="A75" s="7" t="str">
        <f t="shared" si="6"/>
        <v>2022 ALL D90</v>
      </c>
      <c r="B75" s="7">
        <f t="shared" si="4"/>
        <v>46114</v>
      </c>
      <c r="C75" s="7">
        <f t="shared" si="3"/>
        <v>46120</v>
      </c>
      <c r="D75" s="6">
        <v>3280</v>
      </c>
      <c r="E75" s="6">
        <v>337</v>
      </c>
      <c r="F75" s="6">
        <v>4</v>
      </c>
      <c r="G75" s="15">
        <v>1</v>
      </c>
      <c r="H75" s="15"/>
      <c r="I75" s="15" t="s">
        <v>1505</v>
      </c>
      <c r="J75" s="15">
        <v>33407671</v>
      </c>
      <c r="K75" s="15" t="s">
        <v>2674</v>
      </c>
      <c r="L75" s="15" t="s">
        <v>2676</v>
      </c>
      <c r="M75" s="15">
        <v>289900</v>
      </c>
      <c r="N75" s="9">
        <f t="shared" si="7"/>
        <v>0.9</v>
      </c>
      <c r="O75" s="8">
        <f t="shared" si="5"/>
        <v>28990</v>
      </c>
      <c r="P75" s="6" t="s">
        <v>15</v>
      </c>
    </row>
    <row r="76" spans="1:16" x14ac:dyDescent="0.25">
      <c r="A76" s="7" t="str">
        <f t="shared" si="6"/>
        <v>2022 ALL D90</v>
      </c>
      <c r="B76" s="7">
        <f t="shared" si="4"/>
        <v>46114</v>
      </c>
      <c r="C76" s="7">
        <f t="shared" si="3"/>
        <v>46120</v>
      </c>
      <c r="D76" s="6">
        <v>3280</v>
      </c>
      <c r="E76" s="6">
        <v>337</v>
      </c>
      <c r="F76" s="6">
        <v>4</v>
      </c>
      <c r="G76" s="15">
        <v>1</v>
      </c>
      <c r="H76" s="15"/>
      <c r="I76" s="15" t="s">
        <v>1505</v>
      </c>
      <c r="J76" s="15">
        <v>33407680</v>
      </c>
      <c r="K76" s="15" t="s">
        <v>2674</v>
      </c>
      <c r="L76" s="15" t="s">
        <v>2677</v>
      </c>
      <c r="M76" s="15">
        <v>289900</v>
      </c>
      <c r="N76" s="9">
        <f t="shared" si="7"/>
        <v>0.9</v>
      </c>
      <c r="O76" s="8">
        <f t="shared" si="5"/>
        <v>28990</v>
      </c>
      <c r="P76" s="6" t="s">
        <v>15</v>
      </c>
    </row>
    <row r="77" spans="1:16" x14ac:dyDescent="0.25">
      <c r="A77" s="7" t="str">
        <f t="shared" si="6"/>
        <v>2022 ALL D90</v>
      </c>
      <c r="B77" s="7">
        <f t="shared" si="4"/>
        <v>46114</v>
      </c>
      <c r="C77" s="7">
        <f t="shared" si="3"/>
        <v>46120</v>
      </c>
      <c r="D77" s="6">
        <v>3280</v>
      </c>
      <c r="E77" s="6">
        <v>337</v>
      </c>
      <c r="F77" s="6">
        <v>4</v>
      </c>
      <c r="G77" s="15">
        <v>1</v>
      </c>
      <c r="H77" s="15"/>
      <c r="I77" s="15" t="s">
        <v>1505</v>
      </c>
      <c r="J77" s="15">
        <v>33407699</v>
      </c>
      <c r="K77" s="15" t="s">
        <v>2674</v>
      </c>
      <c r="L77" s="15" t="s">
        <v>2678</v>
      </c>
      <c r="M77" s="15">
        <v>289900</v>
      </c>
      <c r="N77" s="9">
        <f t="shared" si="7"/>
        <v>0.9</v>
      </c>
      <c r="O77" s="8">
        <f t="shared" si="5"/>
        <v>28990</v>
      </c>
      <c r="P77" s="6" t="s">
        <v>15</v>
      </c>
    </row>
    <row r="78" spans="1:16" x14ac:dyDescent="0.25">
      <c r="A78" s="7" t="str">
        <f t="shared" si="6"/>
        <v>2022 ALL D90</v>
      </c>
      <c r="B78" s="7">
        <f t="shared" si="4"/>
        <v>46114</v>
      </c>
      <c r="C78" s="7">
        <f t="shared" si="3"/>
        <v>46120</v>
      </c>
      <c r="D78" s="6">
        <v>3280</v>
      </c>
      <c r="E78" s="6">
        <v>337</v>
      </c>
      <c r="F78" s="6">
        <v>4</v>
      </c>
      <c r="G78" s="15">
        <v>1</v>
      </c>
      <c r="H78" s="15"/>
      <c r="I78" s="15" t="s">
        <v>1505</v>
      </c>
      <c r="J78" s="15">
        <v>33407706</v>
      </c>
      <c r="K78" s="15" t="s">
        <v>2674</v>
      </c>
      <c r="L78" s="15" t="s">
        <v>2679</v>
      </c>
      <c r="M78" s="15">
        <v>289900</v>
      </c>
      <c r="N78" s="9">
        <f t="shared" si="7"/>
        <v>0.9</v>
      </c>
      <c r="O78" s="8">
        <f t="shared" si="5"/>
        <v>28990</v>
      </c>
      <c r="P78" s="6" t="s">
        <v>15</v>
      </c>
    </row>
    <row r="79" spans="1:16" x14ac:dyDescent="0.25">
      <c r="A79" s="7" t="str">
        <f t="shared" si="6"/>
        <v>2022 ALL D90</v>
      </c>
      <c r="B79" s="7">
        <f t="shared" si="4"/>
        <v>46114</v>
      </c>
      <c r="C79" s="7">
        <f t="shared" si="3"/>
        <v>46120</v>
      </c>
      <c r="D79" s="6">
        <v>3280</v>
      </c>
      <c r="E79" s="6">
        <v>337</v>
      </c>
      <c r="F79" s="6">
        <v>4</v>
      </c>
      <c r="G79" s="15">
        <v>1</v>
      </c>
      <c r="H79" s="15"/>
      <c r="I79" s="15" t="s">
        <v>1505</v>
      </c>
      <c r="J79" s="15">
        <v>33407715</v>
      </c>
      <c r="K79" s="15" t="s">
        <v>2674</v>
      </c>
      <c r="L79" s="15" t="s">
        <v>2680</v>
      </c>
      <c r="M79" s="15">
        <v>289900</v>
      </c>
      <c r="N79" s="9">
        <f t="shared" si="7"/>
        <v>0.9</v>
      </c>
      <c r="O79" s="8">
        <f t="shared" si="5"/>
        <v>28990</v>
      </c>
      <c r="P79" s="6" t="s">
        <v>15</v>
      </c>
    </row>
    <row r="80" spans="1:16" x14ac:dyDescent="0.25">
      <c r="A80" s="7" t="str">
        <f t="shared" si="6"/>
        <v>2022 ALL D90</v>
      </c>
      <c r="B80" s="7">
        <f t="shared" si="4"/>
        <v>46114</v>
      </c>
      <c r="C80" s="7">
        <f t="shared" si="3"/>
        <v>46120</v>
      </c>
      <c r="D80" s="6">
        <v>3280</v>
      </c>
      <c r="E80" s="6">
        <v>337</v>
      </c>
      <c r="F80" s="6">
        <v>4</v>
      </c>
      <c r="G80" s="15">
        <v>1</v>
      </c>
      <c r="H80" s="15"/>
      <c r="I80" s="15" t="s">
        <v>1505</v>
      </c>
      <c r="J80" s="15">
        <v>33407724</v>
      </c>
      <c r="K80" s="15" t="s">
        <v>2681</v>
      </c>
      <c r="L80" s="15" t="s">
        <v>2682</v>
      </c>
      <c r="M80" s="15">
        <v>289900</v>
      </c>
      <c r="N80" s="9">
        <f t="shared" si="7"/>
        <v>0.9</v>
      </c>
      <c r="O80" s="8">
        <f t="shared" si="5"/>
        <v>28990</v>
      </c>
      <c r="P80" s="6" t="s">
        <v>15</v>
      </c>
    </row>
    <row r="81" spans="1:16" x14ac:dyDescent="0.25">
      <c r="A81" s="7" t="str">
        <f t="shared" si="6"/>
        <v>2022 ALL D90</v>
      </c>
      <c r="B81" s="7">
        <f t="shared" si="4"/>
        <v>46114</v>
      </c>
      <c r="C81" s="7">
        <f t="shared" si="3"/>
        <v>46120</v>
      </c>
      <c r="D81" s="6">
        <v>3280</v>
      </c>
      <c r="E81" s="6">
        <v>337</v>
      </c>
      <c r="F81" s="6">
        <v>4</v>
      </c>
      <c r="G81" s="15">
        <v>1</v>
      </c>
      <c r="H81" s="15"/>
      <c r="I81" s="15" t="s">
        <v>1505</v>
      </c>
      <c r="J81" s="15">
        <v>33407733</v>
      </c>
      <c r="K81" s="15" t="s">
        <v>2681</v>
      </c>
      <c r="L81" s="15" t="s">
        <v>2683</v>
      </c>
      <c r="M81" s="15">
        <v>289900</v>
      </c>
      <c r="N81" s="9">
        <f t="shared" si="7"/>
        <v>0.9</v>
      </c>
      <c r="O81" s="8">
        <f t="shared" si="5"/>
        <v>28990</v>
      </c>
      <c r="P81" s="6" t="s">
        <v>15</v>
      </c>
    </row>
    <row r="82" spans="1:16" x14ac:dyDescent="0.25">
      <c r="A82" s="7" t="str">
        <f t="shared" si="6"/>
        <v>2022 ALL D90</v>
      </c>
      <c r="B82" s="7">
        <f t="shared" si="4"/>
        <v>46114</v>
      </c>
      <c r="C82" s="7">
        <f t="shared" si="3"/>
        <v>46120</v>
      </c>
      <c r="D82" s="6">
        <v>3280</v>
      </c>
      <c r="E82" s="6">
        <v>337</v>
      </c>
      <c r="F82" s="6">
        <v>4</v>
      </c>
      <c r="G82" s="15">
        <v>1</v>
      </c>
      <c r="H82" s="15"/>
      <c r="I82" s="15" t="s">
        <v>1505</v>
      </c>
      <c r="J82" s="15">
        <v>33407742</v>
      </c>
      <c r="K82" s="15" t="s">
        <v>2681</v>
      </c>
      <c r="L82" s="15" t="s">
        <v>2684</v>
      </c>
      <c r="M82" s="15">
        <v>289900</v>
      </c>
      <c r="N82" s="9">
        <f t="shared" si="7"/>
        <v>0.9</v>
      </c>
      <c r="O82" s="8">
        <f t="shared" si="5"/>
        <v>28990</v>
      </c>
      <c r="P82" s="6" t="s">
        <v>15</v>
      </c>
    </row>
    <row r="83" spans="1:16" x14ac:dyDescent="0.25">
      <c r="A83" s="7" t="str">
        <f t="shared" si="6"/>
        <v>2022 ALL D90</v>
      </c>
      <c r="B83" s="7">
        <f t="shared" si="4"/>
        <v>46114</v>
      </c>
      <c r="C83" s="7">
        <f t="shared" si="3"/>
        <v>46120</v>
      </c>
      <c r="D83" s="6">
        <v>3280</v>
      </c>
      <c r="E83" s="6">
        <v>337</v>
      </c>
      <c r="F83" s="6">
        <v>4</v>
      </c>
      <c r="G83" s="15">
        <v>1</v>
      </c>
      <c r="H83" s="15"/>
      <c r="I83" s="15" t="s">
        <v>1505</v>
      </c>
      <c r="J83" s="15">
        <v>33407751</v>
      </c>
      <c r="K83" s="15" t="s">
        <v>2681</v>
      </c>
      <c r="L83" s="15" t="s">
        <v>2685</v>
      </c>
      <c r="M83" s="15">
        <v>289900</v>
      </c>
      <c r="N83" s="9">
        <f t="shared" si="7"/>
        <v>0.9</v>
      </c>
      <c r="O83" s="8">
        <f t="shared" si="5"/>
        <v>28990</v>
      </c>
      <c r="P83" s="6" t="s">
        <v>15</v>
      </c>
    </row>
    <row r="84" spans="1:16" x14ac:dyDescent="0.25">
      <c r="A84" s="7" t="str">
        <f t="shared" si="6"/>
        <v>2022 ALL D90</v>
      </c>
      <c r="B84" s="7">
        <f t="shared" si="4"/>
        <v>46114</v>
      </c>
      <c r="C84" s="7">
        <f t="shared" si="3"/>
        <v>46120</v>
      </c>
      <c r="D84" s="6">
        <v>3280</v>
      </c>
      <c r="E84" s="6">
        <v>337</v>
      </c>
      <c r="F84" s="6">
        <v>4</v>
      </c>
      <c r="G84" s="15">
        <v>1</v>
      </c>
      <c r="H84" s="15"/>
      <c r="I84" s="15" t="s">
        <v>1505</v>
      </c>
      <c r="J84" s="15">
        <v>33407760</v>
      </c>
      <c r="K84" s="15" t="s">
        <v>2681</v>
      </c>
      <c r="L84" s="15" t="s">
        <v>2686</v>
      </c>
      <c r="M84" s="15">
        <v>289900</v>
      </c>
      <c r="N84" s="9">
        <f t="shared" si="7"/>
        <v>0.9</v>
      </c>
      <c r="O84" s="8">
        <f t="shared" si="5"/>
        <v>28990</v>
      </c>
      <c r="P84" s="6" t="s">
        <v>15</v>
      </c>
    </row>
    <row r="85" spans="1:16" x14ac:dyDescent="0.25">
      <c r="A85" s="7" t="str">
        <f t="shared" si="6"/>
        <v>2022 ALL D90</v>
      </c>
      <c r="B85" s="7">
        <f t="shared" si="4"/>
        <v>46114</v>
      </c>
      <c r="C85" s="7">
        <f t="shared" si="3"/>
        <v>46120</v>
      </c>
      <c r="D85" s="6">
        <v>3280</v>
      </c>
      <c r="E85" s="6">
        <v>337</v>
      </c>
      <c r="F85" s="6">
        <v>4</v>
      </c>
      <c r="G85" s="15">
        <v>1</v>
      </c>
      <c r="H85" s="15"/>
      <c r="I85" s="15" t="s">
        <v>1505</v>
      </c>
      <c r="J85" s="15">
        <v>33407779</v>
      </c>
      <c r="K85" s="15" t="s">
        <v>2681</v>
      </c>
      <c r="L85" s="15" t="s">
        <v>2687</v>
      </c>
      <c r="M85" s="15">
        <v>289900</v>
      </c>
      <c r="N85" s="9">
        <f t="shared" si="7"/>
        <v>0.9</v>
      </c>
      <c r="O85" s="8">
        <f t="shared" si="5"/>
        <v>28990</v>
      </c>
      <c r="P85" s="6" t="s">
        <v>15</v>
      </c>
    </row>
    <row r="86" spans="1:16" x14ac:dyDescent="0.25">
      <c r="A86" s="7" t="str">
        <f t="shared" si="6"/>
        <v>2022 ALL D90</v>
      </c>
      <c r="B86" s="7">
        <f t="shared" si="4"/>
        <v>46114</v>
      </c>
      <c r="C86" s="7">
        <f t="shared" si="3"/>
        <v>46120</v>
      </c>
      <c r="D86" s="6">
        <v>3280</v>
      </c>
      <c r="E86" s="6">
        <v>337</v>
      </c>
      <c r="F86" s="6">
        <v>4</v>
      </c>
      <c r="G86" s="15">
        <v>1</v>
      </c>
      <c r="H86" s="15"/>
      <c r="I86" s="15" t="s">
        <v>1505</v>
      </c>
      <c r="J86" s="15">
        <v>57638289</v>
      </c>
      <c r="K86" s="15" t="s">
        <v>2688</v>
      </c>
      <c r="L86" s="15" t="s">
        <v>2689</v>
      </c>
      <c r="M86" s="15">
        <v>289900</v>
      </c>
      <c r="N86" s="9">
        <f t="shared" si="7"/>
        <v>0.9</v>
      </c>
      <c r="O86" s="8">
        <f t="shared" si="5"/>
        <v>28990</v>
      </c>
      <c r="P86" s="6" t="s">
        <v>15</v>
      </c>
    </row>
    <row r="87" spans="1:16" x14ac:dyDescent="0.25">
      <c r="A87" s="7" t="str">
        <f t="shared" si="6"/>
        <v>2022 ALL D90</v>
      </c>
      <c r="B87" s="7">
        <f t="shared" si="4"/>
        <v>46114</v>
      </c>
      <c r="C87" s="7">
        <f t="shared" si="3"/>
        <v>46120</v>
      </c>
      <c r="D87" s="6">
        <v>3280</v>
      </c>
      <c r="E87" s="6">
        <v>337</v>
      </c>
      <c r="F87" s="6">
        <v>4</v>
      </c>
      <c r="G87" s="15">
        <v>1</v>
      </c>
      <c r="H87" s="15"/>
      <c r="I87" s="15" t="s">
        <v>1505</v>
      </c>
      <c r="J87" s="15">
        <v>57638298</v>
      </c>
      <c r="K87" s="15" t="s">
        <v>2688</v>
      </c>
      <c r="L87" s="15" t="s">
        <v>2690</v>
      </c>
      <c r="M87" s="15">
        <v>289900</v>
      </c>
      <c r="N87" s="9">
        <f t="shared" si="7"/>
        <v>0.9</v>
      </c>
      <c r="O87" s="8">
        <f t="shared" si="5"/>
        <v>28990</v>
      </c>
      <c r="P87" s="6" t="s">
        <v>15</v>
      </c>
    </row>
    <row r="88" spans="1:16" x14ac:dyDescent="0.25">
      <c r="A88" s="7" t="str">
        <f t="shared" si="6"/>
        <v>2022 ALL D90</v>
      </c>
      <c r="B88" s="7">
        <f t="shared" si="4"/>
        <v>46114</v>
      </c>
      <c r="C88" s="7">
        <f t="shared" si="3"/>
        <v>46120</v>
      </c>
      <c r="D88" s="6">
        <v>3280</v>
      </c>
      <c r="E88" s="6">
        <v>337</v>
      </c>
      <c r="F88" s="6">
        <v>4</v>
      </c>
      <c r="G88" s="15">
        <v>1</v>
      </c>
      <c r="H88" s="15"/>
      <c r="I88" s="15" t="s">
        <v>1505</v>
      </c>
      <c r="J88" s="15">
        <v>57638305</v>
      </c>
      <c r="K88" s="15" t="s">
        <v>2688</v>
      </c>
      <c r="L88" s="15" t="s">
        <v>2691</v>
      </c>
      <c r="M88" s="15">
        <v>289900</v>
      </c>
      <c r="N88" s="9">
        <f t="shared" si="7"/>
        <v>0.9</v>
      </c>
      <c r="O88" s="8">
        <f t="shared" si="5"/>
        <v>28990</v>
      </c>
      <c r="P88" s="6" t="s">
        <v>15</v>
      </c>
    </row>
    <row r="89" spans="1:16" x14ac:dyDescent="0.25">
      <c r="A89" s="7" t="str">
        <f t="shared" si="6"/>
        <v>2022 ALL D90</v>
      </c>
      <c r="B89" s="7">
        <f t="shared" si="4"/>
        <v>46114</v>
      </c>
      <c r="C89" s="7">
        <f t="shared" si="3"/>
        <v>46120</v>
      </c>
      <c r="D89" s="6">
        <v>3280</v>
      </c>
      <c r="E89" s="6">
        <v>337</v>
      </c>
      <c r="F89" s="6">
        <v>4</v>
      </c>
      <c r="G89" s="15">
        <v>1</v>
      </c>
      <c r="H89" s="15"/>
      <c r="I89" s="15" t="s">
        <v>1505</v>
      </c>
      <c r="J89" s="15">
        <v>57638314</v>
      </c>
      <c r="K89" s="15" t="s">
        <v>2688</v>
      </c>
      <c r="L89" s="15" t="s">
        <v>2692</v>
      </c>
      <c r="M89" s="15">
        <v>289900</v>
      </c>
      <c r="N89" s="9">
        <f t="shared" si="7"/>
        <v>0.9</v>
      </c>
      <c r="O89" s="8">
        <f t="shared" si="5"/>
        <v>28990</v>
      </c>
      <c r="P89" s="6" t="s">
        <v>15</v>
      </c>
    </row>
    <row r="90" spans="1:16" x14ac:dyDescent="0.25">
      <c r="A90" s="7" t="str">
        <f t="shared" si="6"/>
        <v>2022 ALL D90</v>
      </c>
      <c r="B90" s="7">
        <f t="shared" si="4"/>
        <v>46114</v>
      </c>
      <c r="C90" s="7">
        <f t="shared" si="3"/>
        <v>46120</v>
      </c>
      <c r="D90" s="6">
        <v>3280</v>
      </c>
      <c r="E90" s="6">
        <v>337</v>
      </c>
      <c r="F90" s="6">
        <v>4</v>
      </c>
      <c r="G90" s="15">
        <v>1</v>
      </c>
      <c r="H90" s="15"/>
      <c r="I90" s="15" t="s">
        <v>1505</v>
      </c>
      <c r="J90" s="15">
        <v>57638323</v>
      </c>
      <c r="K90" s="15" t="s">
        <v>2688</v>
      </c>
      <c r="L90" s="15" t="s">
        <v>2693</v>
      </c>
      <c r="M90" s="15">
        <v>289900</v>
      </c>
      <c r="N90" s="9">
        <f t="shared" si="7"/>
        <v>0.9</v>
      </c>
      <c r="O90" s="8">
        <f t="shared" si="5"/>
        <v>28990</v>
      </c>
      <c r="P90" s="6" t="s">
        <v>15</v>
      </c>
    </row>
    <row r="91" spans="1:16" x14ac:dyDescent="0.25">
      <c r="A91" s="7" t="str">
        <f t="shared" si="6"/>
        <v>2022 ALL D90</v>
      </c>
      <c r="B91" s="7">
        <f t="shared" si="4"/>
        <v>46114</v>
      </c>
      <c r="C91" s="7">
        <f t="shared" si="3"/>
        <v>46120</v>
      </c>
      <c r="D91" s="6">
        <v>3280</v>
      </c>
      <c r="E91" s="6">
        <v>337</v>
      </c>
      <c r="F91" s="6">
        <v>4</v>
      </c>
      <c r="G91" s="15">
        <v>1</v>
      </c>
      <c r="H91" s="15"/>
      <c r="I91" s="15" t="s">
        <v>1505</v>
      </c>
      <c r="J91" s="15">
        <v>57638332</v>
      </c>
      <c r="K91" s="15" t="s">
        <v>2688</v>
      </c>
      <c r="L91" s="15" t="s">
        <v>2694</v>
      </c>
      <c r="M91" s="15">
        <v>289900</v>
      </c>
      <c r="N91" s="9">
        <f t="shared" si="7"/>
        <v>0.9</v>
      </c>
      <c r="O91" s="8">
        <f t="shared" si="5"/>
        <v>28990</v>
      </c>
      <c r="P91" s="6" t="s">
        <v>15</v>
      </c>
    </row>
    <row r="92" spans="1:16" x14ac:dyDescent="0.25">
      <c r="A92" s="7" t="str">
        <f t="shared" si="6"/>
        <v>2022 ALL D90</v>
      </c>
      <c r="B92" s="7">
        <f t="shared" si="4"/>
        <v>46114</v>
      </c>
      <c r="C92" s="7">
        <f t="shared" si="3"/>
        <v>46120</v>
      </c>
      <c r="D92" s="6">
        <v>3280</v>
      </c>
      <c r="E92" s="6">
        <v>337</v>
      </c>
      <c r="F92" s="6">
        <v>4</v>
      </c>
      <c r="G92" s="15">
        <v>1</v>
      </c>
      <c r="H92" s="15"/>
      <c r="I92" s="15" t="s">
        <v>1505</v>
      </c>
      <c r="J92" s="15">
        <v>57638341</v>
      </c>
      <c r="K92" s="15" t="s">
        <v>2695</v>
      </c>
      <c r="L92" s="15" t="s">
        <v>2696</v>
      </c>
      <c r="M92" s="15">
        <v>289900</v>
      </c>
      <c r="N92" s="9">
        <f t="shared" si="7"/>
        <v>0.9</v>
      </c>
      <c r="O92" s="8">
        <f t="shared" si="5"/>
        <v>28990</v>
      </c>
      <c r="P92" s="6" t="s">
        <v>15</v>
      </c>
    </row>
    <row r="93" spans="1:16" x14ac:dyDescent="0.25">
      <c r="A93" s="7" t="str">
        <f t="shared" si="6"/>
        <v>2022 ALL D90</v>
      </c>
      <c r="B93" s="7">
        <f t="shared" si="4"/>
        <v>46114</v>
      </c>
      <c r="C93" s="7">
        <f t="shared" si="3"/>
        <v>46120</v>
      </c>
      <c r="D93" s="6">
        <v>3280</v>
      </c>
      <c r="E93" s="6">
        <v>337</v>
      </c>
      <c r="F93" s="6">
        <v>4</v>
      </c>
      <c r="G93" s="15">
        <v>1</v>
      </c>
      <c r="H93" s="15"/>
      <c r="I93" s="15" t="s">
        <v>1505</v>
      </c>
      <c r="J93" s="15">
        <v>57638350</v>
      </c>
      <c r="K93" s="15" t="s">
        <v>2695</v>
      </c>
      <c r="L93" s="15" t="s">
        <v>2697</v>
      </c>
      <c r="M93" s="15">
        <v>289900</v>
      </c>
      <c r="N93" s="9">
        <f t="shared" si="7"/>
        <v>0.9</v>
      </c>
      <c r="O93" s="8">
        <f t="shared" si="5"/>
        <v>28990</v>
      </c>
      <c r="P93" s="6" t="s">
        <v>15</v>
      </c>
    </row>
    <row r="94" spans="1:16" x14ac:dyDescent="0.25">
      <c r="A94" s="7" t="str">
        <f t="shared" si="6"/>
        <v>2022 ALL D90</v>
      </c>
      <c r="B94" s="7">
        <f t="shared" si="4"/>
        <v>46114</v>
      </c>
      <c r="C94" s="7">
        <f t="shared" si="3"/>
        <v>46120</v>
      </c>
      <c r="D94" s="6">
        <v>3280</v>
      </c>
      <c r="E94" s="6">
        <v>337</v>
      </c>
      <c r="F94" s="6">
        <v>4</v>
      </c>
      <c r="G94" s="15">
        <v>1</v>
      </c>
      <c r="H94" s="15"/>
      <c r="I94" s="15" t="s">
        <v>1505</v>
      </c>
      <c r="J94" s="15">
        <v>57638369</v>
      </c>
      <c r="K94" s="15" t="s">
        <v>2695</v>
      </c>
      <c r="L94" s="15" t="s">
        <v>2698</v>
      </c>
      <c r="M94" s="15">
        <v>289900</v>
      </c>
      <c r="N94" s="9">
        <f t="shared" si="7"/>
        <v>0.9</v>
      </c>
      <c r="O94" s="8">
        <f t="shared" si="5"/>
        <v>28990</v>
      </c>
      <c r="P94" s="6" t="s">
        <v>15</v>
      </c>
    </row>
    <row r="95" spans="1:16" x14ac:dyDescent="0.25">
      <c r="A95" s="7" t="str">
        <f t="shared" si="6"/>
        <v>2022 ALL D90</v>
      </c>
      <c r="B95" s="7">
        <f t="shared" si="4"/>
        <v>46114</v>
      </c>
      <c r="C95" s="7">
        <f t="shared" si="3"/>
        <v>46120</v>
      </c>
      <c r="D95" s="6">
        <v>3280</v>
      </c>
      <c r="E95" s="6">
        <v>337</v>
      </c>
      <c r="F95" s="6">
        <v>4</v>
      </c>
      <c r="G95" s="15">
        <v>1</v>
      </c>
      <c r="H95" s="15"/>
      <c r="I95" s="15" t="s">
        <v>1505</v>
      </c>
      <c r="J95" s="15">
        <v>57638378</v>
      </c>
      <c r="K95" s="15" t="s">
        <v>2695</v>
      </c>
      <c r="L95" s="15" t="s">
        <v>2699</v>
      </c>
      <c r="M95" s="15">
        <v>289900</v>
      </c>
      <c r="N95" s="9">
        <f t="shared" si="7"/>
        <v>0.9</v>
      </c>
      <c r="O95" s="8">
        <f t="shared" si="5"/>
        <v>28990</v>
      </c>
      <c r="P95" s="6" t="s">
        <v>15</v>
      </c>
    </row>
    <row r="96" spans="1:16" x14ac:dyDescent="0.25">
      <c r="A96" s="7" t="str">
        <f t="shared" si="6"/>
        <v>2022 ALL D90</v>
      </c>
      <c r="B96" s="7">
        <f t="shared" si="4"/>
        <v>46114</v>
      </c>
      <c r="C96" s="7">
        <f t="shared" si="3"/>
        <v>46120</v>
      </c>
      <c r="D96" s="6">
        <v>3280</v>
      </c>
      <c r="E96" s="6">
        <v>337</v>
      </c>
      <c r="F96" s="6">
        <v>4</v>
      </c>
      <c r="G96" s="15">
        <v>1</v>
      </c>
      <c r="H96" s="15"/>
      <c r="I96" s="15" t="s">
        <v>1505</v>
      </c>
      <c r="J96" s="15">
        <v>57638387</v>
      </c>
      <c r="K96" s="15" t="s">
        <v>2695</v>
      </c>
      <c r="L96" s="15" t="s">
        <v>2700</v>
      </c>
      <c r="M96" s="15">
        <v>289900</v>
      </c>
      <c r="N96" s="9">
        <f t="shared" si="7"/>
        <v>0.9</v>
      </c>
      <c r="O96" s="8">
        <f t="shared" si="5"/>
        <v>28990</v>
      </c>
      <c r="P96" s="6" t="s">
        <v>15</v>
      </c>
    </row>
    <row r="97" spans="1:16" x14ac:dyDescent="0.25">
      <c r="A97" s="7" t="str">
        <f t="shared" si="6"/>
        <v>2022 ALL D90</v>
      </c>
      <c r="B97" s="7">
        <f t="shared" si="4"/>
        <v>46114</v>
      </c>
      <c r="C97" s="7">
        <f t="shared" si="3"/>
        <v>46120</v>
      </c>
      <c r="D97" s="6">
        <v>3280</v>
      </c>
      <c r="E97" s="6">
        <v>337</v>
      </c>
      <c r="F97" s="6">
        <v>4</v>
      </c>
      <c r="G97" s="15">
        <v>1</v>
      </c>
      <c r="H97" s="15"/>
      <c r="I97" s="15" t="s">
        <v>1505</v>
      </c>
      <c r="J97" s="15">
        <v>57638396</v>
      </c>
      <c r="K97" s="15" t="s">
        <v>2695</v>
      </c>
      <c r="L97" s="15" t="s">
        <v>2701</v>
      </c>
      <c r="M97" s="15">
        <v>289900</v>
      </c>
      <c r="N97" s="9">
        <f t="shared" si="7"/>
        <v>0.9</v>
      </c>
      <c r="O97" s="8">
        <f t="shared" si="5"/>
        <v>28990</v>
      </c>
      <c r="P97" s="6" t="s">
        <v>15</v>
      </c>
    </row>
    <row r="98" spans="1:16" x14ac:dyDescent="0.25">
      <c r="A98" s="7" t="str">
        <f t="shared" si="6"/>
        <v>2022 ALL D90</v>
      </c>
      <c r="B98" s="7">
        <f t="shared" si="4"/>
        <v>46114</v>
      </c>
      <c r="C98" s="7">
        <f t="shared" si="3"/>
        <v>46120</v>
      </c>
      <c r="D98" s="6">
        <v>3280</v>
      </c>
      <c r="E98" s="6">
        <v>337</v>
      </c>
      <c r="F98" s="6">
        <v>4</v>
      </c>
      <c r="G98" s="15">
        <v>1</v>
      </c>
      <c r="H98" s="15"/>
      <c r="I98" s="15" t="s">
        <v>1505</v>
      </c>
      <c r="J98" s="15">
        <v>57638403</v>
      </c>
      <c r="K98" s="15" t="s">
        <v>2702</v>
      </c>
      <c r="L98" s="15" t="s">
        <v>2703</v>
      </c>
      <c r="M98" s="15">
        <v>289900</v>
      </c>
      <c r="N98" s="9">
        <f t="shared" si="7"/>
        <v>0.9</v>
      </c>
      <c r="O98" s="8">
        <f t="shared" si="5"/>
        <v>28990</v>
      </c>
      <c r="P98" s="6" t="s">
        <v>15</v>
      </c>
    </row>
    <row r="99" spans="1:16" x14ac:dyDescent="0.25">
      <c r="A99" s="7" t="str">
        <f t="shared" si="6"/>
        <v>2022 ALL D90</v>
      </c>
      <c r="B99" s="7">
        <f t="shared" si="4"/>
        <v>46114</v>
      </c>
      <c r="C99" s="7">
        <f t="shared" ref="C99:C162" si="8">C98</f>
        <v>46120</v>
      </c>
      <c r="D99" s="6">
        <v>3280</v>
      </c>
      <c r="E99" s="6">
        <v>337</v>
      </c>
      <c r="F99" s="6">
        <v>4</v>
      </c>
      <c r="G99" s="15">
        <v>1</v>
      </c>
      <c r="H99" s="15"/>
      <c r="I99" s="15" t="s">
        <v>1505</v>
      </c>
      <c r="J99" s="15">
        <v>57638412</v>
      </c>
      <c r="K99" s="15" t="s">
        <v>2702</v>
      </c>
      <c r="L99" s="15" t="s">
        <v>2704</v>
      </c>
      <c r="M99" s="15">
        <v>289900</v>
      </c>
      <c r="N99" s="9">
        <f t="shared" si="7"/>
        <v>0.9</v>
      </c>
      <c r="O99" s="8">
        <f t="shared" si="5"/>
        <v>28990</v>
      </c>
      <c r="P99" s="6" t="s">
        <v>15</v>
      </c>
    </row>
    <row r="100" spans="1:16" x14ac:dyDescent="0.25">
      <c r="A100" s="7" t="str">
        <f t="shared" si="6"/>
        <v>2022 ALL D90</v>
      </c>
      <c r="B100" s="7">
        <f t="shared" si="6"/>
        <v>46114</v>
      </c>
      <c r="C100" s="7">
        <f t="shared" si="8"/>
        <v>46120</v>
      </c>
      <c r="D100" s="6">
        <v>3280</v>
      </c>
      <c r="E100" s="6">
        <v>337</v>
      </c>
      <c r="F100" s="6">
        <v>4</v>
      </c>
      <c r="G100" s="15">
        <v>1</v>
      </c>
      <c r="H100" s="15"/>
      <c r="I100" s="15" t="s">
        <v>1505</v>
      </c>
      <c r="J100" s="15">
        <v>57638421</v>
      </c>
      <c r="K100" s="15" t="s">
        <v>2702</v>
      </c>
      <c r="L100" s="15" t="s">
        <v>2705</v>
      </c>
      <c r="M100" s="15">
        <v>289900</v>
      </c>
      <c r="N100" s="9">
        <f t="shared" si="7"/>
        <v>0.9</v>
      </c>
      <c r="O100" s="8">
        <f t="shared" si="5"/>
        <v>28990</v>
      </c>
      <c r="P100" s="6" t="s">
        <v>15</v>
      </c>
    </row>
    <row r="101" spans="1:16" x14ac:dyDescent="0.25">
      <c r="A101" s="7" t="str">
        <f t="shared" si="6"/>
        <v>2022 ALL D90</v>
      </c>
      <c r="B101" s="7">
        <f t="shared" si="6"/>
        <v>46114</v>
      </c>
      <c r="C101" s="7">
        <f t="shared" si="8"/>
        <v>46120</v>
      </c>
      <c r="D101" s="6">
        <v>3280</v>
      </c>
      <c r="E101" s="6">
        <v>337</v>
      </c>
      <c r="F101" s="6">
        <v>4</v>
      </c>
      <c r="G101" s="15">
        <v>1</v>
      </c>
      <c r="H101" s="15"/>
      <c r="I101" s="15" t="s">
        <v>1505</v>
      </c>
      <c r="J101" s="15">
        <v>57638430</v>
      </c>
      <c r="K101" s="15" t="s">
        <v>2702</v>
      </c>
      <c r="L101" s="15" t="s">
        <v>2706</v>
      </c>
      <c r="M101" s="15">
        <v>289900</v>
      </c>
      <c r="N101" s="9">
        <f t="shared" si="7"/>
        <v>0.9</v>
      </c>
      <c r="O101" s="8">
        <f t="shared" si="5"/>
        <v>28990</v>
      </c>
      <c r="P101" s="6" t="s">
        <v>15</v>
      </c>
    </row>
    <row r="102" spans="1:16" x14ac:dyDescent="0.25">
      <c r="A102" s="7" t="str">
        <f t="shared" si="6"/>
        <v>2022 ALL D90</v>
      </c>
      <c r="B102" s="7">
        <f t="shared" si="6"/>
        <v>46114</v>
      </c>
      <c r="C102" s="7">
        <f t="shared" si="8"/>
        <v>46120</v>
      </c>
      <c r="D102" s="6">
        <v>3280</v>
      </c>
      <c r="E102" s="6">
        <v>337</v>
      </c>
      <c r="F102" s="6">
        <v>4</v>
      </c>
      <c r="G102" s="15">
        <v>1</v>
      </c>
      <c r="H102" s="15"/>
      <c r="I102" s="15" t="s">
        <v>1505</v>
      </c>
      <c r="J102" s="15">
        <v>57638449</v>
      </c>
      <c r="K102" s="15" t="s">
        <v>2702</v>
      </c>
      <c r="L102" s="15" t="s">
        <v>2707</v>
      </c>
      <c r="M102" s="15">
        <v>289900</v>
      </c>
      <c r="N102" s="9">
        <f t="shared" si="7"/>
        <v>0.9</v>
      </c>
      <c r="O102" s="8">
        <f t="shared" si="5"/>
        <v>28990</v>
      </c>
      <c r="P102" s="6" t="s">
        <v>15</v>
      </c>
    </row>
    <row r="103" spans="1:16" x14ac:dyDescent="0.25">
      <c r="A103" s="7" t="str">
        <f t="shared" si="6"/>
        <v>2022 ALL D90</v>
      </c>
      <c r="B103" s="7">
        <f t="shared" si="6"/>
        <v>46114</v>
      </c>
      <c r="C103" s="7">
        <f t="shared" si="8"/>
        <v>46120</v>
      </c>
      <c r="D103" s="6">
        <v>3280</v>
      </c>
      <c r="E103" s="6">
        <v>337</v>
      </c>
      <c r="F103" s="6">
        <v>4</v>
      </c>
      <c r="G103" s="15">
        <v>1</v>
      </c>
      <c r="H103" s="15"/>
      <c r="I103" s="15" t="s">
        <v>1505</v>
      </c>
      <c r="J103" s="15">
        <v>57638458</v>
      </c>
      <c r="K103" s="15" t="s">
        <v>2702</v>
      </c>
      <c r="L103" s="15" t="s">
        <v>2708</v>
      </c>
      <c r="M103" s="15">
        <v>289900</v>
      </c>
      <c r="N103" s="9">
        <f t="shared" si="7"/>
        <v>0.9</v>
      </c>
      <c r="O103" s="8">
        <f t="shared" si="5"/>
        <v>28990</v>
      </c>
      <c r="P103" s="6" t="s">
        <v>15</v>
      </c>
    </row>
    <row r="104" spans="1:16" x14ac:dyDescent="0.25">
      <c r="A104" s="7" t="str">
        <f t="shared" si="6"/>
        <v>2022 ALL D90</v>
      </c>
      <c r="B104" s="7">
        <f t="shared" si="6"/>
        <v>46114</v>
      </c>
      <c r="C104" s="7">
        <f t="shared" si="8"/>
        <v>46120</v>
      </c>
      <c r="D104" s="6">
        <v>3280</v>
      </c>
      <c r="E104" s="6">
        <v>337</v>
      </c>
      <c r="F104" s="6">
        <v>4</v>
      </c>
      <c r="G104" s="15">
        <v>1</v>
      </c>
      <c r="H104" s="15"/>
      <c r="I104" s="15" t="s">
        <v>1505</v>
      </c>
      <c r="J104" s="15">
        <v>57638467</v>
      </c>
      <c r="K104" s="15" t="s">
        <v>2709</v>
      </c>
      <c r="L104" s="15" t="s">
        <v>2710</v>
      </c>
      <c r="M104" s="15">
        <v>289900</v>
      </c>
      <c r="N104" s="9">
        <f t="shared" si="7"/>
        <v>0.9</v>
      </c>
      <c r="O104" s="8">
        <f t="shared" si="5"/>
        <v>28990</v>
      </c>
      <c r="P104" s="6" t="s">
        <v>15</v>
      </c>
    </row>
    <row r="105" spans="1:16" x14ac:dyDescent="0.25">
      <c r="A105" s="7" t="str">
        <f t="shared" si="6"/>
        <v>2022 ALL D90</v>
      </c>
      <c r="B105" s="7">
        <f t="shared" si="6"/>
        <v>46114</v>
      </c>
      <c r="C105" s="7">
        <f t="shared" si="8"/>
        <v>46120</v>
      </c>
      <c r="D105" s="6">
        <v>3280</v>
      </c>
      <c r="E105" s="6">
        <v>337</v>
      </c>
      <c r="F105" s="6">
        <v>4</v>
      </c>
      <c r="G105" s="15">
        <v>1</v>
      </c>
      <c r="H105" s="15"/>
      <c r="I105" s="15" t="s">
        <v>1505</v>
      </c>
      <c r="J105" s="15">
        <v>57638476</v>
      </c>
      <c r="K105" s="15" t="s">
        <v>2709</v>
      </c>
      <c r="L105" s="15" t="s">
        <v>2711</v>
      </c>
      <c r="M105" s="15">
        <v>289900</v>
      </c>
      <c r="N105" s="9">
        <f t="shared" si="7"/>
        <v>0.9</v>
      </c>
      <c r="O105" s="8">
        <f t="shared" si="5"/>
        <v>28990</v>
      </c>
      <c r="P105" s="6" t="s">
        <v>15</v>
      </c>
    </row>
    <row r="106" spans="1:16" x14ac:dyDescent="0.25">
      <c r="A106" s="7" t="str">
        <f t="shared" si="6"/>
        <v>2022 ALL D90</v>
      </c>
      <c r="B106" s="7">
        <f t="shared" si="6"/>
        <v>46114</v>
      </c>
      <c r="C106" s="7">
        <f t="shared" si="8"/>
        <v>46120</v>
      </c>
      <c r="D106" s="6">
        <v>3280</v>
      </c>
      <c r="E106" s="6">
        <v>337</v>
      </c>
      <c r="F106" s="6">
        <v>4</v>
      </c>
      <c r="G106" s="15">
        <v>1</v>
      </c>
      <c r="H106" s="15"/>
      <c r="I106" s="15" t="s">
        <v>1505</v>
      </c>
      <c r="J106" s="15">
        <v>57638485</v>
      </c>
      <c r="K106" s="15" t="s">
        <v>2709</v>
      </c>
      <c r="L106" s="15" t="s">
        <v>2712</v>
      </c>
      <c r="M106" s="15">
        <v>289900</v>
      </c>
      <c r="N106" s="9">
        <f t="shared" si="7"/>
        <v>0.9</v>
      </c>
      <c r="O106" s="8">
        <f t="shared" si="5"/>
        <v>28990</v>
      </c>
      <c r="P106" s="6" t="s">
        <v>15</v>
      </c>
    </row>
    <row r="107" spans="1:16" x14ac:dyDescent="0.25">
      <c r="A107" s="7" t="str">
        <f t="shared" si="6"/>
        <v>2022 ALL D90</v>
      </c>
      <c r="B107" s="7">
        <f t="shared" si="6"/>
        <v>46114</v>
      </c>
      <c r="C107" s="7">
        <f t="shared" si="8"/>
        <v>46120</v>
      </c>
      <c r="D107" s="6">
        <v>3280</v>
      </c>
      <c r="E107" s="6">
        <v>337</v>
      </c>
      <c r="F107" s="6">
        <v>4</v>
      </c>
      <c r="G107" s="15">
        <v>1</v>
      </c>
      <c r="H107" s="15"/>
      <c r="I107" s="15" t="s">
        <v>1505</v>
      </c>
      <c r="J107" s="15">
        <v>57638494</v>
      </c>
      <c r="K107" s="15" t="s">
        <v>2709</v>
      </c>
      <c r="L107" s="15" t="s">
        <v>2713</v>
      </c>
      <c r="M107" s="15">
        <v>289900</v>
      </c>
      <c r="N107" s="9">
        <f t="shared" si="7"/>
        <v>0.9</v>
      </c>
      <c r="O107" s="8">
        <f t="shared" si="5"/>
        <v>28990</v>
      </c>
      <c r="P107" s="6" t="s">
        <v>15</v>
      </c>
    </row>
    <row r="108" spans="1:16" x14ac:dyDescent="0.25">
      <c r="A108" s="7" t="str">
        <f t="shared" si="6"/>
        <v>2022 ALL D90</v>
      </c>
      <c r="B108" s="7">
        <f t="shared" si="6"/>
        <v>46114</v>
      </c>
      <c r="C108" s="7">
        <f t="shared" si="8"/>
        <v>46120</v>
      </c>
      <c r="D108" s="6">
        <v>3280</v>
      </c>
      <c r="E108" s="6">
        <v>337</v>
      </c>
      <c r="F108" s="6">
        <v>4</v>
      </c>
      <c r="G108" s="15">
        <v>1</v>
      </c>
      <c r="H108" s="15"/>
      <c r="I108" s="15" t="s">
        <v>1505</v>
      </c>
      <c r="J108" s="15">
        <v>57638501</v>
      </c>
      <c r="K108" s="15" t="s">
        <v>2709</v>
      </c>
      <c r="L108" s="15" t="s">
        <v>2714</v>
      </c>
      <c r="M108" s="15">
        <v>289900</v>
      </c>
      <c r="N108" s="9">
        <f t="shared" si="7"/>
        <v>0.9</v>
      </c>
      <c r="O108" s="8">
        <f t="shared" si="5"/>
        <v>28990</v>
      </c>
      <c r="P108" s="6" t="s">
        <v>15</v>
      </c>
    </row>
    <row r="109" spans="1:16" x14ac:dyDescent="0.25">
      <c r="A109" s="7" t="str">
        <f t="shared" si="6"/>
        <v>2022 ALL D90</v>
      </c>
      <c r="B109" s="7">
        <f t="shared" si="6"/>
        <v>46114</v>
      </c>
      <c r="C109" s="7">
        <f t="shared" si="8"/>
        <v>46120</v>
      </c>
      <c r="D109" s="6">
        <v>3280</v>
      </c>
      <c r="E109" s="6">
        <v>337</v>
      </c>
      <c r="F109" s="6">
        <v>4</v>
      </c>
      <c r="G109" s="15">
        <v>1</v>
      </c>
      <c r="H109" s="15"/>
      <c r="I109" s="15" t="s">
        <v>1505</v>
      </c>
      <c r="J109" s="15">
        <v>57638510</v>
      </c>
      <c r="K109" s="15" t="s">
        <v>2709</v>
      </c>
      <c r="L109" s="15" t="s">
        <v>2715</v>
      </c>
      <c r="M109" s="15">
        <v>289900</v>
      </c>
      <c r="N109" s="9">
        <f t="shared" si="7"/>
        <v>0.9</v>
      </c>
      <c r="O109" s="8">
        <f t="shared" si="5"/>
        <v>28990</v>
      </c>
      <c r="P109" s="6" t="s">
        <v>15</v>
      </c>
    </row>
    <row r="110" spans="1:16" x14ac:dyDescent="0.25">
      <c r="A110" s="7" t="str">
        <f t="shared" si="6"/>
        <v>2022 ALL D90</v>
      </c>
      <c r="B110" s="7">
        <f t="shared" si="6"/>
        <v>46114</v>
      </c>
      <c r="C110" s="7">
        <f t="shared" si="8"/>
        <v>46120</v>
      </c>
      <c r="D110" s="6">
        <v>3280</v>
      </c>
      <c r="E110" s="6">
        <v>337</v>
      </c>
      <c r="F110" s="6">
        <v>4</v>
      </c>
      <c r="G110" s="15">
        <v>1</v>
      </c>
      <c r="H110" s="15"/>
      <c r="I110" s="15" t="s">
        <v>1505</v>
      </c>
      <c r="J110" s="15">
        <v>57638538</v>
      </c>
      <c r="K110" s="15" t="s">
        <v>2716</v>
      </c>
      <c r="L110" s="15" t="s">
        <v>2717</v>
      </c>
      <c r="M110" s="15">
        <v>289900</v>
      </c>
      <c r="N110" s="9">
        <f t="shared" si="7"/>
        <v>0.9</v>
      </c>
      <c r="O110" s="8">
        <f t="shared" si="5"/>
        <v>28990</v>
      </c>
      <c r="P110" s="6" t="s">
        <v>15</v>
      </c>
    </row>
    <row r="111" spans="1:16" x14ac:dyDescent="0.25">
      <c r="A111" s="7" t="str">
        <f t="shared" si="6"/>
        <v>2022 ALL D90</v>
      </c>
      <c r="B111" s="7">
        <f t="shared" si="6"/>
        <v>46114</v>
      </c>
      <c r="C111" s="7">
        <f t="shared" si="8"/>
        <v>46120</v>
      </c>
      <c r="D111" s="6">
        <v>3280</v>
      </c>
      <c r="E111" s="6">
        <v>337</v>
      </c>
      <c r="F111" s="6">
        <v>4</v>
      </c>
      <c r="G111" s="15">
        <v>1</v>
      </c>
      <c r="H111" s="15"/>
      <c r="I111" s="15" t="s">
        <v>1505</v>
      </c>
      <c r="J111" s="15">
        <v>57638547</v>
      </c>
      <c r="K111" s="15" t="s">
        <v>2716</v>
      </c>
      <c r="L111" s="15" t="s">
        <v>2718</v>
      </c>
      <c r="M111" s="15">
        <v>289900</v>
      </c>
      <c r="N111" s="9">
        <f t="shared" si="7"/>
        <v>0.9</v>
      </c>
      <c r="O111" s="8">
        <f t="shared" si="5"/>
        <v>28990</v>
      </c>
      <c r="P111" s="6" t="s">
        <v>15</v>
      </c>
    </row>
    <row r="112" spans="1:16" x14ac:dyDescent="0.25">
      <c r="A112" s="7" t="str">
        <f t="shared" si="6"/>
        <v>2022 ALL D90</v>
      </c>
      <c r="B112" s="7">
        <f t="shared" si="6"/>
        <v>46114</v>
      </c>
      <c r="C112" s="7">
        <f t="shared" si="8"/>
        <v>46120</v>
      </c>
      <c r="D112" s="6">
        <v>3280</v>
      </c>
      <c r="E112" s="6">
        <v>337</v>
      </c>
      <c r="F112" s="6">
        <v>4</v>
      </c>
      <c r="G112" s="15">
        <v>1</v>
      </c>
      <c r="H112" s="15"/>
      <c r="I112" s="15" t="s">
        <v>1505</v>
      </c>
      <c r="J112" s="15">
        <v>57638556</v>
      </c>
      <c r="K112" s="15" t="s">
        <v>2716</v>
      </c>
      <c r="L112" s="15" t="s">
        <v>2719</v>
      </c>
      <c r="M112" s="15">
        <v>289900</v>
      </c>
      <c r="N112" s="9">
        <f t="shared" si="7"/>
        <v>0.9</v>
      </c>
      <c r="O112" s="8">
        <f t="shared" si="5"/>
        <v>28990</v>
      </c>
      <c r="P112" s="6" t="s">
        <v>15</v>
      </c>
    </row>
    <row r="113" spans="1:16" x14ac:dyDescent="0.25">
      <c r="A113" s="7" t="str">
        <f t="shared" si="6"/>
        <v>2022 ALL D90</v>
      </c>
      <c r="B113" s="7">
        <f t="shared" si="6"/>
        <v>46114</v>
      </c>
      <c r="C113" s="7">
        <f t="shared" si="8"/>
        <v>46120</v>
      </c>
      <c r="D113" s="6">
        <v>3280</v>
      </c>
      <c r="E113" s="6">
        <v>337</v>
      </c>
      <c r="F113" s="6">
        <v>4</v>
      </c>
      <c r="G113" s="15">
        <v>1</v>
      </c>
      <c r="H113" s="15"/>
      <c r="I113" s="15" t="s">
        <v>1505</v>
      </c>
      <c r="J113" s="15">
        <v>57638565</v>
      </c>
      <c r="K113" s="15" t="s">
        <v>2716</v>
      </c>
      <c r="L113" s="15" t="s">
        <v>2720</v>
      </c>
      <c r="M113" s="15">
        <v>289900</v>
      </c>
      <c r="N113" s="9">
        <f t="shared" si="7"/>
        <v>0.9</v>
      </c>
      <c r="O113" s="8">
        <f t="shared" si="5"/>
        <v>28990</v>
      </c>
      <c r="P113" s="6" t="s">
        <v>15</v>
      </c>
    </row>
    <row r="114" spans="1:16" x14ac:dyDescent="0.25">
      <c r="A114" s="7" t="str">
        <f t="shared" si="6"/>
        <v>2022 ALL D90</v>
      </c>
      <c r="B114" s="7">
        <f t="shared" si="6"/>
        <v>46114</v>
      </c>
      <c r="C114" s="7">
        <f t="shared" si="8"/>
        <v>46120</v>
      </c>
      <c r="D114" s="6">
        <v>3280</v>
      </c>
      <c r="E114" s="6">
        <v>337</v>
      </c>
      <c r="F114" s="6">
        <v>4</v>
      </c>
      <c r="G114" s="15">
        <v>1</v>
      </c>
      <c r="H114" s="15"/>
      <c r="I114" s="15" t="s">
        <v>1505</v>
      </c>
      <c r="J114" s="15">
        <v>57638574</v>
      </c>
      <c r="K114" s="15" t="s">
        <v>2716</v>
      </c>
      <c r="L114" s="15" t="s">
        <v>2721</v>
      </c>
      <c r="M114" s="15">
        <v>289900</v>
      </c>
      <c r="N114" s="9">
        <f t="shared" si="7"/>
        <v>0.9</v>
      </c>
      <c r="O114" s="8">
        <f t="shared" si="5"/>
        <v>28990</v>
      </c>
      <c r="P114" s="6" t="s">
        <v>15</v>
      </c>
    </row>
    <row r="115" spans="1:16" x14ac:dyDescent="0.25">
      <c r="A115" s="7" t="str">
        <f t="shared" si="6"/>
        <v>2022 ALL D90</v>
      </c>
      <c r="B115" s="7">
        <f t="shared" si="6"/>
        <v>46114</v>
      </c>
      <c r="C115" s="7">
        <f t="shared" si="8"/>
        <v>46120</v>
      </c>
      <c r="D115" s="6">
        <v>3280</v>
      </c>
      <c r="E115" s="6">
        <v>337</v>
      </c>
      <c r="F115" s="6">
        <v>4</v>
      </c>
      <c r="G115" s="15">
        <v>1</v>
      </c>
      <c r="H115" s="15"/>
      <c r="I115" s="15" t="s">
        <v>1505</v>
      </c>
      <c r="J115" s="15">
        <v>57638583</v>
      </c>
      <c r="K115" s="15" t="s">
        <v>2716</v>
      </c>
      <c r="L115" s="15" t="s">
        <v>2722</v>
      </c>
      <c r="M115" s="15">
        <v>289900</v>
      </c>
      <c r="N115" s="9">
        <f t="shared" si="7"/>
        <v>0.9</v>
      </c>
      <c r="O115" s="8">
        <f t="shared" si="5"/>
        <v>28990</v>
      </c>
      <c r="P115" s="6" t="s">
        <v>15</v>
      </c>
    </row>
    <row r="116" spans="1:16" x14ac:dyDescent="0.25">
      <c r="A116" s="7" t="str">
        <f t="shared" si="6"/>
        <v>2022 ALL D90</v>
      </c>
      <c r="B116" s="7">
        <f t="shared" si="6"/>
        <v>46114</v>
      </c>
      <c r="C116" s="7">
        <f t="shared" si="8"/>
        <v>46120</v>
      </c>
      <c r="D116" s="6">
        <v>3280</v>
      </c>
      <c r="E116" s="6">
        <v>337</v>
      </c>
      <c r="F116" s="6">
        <v>4</v>
      </c>
      <c r="G116" s="15">
        <v>1</v>
      </c>
      <c r="H116" s="15"/>
      <c r="I116" s="15" t="s">
        <v>1505</v>
      </c>
      <c r="J116" s="15">
        <v>57635335</v>
      </c>
      <c r="K116" s="15" t="s">
        <v>2103</v>
      </c>
      <c r="L116" s="15" t="s">
        <v>2105</v>
      </c>
      <c r="M116" s="15">
        <v>239900</v>
      </c>
      <c r="N116" s="9">
        <f t="shared" si="7"/>
        <v>0.9</v>
      </c>
      <c r="O116" s="8">
        <f t="shared" si="5"/>
        <v>23990</v>
      </c>
      <c r="P116" s="6" t="s">
        <v>15</v>
      </c>
    </row>
    <row r="117" spans="1:16" x14ac:dyDescent="0.25">
      <c r="A117" s="7" t="str">
        <f t="shared" si="6"/>
        <v>2022 ALL D90</v>
      </c>
      <c r="B117" s="7">
        <f t="shared" si="6"/>
        <v>46114</v>
      </c>
      <c r="C117" s="7">
        <f t="shared" si="8"/>
        <v>46120</v>
      </c>
      <c r="D117" s="6">
        <v>3280</v>
      </c>
      <c r="E117" s="6">
        <v>337</v>
      </c>
      <c r="F117" s="6">
        <v>4</v>
      </c>
      <c r="G117" s="15">
        <v>1</v>
      </c>
      <c r="H117" s="15"/>
      <c r="I117" s="15" t="s">
        <v>1505</v>
      </c>
      <c r="J117" s="15">
        <v>57635344</v>
      </c>
      <c r="K117" s="15" t="s">
        <v>2103</v>
      </c>
      <c r="L117" s="15" t="s">
        <v>2106</v>
      </c>
      <c r="M117" s="15">
        <v>239900</v>
      </c>
      <c r="N117" s="9">
        <f t="shared" si="7"/>
        <v>0.9</v>
      </c>
      <c r="O117" s="8">
        <f t="shared" si="5"/>
        <v>23990</v>
      </c>
      <c r="P117" s="6" t="s">
        <v>15</v>
      </c>
    </row>
    <row r="118" spans="1:16" x14ac:dyDescent="0.25">
      <c r="A118" s="7" t="str">
        <f t="shared" si="6"/>
        <v>2022 ALL D90</v>
      </c>
      <c r="B118" s="7">
        <f t="shared" si="6"/>
        <v>46114</v>
      </c>
      <c r="C118" s="7">
        <f t="shared" si="8"/>
        <v>46120</v>
      </c>
      <c r="D118" s="6">
        <v>3280</v>
      </c>
      <c r="E118" s="6">
        <v>337</v>
      </c>
      <c r="F118" s="6">
        <v>4</v>
      </c>
      <c r="G118" s="15">
        <v>1</v>
      </c>
      <c r="H118" s="15"/>
      <c r="I118" s="15" t="s">
        <v>1505</v>
      </c>
      <c r="J118" s="15">
        <v>57635353</v>
      </c>
      <c r="K118" s="15" t="s">
        <v>2103</v>
      </c>
      <c r="L118" s="15" t="s">
        <v>2107</v>
      </c>
      <c r="M118" s="15">
        <v>239900</v>
      </c>
      <c r="N118" s="9">
        <f t="shared" si="7"/>
        <v>0.9</v>
      </c>
      <c r="O118" s="8">
        <f t="shared" si="5"/>
        <v>23990</v>
      </c>
      <c r="P118" s="6" t="s">
        <v>15</v>
      </c>
    </row>
    <row r="119" spans="1:16" x14ac:dyDescent="0.25">
      <c r="A119" s="7" t="str">
        <f t="shared" si="6"/>
        <v>2022 ALL D90</v>
      </c>
      <c r="B119" s="7">
        <f t="shared" si="6"/>
        <v>46114</v>
      </c>
      <c r="C119" s="7">
        <f t="shared" si="8"/>
        <v>46120</v>
      </c>
      <c r="D119" s="6">
        <v>3280</v>
      </c>
      <c r="E119" s="6">
        <v>337</v>
      </c>
      <c r="F119" s="6">
        <v>4</v>
      </c>
      <c r="G119" s="15">
        <v>1</v>
      </c>
      <c r="H119" s="15"/>
      <c r="I119" s="15" t="s">
        <v>1505</v>
      </c>
      <c r="J119" s="15">
        <v>57635362</v>
      </c>
      <c r="K119" s="15" t="s">
        <v>2103</v>
      </c>
      <c r="L119" s="15" t="s">
        <v>2108</v>
      </c>
      <c r="M119" s="15">
        <v>249900</v>
      </c>
      <c r="N119" s="9">
        <f t="shared" si="7"/>
        <v>0.9</v>
      </c>
      <c r="O119" s="8">
        <f t="shared" si="5"/>
        <v>24990</v>
      </c>
      <c r="P119" s="6" t="s">
        <v>15</v>
      </c>
    </row>
    <row r="120" spans="1:16" x14ac:dyDescent="0.25">
      <c r="A120" s="7" t="str">
        <f t="shared" si="6"/>
        <v>2022 ALL D90</v>
      </c>
      <c r="B120" s="7">
        <f t="shared" si="6"/>
        <v>46114</v>
      </c>
      <c r="C120" s="7">
        <f t="shared" si="8"/>
        <v>46120</v>
      </c>
      <c r="D120" s="6">
        <v>3280</v>
      </c>
      <c r="E120" s="6">
        <v>337</v>
      </c>
      <c r="F120" s="6">
        <v>4</v>
      </c>
      <c r="G120" s="15">
        <v>1</v>
      </c>
      <c r="H120" s="15"/>
      <c r="I120" s="15" t="s">
        <v>1505</v>
      </c>
      <c r="J120" s="15">
        <v>57635371</v>
      </c>
      <c r="K120" s="15" t="s">
        <v>2103</v>
      </c>
      <c r="L120" s="15" t="s">
        <v>2109</v>
      </c>
      <c r="M120" s="15">
        <v>249900</v>
      </c>
      <c r="N120" s="9">
        <f t="shared" si="7"/>
        <v>0.9</v>
      </c>
      <c r="O120" s="8">
        <f t="shared" si="5"/>
        <v>24990</v>
      </c>
      <c r="P120" s="6" t="s">
        <v>15</v>
      </c>
    </row>
    <row r="121" spans="1:16" x14ac:dyDescent="0.25">
      <c r="A121" s="7" t="str">
        <f t="shared" si="6"/>
        <v>2022 ALL D90</v>
      </c>
      <c r="B121" s="7">
        <f t="shared" si="6"/>
        <v>46114</v>
      </c>
      <c r="C121" s="7">
        <f t="shared" si="8"/>
        <v>46120</v>
      </c>
      <c r="D121" s="6">
        <v>3280</v>
      </c>
      <c r="E121" s="6">
        <v>337</v>
      </c>
      <c r="F121" s="6">
        <v>4</v>
      </c>
      <c r="G121" s="15">
        <v>1</v>
      </c>
      <c r="H121" s="15"/>
      <c r="I121" s="15" t="s">
        <v>1505</v>
      </c>
      <c r="J121" s="15">
        <v>57635380</v>
      </c>
      <c r="K121" s="15" t="s">
        <v>2103</v>
      </c>
      <c r="L121" s="15" t="s">
        <v>2104</v>
      </c>
      <c r="M121" s="15">
        <v>249900</v>
      </c>
      <c r="N121" s="9">
        <f t="shared" si="7"/>
        <v>0.9</v>
      </c>
      <c r="O121" s="8">
        <f t="shared" si="5"/>
        <v>24990</v>
      </c>
      <c r="P121" s="6" t="s">
        <v>15</v>
      </c>
    </row>
    <row r="122" spans="1:16" x14ac:dyDescent="0.25">
      <c r="A122" s="7" t="str">
        <f t="shared" si="6"/>
        <v>2022 ALL D90</v>
      </c>
      <c r="B122" s="7">
        <f t="shared" si="6"/>
        <v>46114</v>
      </c>
      <c r="C122" s="7">
        <f t="shared" si="8"/>
        <v>46120</v>
      </c>
      <c r="D122" s="6">
        <v>3280</v>
      </c>
      <c r="E122" s="6">
        <v>337</v>
      </c>
      <c r="F122" s="6">
        <v>4</v>
      </c>
      <c r="G122" s="15">
        <v>1</v>
      </c>
      <c r="H122" s="15"/>
      <c r="I122" s="15" t="s">
        <v>1505</v>
      </c>
      <c r="J122" s="15">
        <v>57635620</v>
      </c>
      <c r="K122" s="15" t="s">
        <v>2096</v>
      </c>
      <c r="L122" s="15" t="s">
        <v>2101</v>
      </c>
      <c r="M122" s="15">
        <v>229900</v>
      </c>
      <c r="N122" s="9">
        <f t="shared" si="7"/>
        <v>0.9</v>
      </c>
      <c r="O122" s="8">
        <f t="shared" si="5"/>
        <v>22990</v>
      </c>
      <c r="P122" s="6" t="s">
        <v>15</v>
      </c>
    </row>
    <row r="123" spans="1:16" x14ac:dyDescent="0.25">
      <c r="A123" s="7" t="str">
        <f t="shared" si="6"/>
        <v>2022 ALL D90</v>
      </c>
      <c r="B123" s="7">
        <f t="shared" si="6"/>
        <v>46114</v>
      </c>
      <c r="C123" s="7">
        <f t="shared" si="8"/>
        <v>46120</v>
      </c>
      <c r="D123" s="6">
        <v>3280</v>
      </c>
      <c r="E123" s="6">
        <v>337</v>
      </c>
      <c r="F123" s="6">
        <v>4</v>
      </c>
      <c r="G123" s="15">
        <v>1</v>
      </c>
      <c r="H123" s="15"/>
      <c r="I123" s="15" t="s">
        <v>1505</v>
      </c>
      <c r="J123" s="15">
        <v>57635639</v>
      </c>
      <c r="K123" s="15" t="s">
        <v>2096</v>
      </c>
      <c r="L123" s="15" t="s">
        <v>2098</v>
      </c>
      <c r="M123" s="15">
        <v>229900</v>
      </c>
      <c r="N123" s="9">
        <f t="shared" si="7"/>
        <v>0.9</v>
      </c>
      <c r="O123" s="8">
        <f t="shared" si="5"/>
        <v>22990</v>
      </c>
      <c r="P123" s="6" t="s">
        <v>15</v>
      </c>
    </row>
    <row r="124" spans="1:16" x14ac:dyDescent="0.25">
      <c r="A124" s="7" t="str">
        <f t="shared" si="6"/>
        <v>2022 ALL D90</v>
      </c>
      <c r="B124" s="7">
        <f t="shared" si="6"/>
        <v>46114</v>
      </c>
      <c r="C124" s="7">
        <f t="shared" si="8"/>
        <v>46120</v>
      </c>
      <c r="D124" s="6">
        <v>3280</v>
      </c>
      <c r="E124" s="6">
        <v>337</v>
      </c>
      <c r="F124" s="6">
        <v>4</v>
      </c>
      <c r="G124" s="15">
        <v>1</v>
      </c>
      <c r="H124" s="15"/>
      <c r="I124" s="15" t="s">
        <v>1505</v>
      </c>
      <c r="J124" s="15">
        <v>57635648</v>
      </c>
      <c r="K124" s="15" t="s">
        <v>2096</v>
      </c>
      <c r="L124" s="15" t="s">
        <v>2099</v>
      </c>
      <c r="M124" s="15">
        <v>229900</v>
      </c>
      <c r="N124" s="9">
        <f t="shared" si="7"/>
        <v>0.9</v>
      </c>
      <c r="O124" s="8">
        <f t="shared" si="5"/>
        <v>22990</v>
      </c>
      <c r="P124" s="6" t="s">
        <v>15</v>
      </c>
    </row>
    <row r="125" spans="1:16" x14ac:dyDescent="0.25">
      <c r="A125" s="7" t="str">
        <f t="shared" si="6"/>
        <v>2022 ALL D90</v>
      </c>
      <c r="B125" s="7">
        <f t="shared" si="6"/>
        <v>46114</v>
      </c>
      <c r="C125" s="7">
        <f t="shared" si="8"/>
        <v>46120</v>
      </c>
      <c r="D125" s="6">
        <v>3280</v>
      </c>
      <c r="E125" s="6">
        <v>337</v>
      </c>
      <c r="F125" s="6">
        <v>4</v>
      </c>
      <c r="G125" s="15">
        <v>1</v>
      </c>
      <c r="H125" s="15"/>
      <c r="I125" s="15" t="s">
        <v>1505</v>
      </c>
      <c r="J125" s="15">
        <v>57635657</v>
      </c>
      <c r="K125" s="15" t="s">
        <v>2096</v>
      </c>
      <c r="L125" s="15" t="s">
        <v>2097</v>
      </c>
      <c r="M125" s="15">
        <v>239900</v>
      </c>
      <c r="N125" s="9">
        <f t="shared" si="7"/>
        <v>0.9</v>
      </c>
      <c r="O125" s="8">
        <f t="shared" si="5"/>
        <v>23990</v>
      </c>
      <c r="P125" s="6" t="s">
        <v>15</v>
      </c>
    </row>
    <row r="126" spans="1:16" x14ac:dyDescent="0.25">
      <c r="A126" s="7" t="str">
        <f t="shared" si="6"/>
        <v>2022 ALL D90</v>
      </c>
      <c r="B126" s="7">
        <f t="shared" si="6"/>
        <v>46114</v>
      </c>
      <c r="C126" s="7">
        <f t="shared" si="8"/>
        <v>46120</v>
      </c>
      <c r="D126" s="6">
        <v>3280</v>
      </c>
      <c r="E126" s="6">
        <v>337</v>
      </c>
      <c r="F126" s="6">
        <v>4</v>
      </c>
      <c r="G126" s="15">
        <v>1</v>
      </c>
      <c r="H126" s="15"/>
      <c r="I126" s="15" t="s">
        <v>1505</v>
      </c>
      <c r="J126" s="15">
        <v>57635666</v>
      </c>
      <c r="K126" s="15" t="s">
        <v>2096</v>
      </c>
      <c r="L126" s="15" t="s">
        <v>2102</v>
      </c>
      <c r="M126" s="15">
        <v>239900</v>
      </c>
      <c r="N126" s="9">
        <f t="shared" si="7"/>
        <v>0.9</v>
      </c>
      <c r="O126" s="8">
        <f t="shared" si="5"/>
        <v>23990</v>
      </c>
      <c r="P126" s="6" t="s">
        <v>15</v>
      </c>
    </row>
    <row r="127" spans="1:16" x14ac:dyDescent="0.25">
      <c r="A127" s="7" t="str">
        <f t="shared" si="6"/>
        <v>2022 ALL D90</v>
      </c>
      <c r="B127" s="7">
        <f t="shared" si="6"/>
        <v>46114</v>
      </c>
      <c r="C127" s="7">
        <f t="shared" si="8"/>
        <v>46120</v>
      </c>
      <c r="D127" s="6">
        <v>3280</v>
      </c>
      <c r="E127" s="6">
        <v>337</v>
      </c>
      <c r="F127" s="6">
        <v>4</v>
      </c>
      <c r="G127" s="15">
        <v>1</v>
      </c>
      <c r="H127" s="15"/>
      <c r="I127" s="15" t="s">
        <v>1505</v>
      </c>
      <c r="J127" s="15">
        <v>57635675</v>
      </c>
      <c r="K127" s="15" t="s">
        <v>2096</v>
      </c>
      <c r="L127" s="15" t="s">
        <v>2100</v>
      </c>
      <c r="M127" s="15">
        <v>239900</v>
      </c>
      <c r="N127" s="9">
        <f t="shared" si="7"/>
        <v>0.9</v>
      </c>
      <c r="O127" s="8">
        <f t="shared" si="5"/>
        <v>23990</v>
      </c>
      <c r="P127" s="6" t="s">
        <v>15</v>
      </c>
    </row>
    <row r="128" spans="1:16" x14ac:dyDescent="0.25">
      <c r="A128" s="7" t="str">
        <f t="shared" si="6"/>
        <v>2022 ALL D90</v>
      </c>
      <c r="B128" s="7">
        <f t="shared" si="6"/>
        <v>46114</v>
      </c>
      <c r="C128" s="7">
        <f t="shared" si="8"/>
        <v>46120</v>
      </c>
      <c r="D128" s="6">
        <v>3280</v>
      </c>
      <c r="E128" s="6">
        <v>337</v>
      </c>
      <c r="F128" s="6">
        <v>4</v>
      </c>
      <c r="G128" s="15">
        <v>1</v>
      </c>
      <c r="H128" s="15"/>
      <c r="I128" s="15" t="s">
        <v>1505</v>
      </c>
      <c r="J128" s="15">
        <v>57637093</v>
      </c>
      <c r="K128" s="15" t="s">
        <v>2089</v>
      </c>
      <c r="L128" s="15" t="s">
        <v>2093</v>
      </c>
      <c r="M128" s="15">
        <v>269900</v>
      </c>
      <c r="N128" s="9">
        <f t="shared" si="7"/>
        <v>0.9</v>
      </c>
      <c r="O128" s="8">
        <f t="shared" si="5"/>
        <v>26990</v>
      </c>
      <c r="P128" s="6" t="s">
        <v>15</v>
      </c>
    </row>
    <row r="129" spans="1:16" x14ac:dyDescent="0.25">
      <c r="A129" s="7" t="str">
        <f t="shared" si="6"/>
        <v>2022 ALL D90</v>
      </c>
      <c r="B129" s="7">
        <f t="shared" si="6"/>
        <v>46114</v>
      </c>
      <c r="C129" s="7">
        <f t="shared" si="8"/>
        <v>46120</v>
      </c>
      <c r="D129" s="6">
        <v>3280</v>
      </c>
      <c r="E129" s="6">
        <v>337</v>
      </c>
      <c r="F129" s="6">
        <v>4</v>
      </c>
      <c r="G129" s="15">
        <v>1</v>
      </c>
      <c r="H129" s="15"/>
      <c r="I129" s="15" t="s">
        <v>1505</v>
      </c>
      <c r="J129" s="15">
        <v>57637100</v>
      </c>
      <c r="K129" s="15" t="s">
        <v>2089</v>
      </c>
      <c r="L129" s="15" t="s">
        <v>2094</v>
      </c>
      <c r="M129" s="15">
        <v>269900</v>
      </c>
      <c r="N129" s="9">
        <f t="shared" si="7"/>
        <v>0.9</v>
      </c>
      <c r="O129" s="8">
        <f t="shared" si="5"/>
        <v>26990</v>
      </c>
      <c r="P129" s="6" t="s">
        <v>15</v>
      </c>
    </row>
    <row r="130" spans="1:16" x14ac:dyDescent="0.25">
      <c r="A130" s="7" t="str">
        <f t="shared" si="6"/>
        <v>2022 ALL D90</v>
      </c>
      <c r="B130" s="7">
        <f t="shared" si="6"/>
        <v>46114</v>
      </c>
      <c r="C130" s="7">
        <f t="shared" si="8"/>
        <v>46120</v>
      </c>
      <c r="D130" s="6">
        <v>3280</v>
      </c>
      <c r="E130" s="6">
        <v>337</v>
      </c>
      <c r="F130" s="6">
        <v>4</v>
      </c>
      <c r="G130" s="15">
        <v>1</v>
      </c>
      <c r="H130" s="15"/>
      <c r="I130" s="15" t="s">
        <v>1505</v>
      </c>
      <c r="J130" s="15">
        <v>57637119</v>
      </c>
      <c r="K130" s="15" t="s">
        <v>2089</v>
      </c>
      <c r="L130" s="15" t="s">
        <v>2091</v>
      </c>
      <c r="M130" s="15">
        <v>269900</v>
      </c>
      <c r="N130" s="9">
        <f t="shared" si="7"/>
        <v>0.9</v>
      </c>
      <c r="O130" s="8">
        <f t="shared" si="5"/>
        <v>26990</v>
      </c>
      <c r="P130" s="6" t="s">
        <v>15</v>
      </c>
    </row>
    <row r="131" spans="1:16" x14ac:dyDescent="0.25">
      <c r="A131" s="7" t="str">
        <f t="shared" si="6"/>
        <v>2022 ALL D90</v>
      </c>
      <c r="B131" s="7">
        <f t="shared" si="6"/>
        <v>46114</v>
      </c>
      <c r="C131" s="7">
        <f t="shared" si="8"/>
        <v>46120</v>
      </c>
      <c r="D131" s="6">
        <v>3280</v>
      </c>
      <c r="E131" s="6">
        <v>337</v>
      </c>
      <c r="F131" s="6">
        <v>4</v>
      </c>
      <c r="G131" s="15">
        <v>1</v>
      </c>
      <c r="H131" s="15"/>
      <c r="I131" s="15" t="s">
        <v>1505</v>
      </c>
      <c r="J131" s="15">
        <v>57637128</v>
      </c>
      <c r="K131" s="15" t="s">
        <v>2089</v>
      </c>
      <c r="L131" s="15" t="s">
        <v>2095</v>
      </c>
      <c r="M131" s="15">
        <v>279900</v>
      </c>
      <c r="N131" s="9">
        <f t="shared" si="7"/>
        <v>0.9</v>
      </c>
      <c r="O131" s="8">
        <f t="shared" ref="O131:O194" si="9">M131-((90*M131)/100)</f>
        <v>27990</v>
      </c>
      <c r="P131" s="6" t="s">
        <v>15</v>
      </c>
    </row>
    <row r="132" spans="1:16" x14ac:dyDescent="0.25">
      <c r="A132" s="7" t="str">
        <f t="shared" ref="A132:C195" si="10">A131</f>
        <v>2022 ALL D90</v>
      </c>
      <c r="B132" s="7">
        <f t="shared" si="10"/>
        <v>46114</v>
      </c>
      <c r="C132" s="7">
        <f t="shared" si="8"/>
        <v>46120</v>
      </c>
      <c r="D132" s="6">
        <v>3280</v>
      </c>
      <c r="E132" s="6">
        <v>337</v>
      </c>
      <c r="F132" s="6">
        <v>4</v>
      </c>
      <c r="G132" s="15">
        <v>1</v>
      </c>
      <c r="H132" s="15"/>
      <c r="I132" s="15" t="s">
        <v>1505</v>
      </c>
      <c r="J132" s="15">
        <v>57637137</v>
      </c>
      <c r="K132" s="15" t="s">
        <v>2089</v>
      </c>
      <c r="L132" s="15" t="s">
        <v>2092</v>
      </c>
      <c r="M132" s="15">
        <v>279900</v>
      </c>
      <c r="N132" s="9">
        <f t="shared" ref="N132:N195" si="11">N131</f>
        <v>0.9</v>
      </c>
      <c r="O132" s="8">
        <f t="shared" si="9"/>
        <v>27990</v>
      </c>
      <c r="P132" s="6" t="s">
        <v>15</v>
      </c>
    </row>
    <row r="133" spans="1:16" x14ac:dyDescent="0.25">
      <c r="A133" s="7" t="str">
        <f t="shared" si="10"/>
        <v>2022 ALL D90</v>
      </c>
      <c r="B133" s="7">
        <f t="shared" si="10"/>
        <v>46114</v>
      </c>
      <c r="C133" s="7">
        <f t="shared" si="8"/>
        <v>46120</v>
      </c>
      <c r="D133" s="6">
        <v>3280</v>
      </c>
      <c r="E133" s="6">
        <v>337</v>
      </c>
      <c r="F133" s="6">
        <v>4</v>
      </c>
      <c r="G133" s="15">
        <v>1</v>
      </c>
      <c r="H133" s="15"/>
      <c r="I133" s="15" t="s">
        <v>1505</v>
      </c>
      <c r="J133" s="15">
        <v>57637146</v>
      </c>
      <c r="K133" s="15" t="s">
        <v>2089</v>
      </c>
      <c r="L133" s="15" t="s">
        <v>2090</v>
      </c>
      <c r="M133" s="15">
        <v>279900</v>
      </c>
      <c r="N133" s="9">
        <f t="shared" si="11"/>
        <v>0.9</v>
      </c>
      <c r="O133" s="8">
        <f t="shared" si="9"/>
        <v>27990</v>
      </c>
      <c r="P133" s="6" t="s">
        <v>15</v>
      </c>
    </row>
    <row r="134" spans="1:16" x14ac:dyDescent="0.25">
      <c r="A134" s="7" t="str">
        <f t="shared" si="10"/>
        <v>2022 ALL D90</v>
      </c>
      <c r="B134" s="7">
        <f t="shared" si="10"/>
        <v>46114</v>
      </c>
      <c r="C134" s="7">
        <f t="shared" si="8"/>
        <v>46120</v>
      </c>
      <c r="D134" s="6">
        <v>3280</v>
      </c>
      <c r="E134" s="6">
        <v>337</v>
      </c>
      <c r="F134" s="6">
        <v>4</v>
      </c>
      <c r="G134" s="15">
        <v>1</v>
      </c>
      <c r="H134" s="15"/>
      <c r="I134" s="15" t="s">
        <v>1505</v>
      </c>
      <c r="J134" s="15">
        <v>57635399</v>
      </c>
      <c r="K134" s="15" t="s">
        <v>2068</v>
      </c>
      <c r="L134" s="15" t="s">
        <v>2069</v>
      </c>
      <c r="M134" s="15">
        <v>249900</v>
      </c>
      <c r="N134" s="9">
        <f t="shared" si="11"/>
        <v>0.9</v>
      </c>
      <c r="O134" s="8">
        <f t="shared" si="9"/>
        <v>24990</v>
      </c>
      <c r="P134" s="6" t="s">
        <v>15</v>
      </c>
    </row>
    <row r="135" spans="1:16" x14ac:dyDescent="0.25">
      <c r="A135" s="7" t="str">
        <f t="shared" si="10"/>
        <v>2022 ALL D90</v>
      </c>
      <c r="B135" s="7">
        <f t="shared" si="10"/>
        <v>46114</v>
      </c>
      <c r="C135" s="7">
        <f t="shared" si="8"/>
        <v>46120</v>
      </c>
      <c r="D135" s="6">
        <v>3280</v>
      </c>
      <c r="E135" s="6">
        <v>337</v>
      </c>
      <c r="F135" s="6">
        <v>4</v>
      </c>
      <c r="G135" s="15">
        <v>1</v>
      </c>
      <c r="H135" s="15"/>
      <c r="I135" s="15" t="s">
        <v>1505</v>
      </c>
      <c r="J135" s="15">
        <v>57635406</v>
      </c>
      <c r="K135" s="15" t="s">
        <v>2068</v>
      </c>
      <c r="L135" s="15" t="s">
        <v>2070</v>
      </c>
      <c r="M135" s="15">
        <v>249900</v>
      </c>
      <c r="N135" s="9">
        <f t="shared" si="11"/>
        <v>0.9</v>
      </c>
      <c r="O135" s="8">
        <f t="shared" si="9"/>
        <v>24990</v>
      </c>
      <c r="P135" s="6" t="s">
        <v>15</v>
      </c>
    </row>
    <row r="136" spans="1:16" x14ac:dyDescent="0.25">
      <c r="A136" s="7" t="str">
        <f t="shared" si="10"/>
        <v>2022 ALL D90</v>
      </c>
      <c r="B136" s="7">
        <f t="shared" si="10"/>
        <v>46114</v>
      </c>
      <c r="C136" s="7">
        <f t="shared" si="8"/>
        <v>46120</v>
      </c>
      <c r="D136" s="6">
        <v>3280</v>
      </c>
      <c r="E136" s="6">
        <v>337</v>
      </c>
      <c r="F136" s="6">
        <v>4</v>
      </c>
      <c r="G136" s="15">
        <v>1</v>
      </c>
      <c r="H136" s="15"/>
      <c r="I136" s="15" t="s">
        <v>1505</v>
      </c>
      <c r="J136" s="15">
        <v>57635415</v>
      </c>
      <c r="K136" s="15" t="s">
        <v>2068</v>
      </c>
      <c r="L136" s="15" t="s">
        <v>2071</v>
      </c>
      <c r="M136" s="15">
        <v>249900</v>
      </c>
      <c r="N136" s="9">
        <f t="shared" si="11"/>
        <v>0.9</v>
      </c>
      <c r="O136" s="8">
        <f t="shared" si="9"/>
        <v>24990</v>
      </c>
      <c r="P136" s="6" t="s">
        <v>15</v>
      </c>
    </row>
    <row r="137" spans="1:16" x14ac:dyDescent="0.25">
      <c r="A137" s="7" t="str">
        <f t="shared" si="10"/>
        <v>2022 ALL D90</v>
      </c>
      <c r="B137" s="7">
        <f t="shared" si="10"/>
        <v>46114</v>
      </c>
      <c r="C137" s="7">
        <f t="shared" si="8"/>
        <v>46120</v>
      </c>
      <c r="D137" s="6">
        <v>3280</v>
      </c>
      <c r="E137" s="6">
        <v>337</v>
      </c>
      <c r="F137" s="6">
        <v>4</v>
      </c>
      <c r="G137" s="15">
        <v>1</v>
      </c>
      <c r="H137" s="15"/>
      <c r="I137" s="15" t="s">
        <v>1505</v>
      </c>
      <c r="J137" s="15">
        <v>57635424</v>
      </c>
      <c r="K137" s="15" t="s">
        <v>2068</v>
      </c>
      <c r="L137" s="15" t="s">
        <v>2074</v>
      </c>
      <c r="M137" s="15">
        <v>259900</v>
      </c>
      <c r="N137" s="9">
        <f t="shared" si="11"/>
        <v>0.9</v>
      </c>
      <c r="O137" s="8">
        <f t="shared" si="9"/>
        <v>25990</v>
      </c>
      <c r="P137" s="6" t="s">
        <v>15</v>
      </c>
    </row>
    <row r="138" spans="1:16" x14ac:dyDescent="0.25">
      <c r="A138" s="7" t="str">
        <f t="shared" si="10"/>
        <v>2022 ALL D90</v>
      </c>
      <c r="B138" s="7">
        <f t="shared" si="10"/>
        <v>46114</v>
      </c>
      <c r="C138" s="7">
        <f t="shared" si="8"/>
        <v>46120</v>
      </c>
      <c r="D138" s="6">
        <v>3280</v>
      </c>
      <c r="E138" s="6">
        <v>337</v>
      </c>
      <c r="F138" s="6">
        <v>4</v>
      </c>
      <c r="G138" s="15">
        <v>1</v>
      </c>
      <c r="H138" s="15"/>
      <c r="I138" s="15" t="s">
        <v>1505</v>
      </c>
      <c r="J138" s="15">
        <v>57635433</v>
      </c>
      <c r="K138" s="15" t="s">
        <v>2068</v>
      </c>
      <c r="L138" s="15" t="s">
        <v>2072</v>
      </c>
      <c r="M138" s="15">
        <v>259900</v>
      </c>
      <c r="N138" s="9">
        <f t="shared" si="11"/>
        <v>0.9</v>
      </c>
      <c r="O138" s="8">
        <f t="shared" si="9"/>
        <v>25990</v>
      </c>
      <c r="P138" s="6" t="s">
        <v>15</v>
      </c>
    </row>
    <row r="139" spans="1:16" x14ac:dyDescent="0.25">
      <c r="A139" s="7" t="str">
        <f t="shared" si="10"/>
        <v>2022 ALL D90</v>
      </c>
      <c r="B139" s="7">
        <f t="shared" si="10"/>
        <v>46114</v>
      </c>
      <c r="C139" s="7">
        <f t="shared" si="8"/>
        <v>46120</v>
      </c>
      <c r="D139" s="6">
        <v>3280</v>
      </c>
      <c r="E139" s="6">
        <v>337</v>
      </c>
      <c r="F139" s="6">
        <v>4</v>
      </c>
      <c r="G139" s="15">
        <v>1</v>
      </c>
      <c r="H139" s="15"/>
      <c r="I139" s="15" t="s">
        <v>1505</v>
      </c>
      <c r="J139" s="15">
        <v>57635442</v>
      </c>
      <c r="K139" s="15" t="s">
        <v>2068</v>
      </c>
      <c r="L139" s="15" t="s">
        <v>2073</v>
      </c>
      <c r="M139" s="15">
        <v>259900</v>
      </c>
      <c r="N139" s="9">
        <f t="shared" si="11"/>
        <v>0.9</v>
      </c>
      <c r="O139" s="8">
        <f t="shared" si="9"/>
        <v>25990</v>
      </c>
      <c r="P139" s="6" t="s">
        <v>15</v>
      </c>
    </row>
    <row r="140" spans="1:16" x14ac:dyDescent="0.25">
      <c r="A140" s="7" t="str">
        <f t="shared" si="10"/>
        <v>2022 ALL D90</v>
      </c>
      <c r="B140" s="7">
        <f t="shared" si="10"/>
        <v>46114</v>
      </c>
      <c r="C140" s="7">
        <f t="shared" si="8"/>
        <v>46120</v>
      </c>
      <c r="D140" s="6">
        <v>3280</v>
      </c>
      <c r="E140" s="6">
        <v>337</v>
      </c>
      <c r="F140" s="6">
        <v>4</v>
      </c>
      <c r="G140" s="15">
        <v>1</v>
      </c>
      <c r="H140" s="15"/>
      <c r="I140" s="15" t="s">
        <v>1505</v>
      </c>
      <c r="J140" s="15">
        <v>57635684</v>
      </c>
      <c r="K140" s="15" t="s">
        <v>2075</v>
      </c>
      <c r="L140" s="15" t="s">
        <v>2076</v>
      </c>
      <c r="M140" s="15">
        <v>249900</v>
      </c>
      <c r="N140" s="9">
        <f t="shared" si="11"/>
        <v>0.9</v>
      </c>
      <c r="O140" s="8">
        <f t="shared" si="9"/>
        <v>24990</v>
      </c>
      <c r="P140" s="6" t="s">
        <v>15</v>
      </c>
    </row>
    <row r="141" spans="1:16" x14ac:dyDescent="0.25">
      <c r="A141" s="7" t="str">
        <f t="shared" si="10"/>
        <v>2022 ALL D90</v>
      </c>
      <c r="B141" s="7">
        <f t="shared" si="10"/>
        <v>46114</v>
      </c>
      <c r="C141" s="7">
        <f t="shared" si="8"/>
        <v>46120</v>
      </c>
      <c r="D141" s="6">
        <v>3280</v>
      </c>
      <c r="E141" s="6">
        <v>337</v>
      </c>
      <c r="F141" s="6">
        <v>4</v>
      </c>
      <c r="G141" s="15">
        <v>1</v>
      </c>
      <c r="H141" s="15"/>
      <c r="I141" s="15" t="s">
        <v>1505</v>
      </c>
      <c r="J141" s="15">
        <v>57635693</v>
      </c>
      <c r="K141" s="15" t="s">
        <v>2075</v>
      </c>
      <c r="L141" s="15" t="s">
        <v>2077</v>
      </c>
      <c r="M141" s="15">
        <v>249900</v>
      </c>
      <c r="N141" s="9">
        <f t="shared" si="11"/>
        <v>0.9</v>
      </c>
      <c r="O141" s="8">
        <f t="shared" si="9"/>
        <v>24990</v>
      </c>
      <c r="P141" s="6" t="s">
        <v>15</v>
      </c>
    </row>
    <row r="142" spans="1:16" x14ac:dyDescent="0.25">
      <c r="A142" s="7" t="str">
        <f t="shared" si="10"/>
        <v>2022 ALL D90</v>
      </c>
      <c r="B142" s="7">
        <f t="shared" si="10"/>
        <v>46114</v>
      </c>
      <c r="C142" s="7">
        <f t="shared" si="8"/>
        <v>46120</v>
      </c>
      <c r="D142" s="6">
        <v>3280</v>
      </c>
      <c r="E142" s="6">
        <v>337</v>
      </c>
      <c r="F142" s="6">
        <v>4</v>
      </c>
      <c r="G142" s="15">
        <v>1</v>
      </c>
      <c r="H142" s="15"/>
      <c r="I142" s="15" t="s">
        <v>1505</v>
      </c>
      <c r="J142" s="15">
        <v>57635700</v>
      </c>
      <c r="K142" s="15" t="s">
        <v>2075</v>
      </c>
      <c r="L142" s="15" t="s">
        <v>2081</v>
      </c>
      <c r="M142" s="15">
        <v>249900</v>
      </c>
      <c r="N142" s="9">
        <f t="shared" si="11"/>
        <v>0.9</v>
      </c>
      <c r="O142" s="8">
        <f t="shared" si="9"/>
        <v>24990</v>
      </c>
      <c r="P142" s="6" t="s">
        <v>15</v>
      </c>
    </row>
    <row r="143" spans="1:16" x14ac:dyDescent="0.25">
      <c r="A143" s="7" t="str">
        <f t="shared" si="10"/>
        <v>2022 ALL D90</v>
      </c>
      <c r="B143" s="7">
        <f t="shared" si="10"/>
        <v>46114</v>
      </c>
      <c r="C143" s="7">
        <f t="shared" si="8"/>
        <v>46120</v>
      </c>
      <c r="D143" s="6">
        <v>3280</v>
      </c>
      <c r="E143" s="6">
        <v>337</v>
      </c>
      <c r="F143" s="6">
        <v>4</v>
      </c>
      <c r="G143" s="15">
        <v>1</v>
      </c>
      <c r="H143" s="15"/>
      <c r="I143" s="15" t="s">
        <v>1505</v>
      </c>
      <c r="J143" s="15">
        <v>57635719</v>
      </c>
      <c r="K143" s="15" t="s">
        <v>2075</v>
      </c>
      <c r="L143" s="15" t="s">
        <v>2078</v>
      </c>
      <c r="M143" s="15">
        <v>259900</v>
      </c>
      <c r="N143" s="9">
        <f t="shared" si="11"/>
        <v>0.9</v>
      </c>
      <c r="O143" s="8">
        <f t="shared" si="9"/>
        <v>25990</v>
      </c>
      <c r="P143" s="6" t="s">
        <v>15</v>
      </c>
    </row>
    <row r="144" spans="1:16" x14ac:dyDescent="0.25">
      <c r="A144" s="7" t="str">
        <f t="shared" si="10"/>
        <v>2022 ALL D90</v>
      </c>
      <c r="B144" s="7">
        <f t="shared" si="10"/>
        <v>46114</v>
      </c>
      <c r="C144" s="7">
        <f t="shared" si="8"/>
        <v>46120</v>
      </c>
      <c r="D144" s="6">
        <v>3280</v>
      </c>
      <c r="E144" s="6">
        <v>337</v>
      </c>
      <c r="F144" s="6">
        <v>4</v>
      </c>
      <c r="G144" s="15">
        <v>1</v>
      </c>
      <c r="H144" s="15"/>
      <c r="I144" s="15" t="s">
        <v>1505</v>
      </c>
      <c r="J144" s="15">
        <v>57635728</v>
      </c>
      <c r="K144" s="15" t="s">
        <v>2075</v>
      </c>
      <c r="L144" s="15" t="s">
        <v>2079</v>
      </c>
      <c r="M144" s="15">
        <v>259900</v>
      </c>
      <c r="N144" s="9">
        <f t="shared" si="11"/>
        <v>0.9</v>
      </c>
      <c r="O144" s="8">
        <f t="shared" si="9"/>
        <v>25990</v>
      </c>
      <c r="P144" s="6" t="s">
        <v>15</v>
      </c>
    </row>
    <row r="145" spans="1:16" x14ac:dyDescent="0.25">
      <c r="A145" s="7" t="str">
        <f t="shared" si="10"/>
        <v>2022 ALL D90</v>
      </c>
      <c r="B145" s="7">
        <f t="shared" si="10"/>
        <v>46114</v>
      </c>
      <c r="C145" s="7">
        <f t="shared" si="8"/>
        <v>46120</v>
      </c>
      <c r="D145" s="6">
        <v>3280</v>
      </c>
      <c r="E145" s="6">
        <v>337</v>
      </c>
      <c r="F145" s="6">
        <v>4</v>
      </c>
      <c r="G145" s="15">
        <v>1</v>
      </c>
      <c r="H145" s="15"/>
      <c r="I145" s="15" t="s">
        <v>1505</v>
      </c>
      <c r="J145" s="15">
        <v>57635737</v>
      </c>
      <c r="K145" s="15" t="s">
        <v>2075</v>
      </c>
      <c r="L145" s="15" t="s">
        <v>2080</v>
      </c>
      <c r="M145" s="15">
        <v>259900</v>
      </c>
      <c r="N145" s="9">
        <f t="shared" si="11"/>
        <v>0.9</v>
      </c>
      <c r="O145" s="8">
        <f t="shared" si="9"/>
        <v>25990</v>
      </c>
      <c r="P145" s="6" t="s">
        <v>15</v>
      </c>
    </row>
    <row r="146" spans="1:16" x14ac:dyDescent="0.25">
      <c r="A146" s="7" t="str">
        <f t="shared" si="10"/>
        <v>2022 ALL D90</v>
      </c>
      <c r="B146" s="7">
        <f t="shared" si="10"/>
        <v>46114</v>
      </c>
      <c r="C146" s="7">
        <f t="shared" si="8"/>
        <v>46120</v>
      </c>
      <c r="D146" s="6">
        <v>3280</v>
      </c>
      <c r="E146" s="6">
        <v>337</v>
      </c>
      <c r="F146" s="6">
        <v>4</v>
      </c>
      <c r="G146" s="15">
        <v>1</v>
      </c>
      <c r="H146" s="15"/>
      <c r="I146" s="15" t="s">
        <v>1505</v>
      </c>
      <c r="J146" s="15">
        <v>57637155</v>
      </c>
      <c r="K146" s="15" t="s">
        <v>2082</v>
      </c>
      <c r="L146" s="15" t="s">
        <v>2083</v>
      </c>
      <c r="M146" s="15">
        <v>249900</v>
      </c>
      <c r="N146" s="9">
        <f t="shared" si="11"/>
        <v>0.9</v>
      </c>
      <c r="O146" s="8">
        <f t="shared" si="9"/>
        <v>24990</v>
      </c>
      <c r="P146" s="6" t="s">
        <v>15</v>
      </c>
    </row>
    <row r="147" spans="1:16" x14ac:dyDescent="0.25">
      <c r="A147" s="7" t="str">
        <f t="shared" si="10"/>
        <v>2022 ALL D90</v>
      </c>
      <c r="B147" s="7">
        <f t="shared" si="10"/>
        <v>46114</v>
      </c>
      <c r="C147" s="7">
        <f t="shared" si="8"/>
        <v>46120</v>
      </c>
      <c r="D147" s="6">
        <v>3280</v>
      </c>
      <c r="E147" s="6">
        <v>337</v>
      </c>
      <c r="F147" s="6">
        <v>4</v>
      </c>
      <c r="G147" s="15">
        <v>1</v>
      </c>
      <c r="H147" s="15"/>
      <c r="I147" s="15" t="s">
        <v>1505</v>
      </c>
      <c r="J147" s="15">
        <v>57637164</v>
      </c>
      <c r="K147" s="15" t="s">
        <v>2082</v>
      </c>
      <c r="L147" s="15" t="s">
        <v>2084</v>
      </c>
      <c r="M147" s="15">
        <v>249900</v>
      </c>
      <c r="N147" s="9">
        <f t="shared" si="11"/>
        <v>0.9</v>
      </c>
      <c r="O147" s="8">
        <f t="shared" si="9"/>
        <v>24990</v>
      </c>
      <c r="P147" s="6" t="s">
        <v>15</v>
      </c>
    </row>
    <row r="148" spans="1:16" x14ac:dyDescent="0.25">
      <c r="A148" s="7" t="str">
        <f t="shared" si="10"/>
        <v>2022 ALL D90</v>
      </c>
      <c r="B148" s="7">
        <f t="shared" si="10"/>
        <v>46114</v>
      </c>
      <c r="C148" s="7">
        <f t="shared" si="8"/>
        <v>46120</v>
      </c>
      <c r="D148" s="6">
        <v>3280</v>
      </c>
      <c r="E148" s="6">
        <v>337</v>
      </c>
      <c r="F148" s="6">
        <v>4</v>
      </c>
      <c r="G148" s="15">
        <v>1</v>
      </c>
      <c r="H148" s="15"/>
      <c r="I148" s="15" t="s">
        <v>1505</v>
      </c>
      <c r="J148" s="15">
        <v>57637173</v>
      </c>
      <c r="K148" s="15" t="s">
        <v>2082</v>
      </c>
      <c r="L148" s="15" t="s">
        <v>2085</v>
      </c>
      <c r="M148" s="15">
        <v>249900</v>
      </c>
      <c r="N148" s="9">
        <f t="shared" si="11"/>
        <v>0.9</v>
      </c>
      <c r="O148" s="8">
        <f t="shared" si="9"/>
        <v>24990</v>
      </c>
      <c r="P148" s="6" t="s">
        <v>15</v>
      </c>
    </row>
    <row r="149" spans="1:16" x14ac:dyDescent="0.25">
      <c r="A149" s="7" t="str">
        <f t="shared" si="10"/>
        <v>2022 ALL D90</v>
      </c>
      <c r="B149" s="7">
        <f t="shared" si="10"/>
        <v>46114</v>
      </c>
      <c r="C149" s="7">
        <f t="shared" si="8"/>
        <v>46120</v>
      </c>
      <c r="D149" s="6">
        <v>3280</v>
      </c>
      <c r="E149" s="6">
        <v>337</v>
      </c>
      <c r="F149" s="6">
        <v>4</v>
      </c>
      <c r="G149" s="15">
        <v>1</v>
      </c>
      <c r="H149" s="15"/>
      <c r="I149" s="15" t="s">
        <v>1505</v>
      </c>
      <c r="J149" s="15">
        <v>57637182</v>
      </c>
      <c r="K149" s="15" t="s">
        <v>2082</v>
      </c>
      <c r="L149" s="15" t="s">
        <v>2086</v>
      </c>
      <c r="M149" s="15">
        <v>259900</v>
      </c>
      <c r="N149" s="9">
        <f t="shared" si="11"/>
        <v>0.9</v>
      </c>
      <c r="O149" s="8">
        <f t="shared" si="9"/>
        <v>25990</v>
      </c>
      <c r="P149" s="6" t="s">
        <v>15</v>
      </c>
    </row>
    <row r="150" spans="1:16" x14ac:dyDescent="0.25">
      <c r="A150" s="7" t="str">
        <f t="shared" si="10"/>
        <v>2022 ALL D90</v>
      </c>
      <c r="B150" s="7">
        <f t="shared" si="10"/>
        <v>46114</v>
      </c>
      <c r="C150" s="7">
        <f t="shared" si="8"/>
        <v>46120</v>
      </c>
      <c r="D150" s="6">
        <v>3280</v>
      </c>
      <c r="E150" s="6">
        <v>337</v>
      </c>
      <c r="F150" s="6">
        <v>4</v>
      </c>
      <c r="G150" s="15">
        <v>1</v>
      </c>
      <c r="H150" s="15"/>
      <c r="I150" s="15" t="s">
        <v>1505</v>
      </c>
      <c r="J150" s="15">
        <v>57637191</v>
      </c>
      <c r="K150" s="15" t="s">
        <v>2082</v>
      </c>
      <c r="L150" s="15" t="s">
        <v>2087</v>
      </c>
      <c r="M150" s="15">
        <v>259900</v>
      </c>
      <c r="N150" s="9">
        <f t="shared" si="11"/>
        <v>0.9</v>
      </c>
      <c r="O150" s="8">
        <f t="shared" si="9"/>
        <v>25990</v>
      </c>
      <c r="P150" s="6" t="s">
        <v>15</v>
      </c>
    </row>
    <row r="151" spans="1:16" x14ac:dyDescent="0.25">
      <c r="A151" s="7" t="str">
        <f t="shared" si="10"/>
        <v>2022 ALL D90</v>
      </c>
      <c r="B151" s="7">
        <f t="shared" si="10"/>
        <v>46114</v>
      </c>
      <c r="C151" s="7">
        <f t="shared" si="8"/>
        <v>46120</v>
      </c>
      <c r="D151" s="6">
        <v>3280</v>
      </c>
      <c r="E151" s="6">
        <v>337</v>
      </c>
      <c r="F151" s="6">
        <v>4</v>
      </c>
      <c r="G151" s="15">
        <v>1</v>
      </c>
      <c r="H151" s="15"/>
      <c r="I151" s="15" t="s">
        <v>1505</v>
      </c>
      <c r="J151" s="15">
        <v>57637208</v>
      </c>
      <c r="K151" s="15" t="s">
        <v>2082</v>
      </c>
      <c r="L151" s="15" t="s">
        <v>2088</v>
      </c>
      <c r="M151" s="15">
        <v>259900</v>
      </c>
      <c r="N151" s="9">
        <f t="shared" si="11"/>
        <v>0.9</v>
      </c>
      <c r="O151" s="8">
        <f t="shared" si="9"/>
        <v>25990</v>
      </c>
      <c r="P151" s="6" t="s">
        <v>15</v>
      </c>
    </row>
    <row r="152" spans="1:16" x14ac:dyDescent="0.25">
      <c r="A152" s="7" t="str">
        <f t="shared" si="10"/>
        <v>2022 ALL D90</v>
      </c>
      <c r="B152" s="7">
        <f t="shared" si="10"/>
        <v>46114</v>
      </c>
      <c r="C152" s="7">
        <f t="shared" si="8"/>
        <v>46120</v>
      </c>
      <c r="D152" s="6">
        <v>3280</v>
      </c>
      <c r="E152" s="6">
        <v>337</v>
      </c>
      <c r="F152" s="6">
        <v>4</v>
      </c>
      <c r="G152" s="15">
        <v>1</v>
      </c>
      <c r="H152" s="15"/>
      <c r="I152" s="15" t="s">
        <v>1505</v>
      </c>
      <c r="J152" s="15">
        <v>65109424</v>
      </c>
      <c r="K152" s="15" t="s">
        <v>2054</v>
      </c>
      <c r="L152" s="15" t="s">
        <v>2058</v>
      </c>
      <c r="M152" s="15">
        <v>249900</v>
      </c>
      <c r="N152" s="9">
        <f t="shared" si="11"/>
        <v>0.9</v>
      </c>
      <c r="O152" s="8">
        <f t="shared" si="9"/>
        <v>24990</v>
      </c>
      <c r="P152" s="6" t="s">
        <v>15</v>
      </c>
    </row>
    <row r="153" spans="1:16" x14ac:dyDescent="0.25">
      <c r="A153" s="7" t="str">
        <f t="shared" si="10"/>
        <v>2022 ALL D90</v>
      </c>
      <c r="B153" s="7">
        <f t="shared" si="10"/>
        <v>46114</v>
      </c>
      <c r="C153" s="7">
        <f t="shared" si="8"/>
        <v>46120</v>
      </c>
      <c r="D153" s="6">
        <v>3280</v>
      </c>
      <c r="E153" s="6">
        <v>337</v>
      </c>
      <c r="F153" s="6">
        <v>4</v>
      </c>
      <c r="G153" s="15">
        <v>1</v>
      </c>
      <c r="H153" s="15"/>
      <c r="I153" s="15" t="s">
        <v>1505</v>
      </c>
      <c r="J153" s="15">
        <v>65109433</v>
      </c>
      <c r="K153" s="15" t="s">
        <v>2054</v>
      </c>
      <c r="L153" s="15" t="s">
        <v>2055</v>
      </c>
      <c r="M153" s="15">
        <v>249900</v>
      </c>
      <c r="N153" s="9">
        <f t="shared" si="11"/>
        <v>0.9</v>
      </c>
      <c r="O153" s="8">
        <f t="shared" si="9"/>
        <v>24990</v>
      </c>
      <c r="P153" s="6" t="s">
        <v>15</v>
      </c>
    </row>
    <row r="154" spans="1:16" x14ac:dyDescent="0.25">
      <c r="A154" s="7" t="str">
        <f t="shared" si="10"/>
        <v>2022 ALL D90</v>
      </c>
      <c r="B154" s="7">
        <f t="shared" si="10"/>
        <v>46114</v>
      </c>
      <c r="C154" s="7">
        <f t="shared" si="8"/>
        <v>46120</v>
      </c>
      <c r="D154" s="6">
        <v>3280</v>
      </c>
      <c r="E154" s="6">
        <v>337</v>
      </c>
      <c r="F154" s="6">
        <v>4</v>
      </c>
      <c r="G154" s="15">
        <v>1</v>
      </c>
      <c r="H154" s="15"/>
      <c r="I154" s="15" t="s">
        <v>1505</v>
      </c>
      <c r="J154" s="15">
        <v>65109442</v>
      </c>
      <c r="K154" s="15" t="s">
        <v>2054</v>
      </c>
      <c r="L154" s="15" t="s">
        <v>2059</v>
      </c>
      <c r="M154" s="15">
        <v>249900</v>
      </c>
      <c r="N154" s="9">
        <f t="shared" si="11"/>
        <v>0.9</v>
      </c>
      <c r="O154" s="8">
        <f t="shared" si="9"/>
        <v>24990</v>
      </c>
      <c r="P154" s="6" t="s">
        <v>15</v>
      </c>
    </row>
    <row r="155" spans="1:16" x14ac:dyDescent="0.25">
      <c r="A155" s="7" t="str">
        <f t="shared" si="10"/>
        <v>2022 ALL D90</v>
      </c>
      <c r="B155" s="7">
        <f t="shared" si="10"/>
        <v>46114</v>
      </c>
      <c r="C155" s="7">
        <f t="shared" si="8"/>
        <v>46120</v>
      </c>
      <c r="D155" s="6">
        <v>3280</v>
      </c>
      <c r="E155" s="6">
        <v>337</v>
      </c>
      <c r="F155" s="6">
        <v>4</v>
      </c>
      <c r="G155" s="15">
        <v>1</v>
      </c>
      <c r="H155" s="15"/>
      <c r="I155" s="15" t="s">
        <v>1505</v>
      </c>
      <c r="J155" s="15">
        <v>65109451</v>
      </c>
      <c r="K155" s="15" t="s">
        <v>2054</v>
      </c>
      <c r="L155" s="15" t="s">
        <v>2060</v>
      </c>
      <c r="M155" s="15">
        <v>259900</v>
      </c>
      <c r="N155" s="9">
        <f t="shared" si="11"/>
        <v>0.9</v>
      </c>
      <c r="O155" s="8">
        <f t="shared" si="9"/>
        <v>25990</v>
      </c>
      <c r="P155" s="6" t="s">
        <v>15</v>
      </c>
    </row>
    <row r="156" spans="1:16" x14ac:dyDescent="0.25">
      <c r="A156" s="7" t="str">
        <f t="shared" si="10"/>
        <v>2022 ALL D90</v>
      </c>
      <c r="B156" s="7">
        <f t="shared" si="10"/>
        <v>46114</v>
      </c>
      <c r="C156" s="7">
        <f t="shared" si="8"/>
        <v>46120</v>
      </c>
      <c r="D156" s="6">
        <v>3280</v>
      </c>
      <c r="E156" s="6">
        <v>337</v>
      </c>
      <c r="F156" s="6">
        <v>4</v>
      </c>
      <c r="G156" s="15">
        <v>1</v>
      </c>
      <c r="H156" s="15"/>
      <c r="I156" s="15" t="s">
        <v>1505</v>
      </c>
      <c r="J156" s="15">
        <v>65109460</v>
      </c>
      <c r="K156" s="15" t="s">
        <v>2054</v>
      </c>
      <c r="L156" s="15" t="s">
        <v>2056</v>
      </c>
      <c r="M156" s="15">
        <v>259900</v>
      </c>
      <c r="N156" s="9">
        <f t="shared" si="11"/>
        <v>0.9</v>
      </c>
      <c r="O156" s="8">
        <f t="shared" si="9"/>
        <v>25990</v>
      </c>
      <c r="P156" s="6" t="s">
        <v>15</v>
      </c>
    </row>
    <row r="157" spans="1:16" x14ac:dyDescent="0.25">
      <c r="A157" s="7" t="str">
        <f t="shared" si="10"/>
        <v>2022 ALL D90</v>
      </c>
      <c r="B157" s="7">
        <f t="shared" si="10"/>
        <v>46114</v>
      </c>
      <c r="C157" s="7">
        <f t="shared" si="8"/>
        <v>46120</v>
      </c>
      <c r="D157" s="6">
        <v>3280</v>
      </c>
      <c r="E157" s="6">
        <v>337</v>
      </c>
      <c r="F157" s="6">
        <v>4</v>
      </c>
      <c r="G157" s="15">
        <v>1</v>
      </c>
      <c r="H157" s="15"/>
      <c r="I157" s="15" t="s">
        <v>1505</v>
      </c>
      <c r="J157" s="15">
        <v>65109479</v>
      </c>
      <c r="K157" s="15" t="s">
        <v>2054</v>
      </c>
      <c r="L157" s="15" t="s">
        <v>2057</v>
      </c>
      <c r="M157" s="15">
        <v>259900</v>
      </c>
      <c r="N157" s="9">
        <f t="shared" si="11"/>
        <v>0.9</v>
      </c>
      <c r="O157" s="8">
        <f t="shared" si="9"/>
        <v>25990</v>
      </c>
      <c r="P157" s="6" t="s">
        <v>15</v>
      </c>
    </row>
    <row r="158" spans="1:16" x14ac:dyDescent="0.25">
      <c r="A158" s="7" t="str">
        <f t="shared" si="10"/>
        <v>2022 ALL D90</v>
      </c>
      <c r="B158" s="7">
        <f t="shared" si="10"/>
        <v>46114</v>
      </c>
      <c r="C158" s="7">
        <f t="shared" si="8"/>
        <v>46120</v>
      </c>
      <c r="D158" s="6">
        <v>3280</v>
      </c>
      <c r="E158" s="6">
        <v>337</v>
      </c>
      <c r="F158" s="6">
        <v>4</v>
      </c>
      <c r="G158" s="15">
        <v>1</v>
      </c>
      <c r="H158" s="15"/>
      <c r="I158" s="15" t="s">
        <v>1505</v>
      </c>
      <c r="J158" s="15">
        <v>66936789</v>
      </c>
      <c r="K158" s="15" t="s">
        <v>2061</v>
      </c>
      <c r="L158" s="15" t="s">
        <v>2063</v>
      </c>
      <c r="M158" s="15">
        <v>239900</v>
      </c>
      <c r="N158" s="9">
        <f t="shared" si="11"/>
        <v>0.9</v>
      </c>
      <c r="O158" s="8">
        <f t="shared" si="9"/>
        <v>23990</v>
      </c>
      <c r="P158" s="6" t="s">
        <v>15</v>
      </c>
    </row>
    <row r="159" spans="1:16" x14ac:dyDescent="0.25">
      <c r="A159" s="7" t="str">
        <f t="shared" si="10"/>
        <v>2022 ALL D90</v>
      </c>
      <c r="B159" s="7">
        <f t="shared" si="10"/>
        <v>46114</v>
      </c>
      <c r="C159" s="7">
        <f t="shared" si="8"/>
        <v>46120</v>
      </c>
      <c r="D159" s="6">
        <v>3280</v>
      </c>
      <c r="E159" s="6">
        <v>337</v>
      </c>
      <c r="F159" s="6">
        <v>4</v>
      </c>
      <c r="G159" s="15">
        <v>1</v>
      </c>
      <c r="H159" s="15"/>
      <c r="I159" s="15" t="s">
        <v>1505</v>
      </c>
      <c r="J159" s="15">
        <v>66936798</v>
      </c>
      <c r="K159" s="15" t="s">
        <v>2061</v>
      </c>
      <c r="L159" s="15" t="s">
        <v>2064</v>
      </c>
      <c r="M159" s="15">
        <v>239900</v>
      </c>
      <c r="N159" s="9">
        <f t="shared" si="11"/>
        <v>0.9</v>
      </c>
      <c r="O159" s="8">
        <f t="shared" si="9"/>
        <v>23990</v>
      </c>
      <c r="P159" s="6" t="s">
        <v>15</v>
      </c>
    </row>
    <row r="160" spans="1:16" x14ac:dyDescent="0.25">
      <c r="A160" s="7" t="str">
        <f t="shared" si="10"/>
        <v>2022 ALL D90</v>
      </c>
      <c r="B160" s="7">
        <f t="shared" si="10"/>
        <v>46114</v>
      </c>
      <c r="C160" s="7">
        <f t="shared" si="8"/>
        <v>46120</v>
      </c>
      <c r="D160" s="6">
        <v>3280</v>
      </c>
      <c r="E160" s="6">
        <v>337</v>
      </c>
      <c r="F160" s="6">
        <v>4</v>
      </c>
      <c r="G160" s="15">
        <v>1</v>
      </c>
      <c r="H160" s="15"/>
      <c r="I160" s="15" t="s">
        <v>1505</v>
      </c>
      <c r="J160" s="15">
        <v>66936805</v>
      </c>
      <c r="K160" s="15" t="s">
        <v>2061</v>
      </c>
      <c r="L160" s="15" t="s">
        <v>2065</v>
      </c>
      <c r="M160" s="15">
        <v>239900</v>
      </c>
      <c r="N160" s="9">
        <f t="shared" si="11"/>
        <v>0.9</v>
      </c>
      <c r="O160" s="8">
        <f t="shared" si="9"/>
        <v>23990</v>
      </c>
      <c r="P160" s="6" t="s">
        <v>15</v>
      </c>
    </row>
    <row r="161" spans="1:16" x14ac:dyDescent="0.25">
      <c r="A161" s="7" t="str">
        <f t="shared" si="10"/>
        <v>2022 ALL D90</v>
      </c>
      <c r="B161" s="7">
        <f t="shared" si="10"/>
        <v>46114</v>
      </c>
      <c r="C161" s="7">
        <f t="shared" si="8"/>
        <v>46120</v>
      </c>
      <c r="D161" s="6">
        <v>3280</v>
      </c>
      <c r="E161" s="6">
        <v>337</v>
      </c>
      <c r="F161" s="6">
        <v>4</v>
      </c>
      <c r="G161" s="15">
        <v>1</v>
      </c>
      <c r="H161" s="15"/>
      <c r="I161" s="15" t="s">
        <v>1505</v>
      </c>
      <c r="J161" s="15">
        <v>66936814</v>
      </c>
      <c r="K161" s="15" t="s">
        <v>2061</v>
      </c>
      <c r="L161" s="15" t="s">
        <v>2066</v>
      </c>
      <c r="M161" s="15">
        <v>249900</v>
      </c>
      <c r="N161" s="9">
        <f t="shared" si="11"/>
        <v>0.9</v>
      </c>
      <c r="O161" s="8">
        <f t="shared" si="9"/>
        <v>24990</v>
      </c>
      <c r="P161" s="6" t="s">
        <v>15</v>
      </c>
    </row>
    <row r="162" spans="1:16" x14ac:dyDescent="0.25">
      <c r="A162" s="7" t="str">
        <f t="shared" si="10"/>
        <v>2022 ALL D90</v>
      </c>
      <c r="B162" s="7">
        <f t="shared" si="10"/>
        <v>46114</v>
      </c>
      <c r="C162" s="7">
        <f t="shared" si="8"/>
        <v>46120</v>
      </c>
      <c r="D162" s="6">
        <v>3280</v>
      </c>
      <c r="E162" s="6">
        <v>337</v>
      </c>
      <c r="F162" s="6">
        <v>4</v>
      </c>
      <c r="G162" s="15">
        <v>1</v>
      </c>
      <c r="H162" s="15"/>
      <c r="I162" s="15" t="s">
        <v>1505</v>
      </c>
      <c r="J162" s="15">
        <v>66936823</v>
      </c>
      <c r="K162" s="15" t="s">
        <v>2061</v>
      </c>
      <c r="L162" s="15" t="s">
        <v>2067</v>
      </c>
      <c r="M162" s="15">
        <v>249900</v>
      </c>
      <c r="N162" s="9">
        <f t="shared" si="11"/>
        <v>0.9</v>
      </c>
      <c r="O162" s="8">
        <f t="shared" si="9"/>
        <v>24990</v>
      </c>
      <c r="P162" s="6" t="s">
        <v>15</v>
      </c>
    </row>
    <row r="163" spans="1:16" x14ac:dyDescent="0.25">
      <c r="A163" s="7" t="str">
        <f t="shared" si="10"/>
        <v>2022 ALL D90</v>
      </c>
      <c r="B163" s="7">
        <f t="shared" si="10"/>
        <v>46114</v>
      </c>
      <c r="C163" s="7">
        <f t="shared" si="10"/>
        <v>46120</v>
      </c>
      <c r="D163" s="6">
        <v>3280</v>
      </c>
      <c r="E163" s="6">
        <v>337</v>
      </c>
      <c r="F163" s="6">
        <v>4</v>
      </c>
      <c r="G163" s="15">
        <v>1</v>
      </c>
      <c r="H163" s="15"/>
      <c r="I163" s="15" t="s">
        <v>1505</v>
      </c>
      <c r="J163" s="15">
        <v>66936832</v>
      </c>
      <c r="K163" s="15" t="s">
        <v>2061</v>
      </c>
      <c r="L163" s="15" t="s">
        <v>2062</v>
      </c>
      <c r="M163" s="15">
        <v>249900</v>
      </c>
      <c r="N163" s="9">
        <f t="shared" si="11"/>
        <v>0.9</v>
      </c>
      <c r="O163" s="8">
        <f t="shared" si="9"/>
        <v>24990</v>
      </c>
      <c r="P163" s="6" t="s">
        <v>15</v>
      </c>
    </row>
    <row r="164" spans="1:16" x14ac:dyDescent="0.25">
      <c r="A164" s="7" t="str">
        <f t="shared" si="10"/>
        <v>2022 ALL D90</v>
      </c>
      <c r="B164" s="7">
        <f t="shared" si="10"/>
        <v>46114</v>
      </c>
      <c r="C164" s="7">
        <f t="shared" si="10"/>
        <v>46120</v>
      </c>
      <c r="D164" s="6">
        <v>3280</v>
      </c>
      <c r="E164" s="6">
        <v>337</v>
      </c>
      <c r="F164" s="6">
        <v>4</v>
      </c>
      <c r="G164" s="15">
        <v>1</v>
      </c>
      <c r="H164" s="15"/>
      <c r="I164" s="15" t="s">
        <v>1505</v>
      </c>
      <c r="J164" s="15">
        <v>59646865</v>
      </c>
      <c r="K164" s="15" t="s">
        <v>2232</v>
      </c>
      <c r="L164" s="15" t="s">
        <v>2236</v>
      </c>
      <c r="M164" s="15">
        <v>209900</v>
      </c>
      <c r="N164" s="9">
        <f t="shared" si="11"/>
        <v>0.9</v>
      </c>
      <c r="O164" s="8">
        <f t="shared" si="9"/>
        <v>20990</v>
      </c>
      <c r="P164" s="6" t="s">
        <v>15</v>
      </c>
    </row>
    <row r="165" spans="1:16" x14ac:dyDescent="0.25">
      <c r="A165" s="7" t="str">
        <f t="shared" si="10"/>
        <v>2022 ALL D90</v>
      </c>
      <c r="B165" s="7">
        <f t="shared" si="10"/>
        <v>46114</v>
      </c>
      <c r="C165" s="7">
        <f t="shared" si="10"/>
        <v>46120</v>
      </c>
      <c r="D165" s="6">
        <v>3280</v>
      </c>
      <c r="E165" s="6">
        <v>337</v>
      </c>
      <c r="F165" s="6">
        <v>4</v>
      </c>
      <c r="G165" s="15">
        <v>1</v>
      </c>
      <c r="H165" s="15"/>
      <c r="I165" s="15" t="s">
        <v>1505</v>
      </c>
      <c r="J165" s="15">
        <v>59646874</v>
      </c>
      <c r="K165" s="15" t="s">
        <v>2232</v>
      </c>
      <c r="L165" s="15" t="s">
        <v>2237</v>
      </c>
      <c r="M165" s="15">
        <v>209900</v>
      </c>
      <c r="N165" s="9">
        <f t="shared" si="11"/>
        <v>0.9</v>
      </c>
      <c r="O165" s="8">
        <f t="shared" si="9"/>
        <v>20990</v>
      </c>
      <c r="P165" s="6" t="s">
        <v>15</v>
      </c>
    </row>
    <row r="166" spans="1:16" x14ac:dyDescent="0.25">
      <c r="A166" s="7" t="str">
        <f t="shared" si="10"/>
        <v>2022 ALL D90</v>
      </c>
      <c r="B166" s="7">
        <f t="shared" si="10"/>
        <v>46114</v>
      </c>
      <c r="C166" s="7">
        <f t="shared" si="10"/>
        <v>46120</v>
      </c>
      <c r="D166" s="6">
        <v>3280</v>
      </c>
      <c r="E166" s="6">
        <v>337</v>
      </c>
      <c r="F166" s="6">
        <v>4</v>
      </c>
      <c r="G166" s="15">
        <v>1</v>
      </c>
      <c r="H166" s="15"/>
      <c r="I166" s="15" t="s">
        <v>1505</v>
      </c>
      <c r="J166" s="15">
        <v>59646883</v>
      </c>
      <c r="K166" s="15" t="s">
        <v>2232</v>
      </c>
      <c r="L166" s="15" t="s">
        <v>2238</v>
      </c>
      <c r="M166" s="15">
        <v>209900</v>
      </c>
      <c r="N166" s="9">
        <f t="shared" si="11"/>
        <v>0.9</v>
      </c>
      <c r="O166" s="8">
        <f t="shared" si="9"/>
        <v>20990</v>
      </c>
      <c r="P166" s="6" t="s">
        <v>15</v>
      </c>
    </row>
    <row r="167" spans="1:16" x14ac:dyDescent="0.25">
      <c r="A167" s="7" t="str">
        <f t="shared" si="10"/>
        <v>2022 ALL D90</v>
      </c>
      <c r="B167" s="7">
        <f t="shared" si="10"/>
        <v>46114</v>
      </c>
      <c r="C167" s="7">
        <f t="shared" si="10"/>
        <v>46120</v>
      </c>
      <c r="D167" s="6">
        <v>3280</v>
      </c>
      <c r="E167" s="6">
        <v>337</v>
      </c>
      <c r="F167" s="6">
        <v>4</v>
      </c>
      <c r="G167" s="15">
        <v>1</v>
      </c>
      <c r="H167" s="15"/>
      <c r="I167" s="15" t="s">
        <v>1505</v>
      </c>
      <c r="J167" s="15">
        <v>59646892</v>
      </c>
      <c r="K167" s="15" t="s">
        <v>2232</v>
      </c>
      <c r="L167" s="15" t="s">
        <v>2234</v>
      </c>
      <c r="M167" s="15">
        <v>219900</v>
      </c>
      <c r="N167" s="9">
        <f t="shared" si="11"/>
        <v>0.9</v>
      </c>
      <c r="O167" s="8">
        <f t="shared" si="9"/>
        <v>21990</v>
      </c>
      <c r="P167" s="6" t="s">
        <v>15</v>
      </c>
    </row>
    <row r="168" spans="1:16" x14ac:dyDescent="0.25">
      <c r="A168" s="7" t="str">
        <f t="shared" si="10"/>
        <v>2022 ALL D90</v>
      </c>
      <c r="B168" s="7">
        <f t="shared" si="10"/>
        <v>46114</v>
      </c>
      <c r="C168" s="7">
        <f t="shared" si="10"/>
        <v>46120</v>
      </c>
      <c r="D168" s="6">
        <v>3280</v>
      </c>
      <c r="E168" s="6">
        <v>337</v>
      </c>
      <c r="F168" s="6">
        <v>4</v>
      </c>
      <c r="G168" s="15">
        <v>1</v>
      </c>
      <c r="H168" s="15"/>
      <c r="I168" s="15" t="s">
        <v>1505</v>
      </c>
      <c r="J168" s="15">
        <v>59646909</v>
      </c>
      <c r="K168" s="15" t="s">
        <v>2232</v>
      </c>
      <c r="L168" s="15" t="s">
        <v>2235</v>
      </c>
      <c r="M168" s="15">
        <v>219900</v>
      </c>
      <c r="N168" s="9">
        <f t="shared" si="11"/>
        <v>0.9</v>
      </c>
      <c r="O168" s="8">
        <f t="shared" si="9"/>
        <v>21990</v>
      </c>
      <c r="P168" s="6" t="s">
        <v>15</v>
      </c>
    </row>
    <row r="169" spans="1:16" x14ac:dyDescent="0.25">
      <c r="A169" s="7" t="str">
        <f t="shared" si="10"/>
        <v>2022 ALL D90</v>
      </c>
      <c r="B169" s="7">
        <f t="shared" si="10"/>
        <v>46114</v>
      </c>
      <c r="C169" s="7">
        <f t="shared" si="10"/>
        <v>46120</v>
      </c>
      <c r="D169" s="6">
        <v>3280</v>
      </c>
      <c r="E169" s="6">
        <v>337</v>
      </c>
      <c r="F169" s="6">
        <v>4</v>
      </c>
      <c r="G169" s="15">
        <v>1</v>
      </c>
      <c r="H169" s="15"/>
      <c r="I169" s="15" t="s">
        <v>1505</v>
      </c>
      <c r="J169" s="15">
        <v>59646918</v>
      </c>
      <c r="K169" s="15" t="s">
        <v>2232</v>
      </c>
      <c r="L169" s="15" t="s">
        <v>2233</v>
      </c>
      <c r="M169" s="15">
        <v>219900</v>
      </c>
      <c r="N169" s="9">
        <f t="shared" si="11"/>
        <v>0.9</v>
      </c>
      <c r="O169" s="8">
        <f t="shared" si="9"/>
        <v>21990</v>
      </c>
      <c r="P169" s="6" t="s">
        <v>15</v>
      </c>
    </row>
    <row r="170" spans="1:16" x14ac:dyDescent="0.25">
      <c r="A170" s="7" t="str">
        <f t="shared" si="10"/>
        <v>2022 ALL D90</v>
      </c>
      <c r="B170" s="7">
        <f t="shared" si="10"/>
        <v>46114</v>
      </c>
      <c r="C170" s="7">
        <f t="shared" si="10"/>
        <v>46120</v>
      </c>
      <c r="D170" s="6">
        <v>3280</v>
      </c>
      <c r="E170" s="6">
        <v>337</v>
      </c>
      <c r="F170" s="6">
        <v>4</v>
      </c>
      <c r="G170" s="15">
        <v>1</v>
      </c>
      <c r="H170" s="15"/>
      <c r="I170" s="15" t="s">
        <v>1505</v>
      </c>
      <c r="J170" s="15">
        <v>60538603</v>
      </c>
      <c r="K170" s="15" t="s">
        <v>2225</v>
      </c>
      <c r="L170" s="15" t="s">
        <v>2226</v>
      </c>
      <c r="M170" s="15">
        <v>209900</v>
      </c>
      <c r="N170" s="9">
        <f t="shared" si="11"/>
        <v>0.9</v>
      </c>
      <c r="O170" s="8">
        <f t="shared" si="9"/>
        <v>20990</v>
      </c>
      <c r="P170" s="6" t="s">
        <v>15</v>
      </c>
    </row>
    <row r="171" spans="1:16" x14ac:dyDescent="0.25">
      <c r="A171" s="7" t="str">
        <f t="shared" si="10"/>
        <v>2022 ALL D90</v>
      </c>
      <c r="B171" s="7">
        <f t="shared" si="10"/>
        <v>46114</v>
      </c>
      <c r="C171" s="7">
        <f t="shared" si="10"/>
        <v>46120</v>
      </c>
      <c r="D171" s="6">
        <v>3280</v>
      </c>
      <c r="E171" s="6">
        <v>337</v>
      </c>
      <c r="F171" s="6">
        <v>4</v>
      </c>
      <c r="G171" s="15">
        <v>1</v>
      </c>
      <c r="H171" s="15"/>
      <c r="I171" s="15" t="s">
        <v>1505</v>
      </c>
      <c r="J171" s="15">
        <v>60538612</v>
      </c>
      <c r="K171" s="15" t="s">
        <v>2225</v>
      </c>
      <c r="L171" s="15" t="s">
        <v>2230</v>
      </c>
      <c r="M171" s="15">
        <v>209900</v>
      </c>
      <c r="N171" s="9">
        <f t="shared" si="11"/>
        <v>0.9</v>
      </c>
      <c r="O171" s="8">
        <f t="shared" si="9"/>
        <v>20990</v>
      </c>
      <c r="P171" s="6" t="s">
        <v>15</v>
      </c>
    </row>
    <row r="172" spans="1:16" x14ac:dyDescent="0.25">
      <c r="A172" s="7" t="str">
        <f t="shared" si="10"/>
        <v>2022 ALL D90</v>
      </c>
      <c r="B172" s="7">
        <f t="shared" si="10"/>
        <v>46114</v>
      </c>
      <c r="C172" s="7">
        <f t="shared" si="10"/>
        <v>46120</v>
      </c>
      <c r="D172" s="6">
        <v>3280</v>
      </c>
      <c r="E172" s="6">
        <v>337</v>
      </c>
      <c r="F172" s="6">
        <v>4</v>
      </c>
      <c r="G172" s="15">
        <v>1</v>
      </c>
      <c r="H172" s="15"/>
      <c r="I172" s="15" t="s">
        <v>1505</v>
      </c>
      <c r="J172" s="15">
        <v>60538621</v>
      </c>
      <c r="K172" s="15" t="s">
        <v>2225</v>
      </c>
      <c r="L172" s="15" t="s">
        <v>2231</v>
      </c>
      <c r="M172" s="15">
        <v>209900</v>
      </c>
      <c r="N172" s="9">
        <f t="shared" si="11"/>
        <v>0.9</v>
      </c>
      <c r="O172" s="8">
        <f t="shared" si="9"/>
        <v>20990</v>
      </c>
      <c r="P172" s="6" t="s">
        <v>15</v>
      </c>
    </row>
    <row r="173" spans="1:16" x14ac:dyDescent="0.25">
      <c r="A173" s="7" t="str">
        <f t="shared" si="10"/>
        <v>2022 ALL D90</v>
      </c>
      <c r="B173" s="7">
        <f t="shared" si="10"/>
        <v>46114</v>
      </c>
      <c r="C173" s="7">
        <f t="shared" si="10"/>
        <v>46120</v>
      </c>
      <c r="D173" s="6">
        <v>3280</v>
      </c>
      <c r="E173" s="6">
        <v>337</v>
      </c>
      <c r="F173" s="6">
        <v>4</v>
      </c>
      <c r="G173" s="15">
        <v>1</v>
      </c>
      <c r="H173" s="15"/>
      <c r="I173" s="15" t="s">
        <v>1505</v>
      </c>
      <c r="J173" s="15">
        <v>60538630</v>
      </c>
      <c r="K173" s="15" t="s">
        <v>2225</v>
      </c>
      <c r="L173" s="15" t="s">
        <v>2227</v>
      </c>
      <c r="M173" s="15">
        <v>219900</v>
      </c>
      <c r="N173" s="9">
        <f t="shared" si="11"/>
        <v>0.9</v>
      </c>
      <c r="O173" s="8">
        <f t="shared" si="9"/>
        <v>21990</v>
      </c>
      <c r="P173" s="6" t="s">
        <v>15</v>
      </c>
    </row>
    <row r="174" spans="1:16" x14ac:dyDescent="0.25">
      <c r="A174" s="7" t="str">
        <f t="shared" si="10"/>
        <v>2022 ALL D90</v>
      </c>
      <c r="B174" s="7">
        <f t="shared" si="10"/>
        <v>46114</v>
      </c>
      <c r="C174" s="7">
        <f t="shared" si="10"/>
        <v>46120</v>
      </c>
      <c r="D174" s="6">
        <v>3280</v>
      </c>
      <c r="E174" s="6">
        <v>337</v>
      </c>
      <c r="F174" s="6">
        <v>4</v>
      </c>
      <c r="G174" s="15">
        <v>1</v>
      </c>
      <c r="H174" s="15"/>
      <c r="I174" s="15" t="s">
        <v>1505</v>
      </c>
      <c r="J174" s="15">
        <v>60538649</v>
      </c>
      <c r="K174" s="15" t="s">
        <v>2225</v>
      </c>
      <c r="L174" s="15" t="s">
        <v>2229</v>
      </c>
      <c r="M174" s="15">
        <v>219900</v>
      </c>
      <c r="N174" s="9">
        <f t="shared" si="11"/>
        <v>0.9</v>
      </c>
      <c r="O174" s="8">
        <f t="shared" si="9"/>
        <v>21990</v>
      </c>
      <c r="P174" s="6" t="s">
        <v>15</v>
      </c>
    </row>
    <row r="175" spans="1:16" x14ac:dyDescent="0.25">
      <c r="A175" s="7" t="str">
        <f t="shared" si="10"/>
        <v>2022 ALL D90</v>
      </c>
      <c r="B175" s="7">
        <f t="shared" si="10"/>
        <v>46114</v>
      </c>
      <c r="C175" s="7">
        <f t="shared" si="10"/>
        <v>46120</v>
      </c>
      <c r="D175" s="6">
        <v>3280</v>
      </c>
      <c r="E175" s="6">
        <v>337</v>
      </c>
      <c r="F175" s="6">
        <v>4</v>
      </c>
      <c r="G175" s="15">
        <v>1</v>
      </c>
      <c r="H175" s="15"/>
      <c r="I175" s="15" t="s">
        <v>1505</v>
      </c>
      <c r="J175" s="15">
        <v>60538658</v>
      </c>
      <c r="K175" s="15" t="s">
        <v>2225</v>
      </c>
      <c r="L175" s="15" t="s">
        <v>2228</v>
      </c>
      <c r="M175" s="15">
        <v>219900</v>
      </c>
      <c r="N175" s="9">
        <f t="shared" si="11"/>
        <v>0.9</v>
      </c>
      <c r="O175" s="8">
        <f t="shared" si="9"/>
        <v>21990</v>
      </c>
      <c r="P175" s="6" t="s">
        <v>15</v>
      </c>
    </row>
    <row r="176" spans="1:16" x14ac:dyDescent="0.25">
      <c r="A176" s="7" t="str">
        <f t="shared" si="10"/>
        <v>2022 ALL D90</v>
      </c>
      <c r="B176" s="7">
        <f t="shared" si="10"/>
        <v>46114</v>
      </c>
      <c r="C176" s="7">
        <f t="shared" si="10"/>
        <v>46120</v>
      </c>
      <c r="D176" s="6">
        <v>3280</v>
      </c>
      <c r="E176" s="6">
        <v>337</v>
      </c>
      <c r="F176" s="6">
        <v>4</v>
      </c>
      <c r="G176" s="15">
        <v>1</v>
      </c>
      <c r="H176" s="15"/>
      <c r="I176" s="15" t="s">
        <v>1505</v>
      </c>
      <c r="J176" s="15">
        <v>65109120</v>
      </c>
      <c r="K176" s="15" t="s">
        <v>2218</v>
      </c>
      <c r="L176" s="15" t="s">
        <v>2219</v>
      </c>
      <c r="M176" s="15">
        <v>219900</v>
      </c>
      <c r="N176" s="9">
        <f t="shared" si="11"/>
        <v>0.9</v>
      </c>
      <c r="O176" s="8">
        <f t="shared" si="9"/>
        <v>21990</v>
      </c>
      <c r="P176" s="6" t="s">
        <v>15</v>
      </c>
    </row>
    <row r="177" spans="1:16" x14ac:dyDescent="0.25">
      <c r="A177" s="7" t="str">
        <f t="shared" si="10"/>
        <v>2022 ALL D90</v>
      </c>
      <c r="B177" s="7">
        <f t="shared" si="10"/>
        <v>46114</v>
      </c>
      <c r="C177" s="7">
        <f t="shared" si="10"/>
        <v>46120</v>
      </c>
      <c r="D177" s="6">
        <v>3280</v>
      </c>
      <c r="E177" s="6">
        <v>337</v>
      </c>
      <c r="F177" s="6">
        <v>4</v>
      </c>
      <c r="G177" s="15">
        <v>1</v>
      </c>
      <c r="H177" s="15"/>
      <c r="I177" s="15" t="s">
        <v>1505</v>
      </c>
      <c r="J177" s="15">
        <v>65109139</v>
      </c>
      <c r="K177" s="15" t="s">
        <v>2218</v>
      </c>
      <c r="L177" s="15" t="s">
        <v>2220</v>
      </c>
      <c r="M177" s="15">
        <v>219900</v>
      </c>
      <c r="N177" s="9">
        <f t="shared" si="11"/>
        <v>0.9</v>
      </c>
      <c r="O177" s="8">
        <f t="shared" si="9"/>
        <v>21990</v>
      </c>
      <c r="P177" s="6" t="s">
        <v>15</v>
      </c>
    </row>
    <row r="178" spans="1:16" x14ac:dyDescent="0.25">
      <c r="A178" s="7" t="str">
        <f t="shared" si="10"/>
        <v>2022 ALL D90</v>
      </c>
      <c r="B178" s="7">
        <f t="shared" si="10"/>
        <v>46114</v>
      </c>
      <c r="C178" s="7">
        <f t="shared" si="10"/>
        <v>46120</v>
      </c>
      <c r="D178" s="6">
        <v>3280</v>
      </c>
      <c r="E178" s="6">
        <v>337</v>
      </c>
      <c r="F178" s="6">
        <v>4</v>
      </c>
      <c r="G178" s="15">
        <v>1</v>
      </c>
      <c r="H178" s="15"/>
      <c r="I178" s="15" t="s">
        <v>1505</v>
      </c>
      <c r="J178" s="15">
        <v>65109148</v>
      </c>
      <c r="K178" s="15" t="s">
        <v>2218</v>
      </c>
      <c r="L178" s="15" t="s">
        <v>2221</v>
      </c>
      <c r="M178" s="15">
        <v>219900</v>
      </c>
      <c r="N178" s="9">
        <f t="shared" si="11"/>
        <v>0.9</v>
      </c>
      <c r="O178" s="8">
        <f t="shared" si="9"/>
        <v>21990</v>
      </c>
      <c r="P178" s="6" t="s">
        <v>15</v>
      </c>
    </row>
    <row r="179" spans="1:16" x14ac:dyDescent="0.25">
      <c r="A179" s="7" t="str">
        <f t="shared" si="10"/>
        <v>2022 ALL D90</v>
      </c>
      <c r="B179" s="7">
        <f t="shared" ref="B179:B242" si="12">B178</f>
        <v>46114</v>
      </c>
      <c r="C179" s="7">
        <f t="shared" ref="C179:C242" si="13">C178</f>
        <v>46120</v>
      </c>
      <c r="D179" s="6">
        <v>3280</v>
      </c>
      <c r="E179" s="6">
        <v>337</v>
      </c>
      <c r="F179" s="6">
        <v>4</v>
      </c>
      <c r="G179" s="15">
        <v>1</v>
      </c>
      <c r="H179" s="15"/>
      <c r="I179" s="15" t="s">
        <v>1505</v>
      </c>
      <c r="J179" s="15">
        <v>65109157</v>
      </c>
      <c r="K179" s="15" t="s">
        <v>2218</v>
      </c>
      <c r="L179" s="15" t="s">
        <v>2222</v>
      </c>
      <c r="M179" s="15">
        <v>229900</v>
      </c>
      <c r="N179" s="9">
        <f t="shared" si="11"/>
        <v>0.9</v>
      </c>
      <c r="O179" s="8">
        <f t="shared" si="9"/>
        <v>22990</v>
      </c>
      <c r="P179" s="6" t="s">
        <v>15</v>
      </c>
    </row>
    <row r="180" spans="1:16" x14ac:dyDescent="0.25">
      <c r="A180" s="7" t="str">
        <f t="shared" si="10"/>
        <v>2022 ALL D90</v>
      </c>
      <c r="B180" s="7">
        <f t="shared" si="12"/>
        <v>46114</v>
      </c>
      <c r="C180" s="7">
        <f t="shared" si="13"/>
        <v>46120</v>
      </c>
      <c r="D180" s="6">
        <v>3280</v>
      </c>
      <c r="E180" s="6">
        <v>337</v>
      </c>
      <c r="F180" s="6">
        <v>4</v>
      </c>
      <c r="G180" s="15">
        <v>1</v>
      </c>
      <c r="H180" s="15"/>
      <c r="I180" s="15" t="s">
        <v>1505</v>
      </c>
      <c r="J180" s="15">
        <v>65109166</v>
      </c>
      <c r="K180" s="15" t="s">
        <v>2218</v>
      </c>
      <c r="L180" s="15" t="s">
        <v>2223</v>
      </c>
      <c r="M180" s="15">
        <v>229900</v>
      </c>
      <c r="N180" s="9">
        <f t="shared" si="11"/>
        <v>0.9</v>
      </c>
      <c r="O180" s="8">
        <f t="shared" si="9"/>
        <v>22990</v>
      </c>
      <c r="P180" s="6" t="s">
        <v>15</v>
      </c>
    </row>
    <row r="181" spans="1:16" x14ac:dyDescent="0.25">
      <c r="A181" s="7" t="str">
        <f t="shared" si="10"/>
        <v>2022 ALL D90</v>
      </c>
      <c r="B181" s="7">
        <f t="shared" si="12"/>
        <v>46114</v>
      </c>
      <c r="C181" s="7">
        <f t="shared" si="13"/>
        <v>46120</v>
      </c>
      <c r="D181" s="6">
        <v>3280</v>
      </c>
      <c r="E181" s="6">
        <v>337</v>
      </c>
      <c r="F181" s="6">
        <v>4</v>
      </c>
      <c r="G181" s="15">
        <v>1</v>
      </c>
      <c r="H181" s="15"/>
      <c r="I181" s="15" t="s">
        <v>1505</v>
      </c>
      <c r="J181" s="15">
        <v>65109175</v>
      </c>
      <c r="K181" s="15" t="s">
        <v>2218</v>
      </c>
      <c r="L181" s="15" t="s">
        <v>2224</v>
      </c>
      <c r="M181" s="15">
        <v>229900</v>
      </c>
      <c r="N181" s="9">
        <f t="shared" si="11"/>
        <v>0.9</v>
      </c>
      <c r="O181" s="8">
        <f t="shared" si="9"/>
        <v>22990</v>
      </c>
      <c r="P181" s="6" t="s">
        <v>15</v>
      </c>
    </row>
    <row r="182" spans="1:16" x14ac:dyDescent="0.25">
      <c r="A182" s="7" t="str">
        <f t="shared" si="10"/>
        <v>2022 ALL D90</v>
      </c>
      <c r="B182" s="7">
        <f t="shared" si="12"/>
        <v>46114</v>
      </c>
      <c r="C182" s="7">
        <f t="shared" si="13"/>
        <v>46120</v>
      </c>
      <c r="D182" s="6">
        <v>3280</v>
      </c>
      <c r="E182" s="6">
        <v>337</v>
      </c>
      <c r="F182" s="6">
        <v>4</v>
      </c>
      <c r="G182" s="15">
        <v>1</v>
      </c>
      <c r="H182" s="15"/>
      <c r="I182" s="15" t="s">
        <v>1505</v>
      </c>
      <c r="J182" s="15">
        <v>57638109</v>
      </c>
      <c r="K182" s="15" t="s">
        <v>2192</v>
      </c>
      <c r="L182" s="15" t="s">
        <v>2194</v>
      </c>
      <c r="M182" s="15">
        <v>199900</v>
      </c>
      <c r="N182" s="9">
        <f t="shared" si="11"/>
        <v>0.9</v>
      </c>
      <c r="O182" s="8">
        <f t="shared" si="9"/>
        <v>19990</v>
      </c>
      <c r="P182" s="6" t="s">
        <v>15</v>
      </c>
    </row>
    <row r="183" spans="1:16" x14ac:dyDescent="0.25">
      <c r="A183" s="7" t="str">
        <f t="shared" si="10"/>
        <v>2022 ALL D90</v>
      </c>
      <c r="B183" s="7">
        <f t="shared" si="12"/>
        <v>46114</v>
      </c>
      <c r="C183" s="7">
        <f t="shared" si="13"/>
        <v>46120</v>
      </c>
      <c r="D183" s="6">
        <v>3280</v>
      </c>
      <c r="E183" s="6">
        <v>337</v>
      </c>
      <c r="F183" s="6">
        <v>4</v>
      </c>
      <c r="G183" s="15">
        <v>1</v>
      </c>
      <c r="H183" s="15"/>
      <c r="I183" s="15" t="s">
        <v>1505</v>
      </c>
      <c r="J183" s="15">
        <v>57638118</v>
      </c>
      <c r="K183" s="15" t="s">
        <v>2192</v>
      </c>
      <c r="L183" s="15" t="s">
        <v>2195</v>
      </c>
      <c r="M183" s="15">
        <v>199900</v>
      </c>
      <c r="N183" s="9">
        <f t="shared" si="11"/>
        <v>0.9</v>
      </c>
      <c r="O183" s="8">
        <f t="shared" si="9"/>
        <v>19990</v>
      </c>
      <c r="P183" s="6" t="s">
        <v>15</v>
      </c>
    </row>
    <row r="184" spans="1:16" x14ac:dyDescent="0.25">
      <c r="A184" s="7" t="str">
        <f t="shared" si="10"/>
        <v>2022 ALL D90</v>
      </c>
      <c r="B184" s="7">
        <f t="shared" si="12"/>
        <v>46114</v>
      </c>
      <c r="C184" s="7">
        <f t="shared" si="13"/>
        <v>46120</v>
      </c>
      <c r="D184" s="6">
        <v>3280</v>
      </c>
      <c r="E184" s="6">
        <v>337</v>
      </c>
      <c r="F184" s="6">
        <v>4</v>
      </c>
      <c r="G184" s="15">
        <v>1</v>
      </c>
      <c r="H184" s="15"/>
      <c r="I184" s="15" t="s">
        <v>1505</v>
      </c>
      <c r="J184" s="15">
        <v>57638127</v>
      </c>
      <c r="K184" s="15" t="s">
        <v>2192</v>
      </c>
      <c r="L184" s="15" t="s">
        <v>2196</v>
      </c>
      <c r="M184" s="15">
        <v>199900</v>
      </c>
      <c r="N184" s="9">
        <f t="shared" si="11"/>
        <v>0.9</v>
      </c>
      <c r="O184" s="8">
        <f t="shared" si="9"/>
        <v>19990</v>
      </c>
      <c r="P184" s="6" t="s">
        <v>15</v>
      </c>
    </row>
    <row r="185" spans="1:16" x14ac:dyDescent="0.25">
      <c r="A185" s="7" t="str">
        <f t="shared" si="10"/>
        <v>2022 ALL D90</v>
      </c>
      <c r="B185" s="7">
        <f t="shared" si="12"/>
        <v>46114</v>
      </c>
      <c r="C185" s="7">
        <f t="shared" si="13"/>
        <v>46120</v>
      </c>
      <c r="D185" s="6">
        <v>3280</v>
      </c>
      <c r="E185" s="6">
        <v>337</v>
      </c>
      <c r="F185" s="6">
        <v>4</v>
      </c>
      <c r="G185" s="15">
        <v>1</v>
      </c>
      <c r="H185" s="15"/>
      <c r="I185" s="15" t="s">
        <v>1505</v>
      </c>
      <c r="J185" s="15">
        <v>57638136</v>
      </c>
      <c r="K185" s="15" t="s">
        <v>2192</v>
      </c>
      <c r="L185" s="15" t="s">
        <v>2197</v>
      </c>
      <c r="M185" s="15">
        <v>209900</v>
      </c>
      <c r="N185" s="9">
        <f t="shared" si="11"/>
        <v>0.9</v>
      </c>
      <c r="O185" s="8">
        <f t="shared" si="9"/>
        <v>20990</v>
      </c>
      <c r="P185" s="6" t="s">
        <v>15</v>
      </c>
    </row>
    <row r="186" spans="1:16" x14ac:dyDescent="0.25">
      <c r="A186" s="7" t="str">
        <f t="shared" si="10"/>
        <v>2022 ALL D90</v>
      </c>
      <c r="B186" s="7">
        <f t="shared" si="12"/>
        <v>46114</v>
      </c>
      <c r="C186" s="7">
        <f t="shared" si="13"/>
        <v>46120</v>
      </c>
      <c r="D186" s="6">
        <v>3280</v>
      </c>
      <c r="E186" s="6">
        <v>337</v>
      </c>
      <c r="F186" s="6">
        <v>4</v>
      </c>
      <c r="G186" s="15">
        <v>1</v>
      </c>
      <c r="H186" s="15"/>
      <c r="I186" s="15" t="s">
        <v>1505</v>
      </c>
      <c r="J186" s="15">
        <v>57638145</v>
      </c>
      <c r="K186" s="15" t="s">
        <v>2192</v>
      </c>
      <c r="L186" s="15" t="s">
        <v>2198</v>
      </c>
      <c r="M186" s="15">
        <v>209900</v>
      </c>
      <c r="N186" s="9">
        <f t="shared" si="11"/>
        <v>0.9</v>
      </c>
      <c r="O186" s="8">
        <f t="shared" si="9"/>
        <v>20990</v>
      </c>
      <c r="P186" s="6" t="s">
        <v>15</v>
      </c>
    </row>
    <row r="187" spans="1:16" x14ac:dyDescent="0.25">
      <c r="A187" s="7" t="str">
        <f t="shared" si="10"/>
        <v>2022 ALL D90</v>
      </c>
      <c r="B187" s="7">
        <f t="shared" si="12"/>
        <v>46114</v>
      </c>
      <c r="C187" s="7">
        <f t="shared" si="13"/>
        <v>46120</v>
      </c>
      <c r="D187" s="6">
        <v>3280</v>
      </c>
      <c r="E187" s="6">
        <v>337</v>
      </c>
      <c r="F187" s="6">
        <v>4</v>
      </c>
      <c r="G187" s="15">
        <v>1</v>
      </c>
      <c r="H187" s="15"/>
      <c r="I187" s="15" t="s">
        <v>1505</v>
      </c>
      <c r="J187" s="15">
        <v>57638154</v>
      </c>
      <c r="K187" s="15" t="s">
        <v>2192</v>
      </c>
      <c r="L187" s="15" t="s">
        <v>2193</v>
      </c>
      <c r="M187" s="15">
        <v>209900</v>
      </c>
      <c r="N187" s="9">
        <f t="shared" si="11"/>
        <v>0.9</v>
      </c>
      <c r="O187" s="8">
        <f t="shared" si="9"/>
        <v>20990</v>
      </c>
      <c r="P187" s="6" t="s">
        <v>15</v>
      </c>
    </row>
    <row r="188" spans="1:16" x14ac:dyDescent="0.25">
      <c r="A188" s="7" t="str">
        <f t="shared" si="10"/>
        <v>2022 ALL D90</v>
      </c>
      <c r="B188" s="7">
        <f t="shared" si="12"/>
        <v>46114</v>
      </c>
      <c r="C188" s="7">
        <f t="shared" si="13"/>
        <v>46120</v>
      </c>
      <c r="D188" s="6">
        <v>3280</v>
      </c>
      <c r="E188" s="6">
        <v>337</v>
      </c>
      <c r="F188" s="6">
        <v>4</v>
      </c>
      <c r="G188" s="15">
        <v>1</v>
      </c>
      <c r="H188" s="15"/>
      <c r="I188" s="15" t="s">
        <v>1505</v>
      </c>
      <c r="J188" s="15">
        <v>57638234</v>
      </c>
      <c r="K188" s="15" t="s">
        <v>2213</v>
      </c>
      <c r="L188" s="15" t="s">
        <v>2215</v>
      </c>
      <c r="M188" s="15">
        <v>209900</v>
      </c>
      <c r="N188" s="9">
        <f t="shared" si="11"/>
        <v>0.9</v>
      </c>
      <c r="O188" s="8">
        <f t="shared" si="9"/>
        <v>20990</v>
      </c>
      <c r="P188" s="6" t="s">
        <v>15</v>
      </c>
    </row>
    <row r="189" spans="1:16" x14ac:dyDescent="0.25">
      <c r="A189" s="7" t="str">
        <f t="shared" si="10"/>
        <v>2022 ALL D90</v>
      </c>
      <c r="B189" s="7">
        <f t="shared" si="12"/>
        <v>46114</v>
      </c>
      <c r="C189" s="7">
        <f t="shared" si="13"/>
        <v>46120</v>
      </c>
      <c r="D189" s="6">
        <v>3280</v>
      </c>
      <c r="E189" s="6">
        <v>337</v>
      </c>
      <c r="F189" s="6">
        <v>4</v>
      </c>
      <c r="G189" s="15">
        <v>1</v>
      </c>
      <c r="H189" s="15"/>
      <c r="I189" s="15" t="s">
        <v>1505</v>
      </c>
      <c r="J189" s="15">
        <v>57638243</v>
      </c>
      <c r="K189" s="15" t="s">
        <v>2213</v>
      </c>
      <c r="L189" s="15" t="s">
        <v>2216</v>
      </c>
      <c r="M189" s="15">
        <v>209900</v>
      </c>
      <c r="N189" s="9">
        <f t="shared" si="11"/>
        <v>0.9</v>
      </c>
      <c r="O189" s="8">
        <f t="shared" si="9"/>
        <v>20990</v>
      </c>
      <c r="P189" s="6" t="s">
        <v>15</v>
      </c>
    </row>
    <row r="190" spans="1:16" x14ac:dyDescent="0.25">
      <c r="A190" s="7" t="str">
        <f t="shared" si="10"/>
        <v>2022 ALL D90</v>
      </c>
      <c r="B190" s="7">
        <f t="shared" si="12"/>
        <v>46114</v>
      </c>
      <c r="C190" s="7">
        <f t="shared" si="13"/>
        <v>46120</v>
      </c>
      <c r="D190" s="6">
        <v>3280</v>
      </c>
      <c r="E190" s="6">
        <v>337</v>
      </c>
      <c r="F190" s="6">
        <v>4</v>
      </c>
      <c r="G190" s="15">
        <v>1</v>
      </c>
      <c r="H190" s="15"/>
      <c r="I190" s="15" t="s">
        <v>1505</v>
      </c>
      <c r="J190" s="15">
        <v>57638252</v>
      </c>
      <c r="K190" s="15" t="s">
        <v>2213</v>
      </c>
      <c r="L190" s="15" t="s">
        <v>2217</v>
      </c>
      <c r="M190" s="15">
        <v>209900</v>
      </c>
      <c r="N190" s="9">
        <f t="shared" si="11"/>
        <v>0.9</v>
      </c>
      <c r="O190" s="8">
        <f t="shared" si="9"/>
        <v>20990</v>
      </c>
      <c r="P190" s="6" t="s">
        <v>15</v>
      </c>
    </row>
    <row r="191" spans="1:16" x14ac:dyDescent="0.25">
      <c r="A191" s="7" t="str">
        <f t="shared" si="10"/>
        <v>2022 ALL D90</v>
      </c>
      <c r="B191" s="7">
        <f t="shared" si="12"/>
        <v>46114</v>
      </c>
      <c r="C191" s="7">
        <f t="shared" si="13"/>
        <v>46120</v>
      </c>
      <c r="D191" s="6">
        <v>3280</v>
      </c>
      <c r="E191" s="6">
        <v>337</v>
      </c>
      <c r="F191" s="6">
        <v>4</v>
      </c>
      <c r="G191" s="15">
        <v>1</v>
      </c>
      <c r="H191" s="15"/>
      <c r="I191" s="15" t="s">
        <v>1505</v>
      </c>
      <c r="J191" s="15">
        <v>57638261</v>
      </c>
      <c r="K191" s="15" t="s">
        <v>2213</v>
      </c>
      <c r="L191" s="15" t="s">
        <v>2214</v>
      </c>
      <c r="M191" s="15">
        <v>209900</v>
      </c>
      <c r="N191" s="9">
        <f t="shared" si="11"/>
        <v>0.9</v>
      </c>
      <c r="O191" s="8">
        <f t="shared" si="9"/>
        <v>20990</v>
      </c>
      <c r="P191" s="6" t="s">
        <v>15</v>
      </c>
    </row>
    <row r="192" spans="1:16" x14ac:dyDescent="0.25">
      <c r="A192" s="7" t="str">
        <f t="shared" si="10"/>
        <v>2022 ALL D90</v>
      </c>
      <c r="B192" s="7">
        <f t="shared" si="12"/>
        <v>46114</v>
      </c>
      <c r="C192" s="7">
        <f t="shared" si="13"/>
        <v>46120</v>
      </c>
      <c r="D192" s="6">
        <v>3280</v>
      </c>
      <c r="E192" s="6">
        <v>337</v>
      </c>
      <c r="F192" s="6">
        <v>4</v>
      </c>
      <c r="G192" s="15">
        <v>1</v>
      </c>
      <c r="H192" s="15"/>
      <c r="I192" s="15" t="s">
        <v>1505</v>
      </c>
      <c r="J192" s="15">
        <v>59667655</v>
      </c>
      <c r="K192" s="15" t="s">
        <v>2206</v>
      </c>
      <c r="L192" s="15" t="s">
        <v>2207</v>
      </c>
      <c r="M192" s="15">
        <v>239900</v>
      </c>
      <c r="N192" s="9">
        <f t="shared" si="11"/>
        <v>0.9</v>
      </c>
      <c r="O192" s="8">
        <f t="shared" si="9"/>
        <v>23990</v>
      </c>
      <c r="P192" s="6" t="s">
        <v>15</v>
      </c>
    </row>
    <row r="193" spans="1:16" x14ac:dyDescent="0.25">
      <c r="A193" s="7" t="str">
        <f t="shared" si="10"/>
        <v>2022 ALL D90</v>
      </c>
      <c r="B193" s="7">
        <f t="shared" si="12"/>
        <v>46114</v>
      </c>
      <c r="C193" s="7">
        <f t="shared" si="13"/>
        <v>46120</v>
      </c>
      <c r="D193" s="6">
        <v>3280</v>
      </c>
      <c r="E193" s="6">
        <v>337</v>
      </c>
      <c r="F193" s="6">
        <v>4</v>
      </c>
      <c r="G193" s="15">
        <v>1</v>
      </c>
      <c r="H193" s="15"/>
      <c r="I193" s="15" t="s">
        <v>1505</v>
      </c>
      <c r="J193" s="15">
        <v>59667664</v>
      </c>
      <c r="K193" s="15" t="s">
        <v>2206</v>
      </c>
      <c r="L193" s="15" t="s">
        <v>2208</v>
      </c>
      <c r="M193" s="15">
        <v>239900</v>
      </c>
      <c r="N193" s="9">
        <f t="shared" si="11"/>
        <v>0.9</v>
      </c>
      <c r="O193" s="8">
        <f t="shared" si="9"/>
        <v>23990</v>
      </c>
      <c r="P193" s="6" t="s">
        <v>15</v>
      </c>
    </row>
    <row r="194" spans="1:16" x14ac:dyDescent="0.25">
      <c r="A194" s="7" t="str">
        <f t="shared" si="10"/>
        <v>2022 ALL D90</v>
      </c>
      <c r="B194" s="7">
        <f t="shared" si="12"/>
        <v>46114</v>
      </c>
      <c r="C194" s="7">
        <f t="shared" si="13"/>
        <v>46120</v>
      </c>
      <c r="D194" s="6">
        <v>3280</v>
      </c>
      <c r="E194" s="6">
        <v>337</v>
      </c>
      <c r="F194" s="6">
        <v>4</v>
      </c>
      <c r="G194" s="15">
        <v>1</v>
      </c>
      <c r="H194" s="15"/>
      <c r="I194" s="15" t="s">
        <v>1505</v>
      </c>
      <c r="J194" s="15">
        <v>59667673</v>
      </c>
      <c r="K194" s="15" t="s">
        <v>2206</v>
      </c>
      <c r="L194" s="15" t="s">
        <v>2209</v>
      </c>
      <c r="M194" s="15">
        <v>239900</v>
      </c>
      <c r="N194" s="9">
        <f t="shared" si="11"/>
        <v>0.9</v>
      </c>
      <c r="O194" s="8">
        <f t="shared" si="9"/>
        <v>23990</v>
      </c>
      <c r="P194" s="6" t="s">
        <v>15</v>
      </c>
    </row>
    <row r="195" spans="1:16" x14ac:dyDescent="0.25">
      <c r="A195" s="7" t="str">
        <f t="shared" si="10"/>
        <v>2022 ALL D90</v>
      </c>
      <c r="B195" s="7">
        <f t="shared" si="12"/>
        <v>46114</v>
      </c>
      <c r="C195" s="7">
        <f t="shared" si="13"/>
        <v>46120</v>
      </c>
      <c r="D195" s="6">
        <v>3280</v>
      </c>
      <c r="E195" s="6">
        <v>337</v>
      </c>
      <c r="F195" s="6">
        <v>4</v>
      </c>
      <c r="G195" s="15">
        <v>1</v>
      </c>
      <c r="H195" s="15"/>
      <c r="I195" s="15" t="s">
        <v>1505</v>
      </c>
      <c r="J195" s="15">
        <v>59667682</v>
      </c>
      <c r="K195" s="15" t="s">
        <v>2206</v>
      </c>
      <c r="L195" s="15" t="s">
        <v>2210</v>
      </c>
      <c r="M195" s="15">
        <v>249900</v>
      </c>
      <c r="N195" s="9">
        <f t="shared" si="11"/>
        <v>0.9</v>
      </c>
      <c r="O195" s="8">
        <f t="shared" ref="O195:O258" si="14">M195-((90*M195)/100)</f>
        <v>24990</v>
      </c>
      <c r="P195" s="6" t="s">
        <v>15</v>
      </c>
    </row>
    <row r="196" spans="1:16" x14ac:dyDescent="0.25">
      <c r="A196" s="7" t="str">
        <f t="shared" ref="A196:C259" si="15">A195</f>
        <v>2022 ALL D90</v>
      </c>
      <c r="B196" s="7">
        <f t="shared" si="12"/>
        <v>46114</v>
      </c>
      <c r="C196" s="7">
        <f t="shared" si="13"/>
        <v>46120</v>
      </c>
      <c r="D196" s="6">
        <v>3280</v>
      </c>
      <c r="E196" s="6">
        <v>337</v>
      </c>
      <c r="F196" s="6">
        <v>4</v>
      </c>
      <c r="G196" s="15">
        <v>1</v>
      </c>
      <c r="H196" s="15"/>
      <c r="I196" s="15" t="s">
        <v>1505</v>
      </c>
      <c r="J196" s="15">
        <v>59667691</v>
      </c>
      <c r="K196" s="15" t="s">
        <v>2206</v>
      </c>
      <c r="L196" s="15" t="s">
        <v>2211</v>
      </c>
      <c r="M196" s="15">
        <v>249900</v>
      </c>
      <c r="N196" s="9">
        <f t="shared" ref="N196:N259" si="16">N195</f>
        <v>0.9</v>
      </c>
      <c r="O196" s="8">
        <f t="shared" si="14"/>
        <v>24990</v>
      </c>
      <c r="P196" s="6" t="s">
        <v>15</v>
      </c>
    </row>
    <row r="197" spans="1:16" x14ac:dyDescent="0.25">
      <c r="A197" s="7" t="str">
        <f t="shared" si="15"/>
        <v>2022 ALL D90</v>
      </c>
      <c r="B197" s="7">
        <f t="shared" si="12"/>
        <v>46114</v>
      </c>
      <c r="C197" s="7">
        <f t="shared" si="13"/>
        <v>46120</v>
      </c>
      <c r="D197" s="6">
        <v>3280</v>
      </c>
      <c r="E197" s="6">
        <v>337</v>
      </c>
      <c r="F197" s="6">
        <v>4</v>
      </c>
      <c r="G197" s="15">
        <v>1</v>
      </c>
      <c r="H197" s="15"/>
      <c r="I197" s="15" t="s">
        <v>1505</v>
      </c>
      <c r="J197" s="15">
        <v>59667708</v>
      </c>
      <c r="K197" s="15" t="s">
        <v>2206</v>
      </c>
      <c r="L197" s="15" t="s">
        <v>2212</v>
      </c>
      <c r="M197" s="15">
        <v>249900</v>
      </c>
      <c r="N197" s="9">
        <f t="shared" si="16"/>
        <v>0.9</v>
      </c>
      <c r="O197" s="8">
        <f t="shared" si="14"/>
        <v>24990</v>
      </c>
      <c r="P197" s="6" t="s">
        <v>15</v>
      </c>
    </row>
    <row r="198" spans="1:16" x14ac:dyDescent="0.25">
      <c r="A198" s="7" t="str">
        <f t="shared" si="15"/>
        <v>2022 ALL D90</v>
      </c>
      <c r="B198" s="7">
        <f t="shared" si="12"/>
        <v>46114</v>
      </c>
      <c r="C198" s="7">
        <f t="shared" si="13"/>
        <v>46120</v>
      </c>
      <c r="D198" s="6">
        <v>3280</v>
      </c>
      <c r="E198" s="6">
        <v>337</v>
      </c>
      <c r="F198" s="6">
        <v>4</v>
      </c>
      <c r="G198" s="15">
        <v>1</v>
      </c>
      <c r="H198" s="15"/>
      <c r="I198" s="15" t="s">
        <v>1505</v>
      </c>
      <c r="J198" s="15">
        <v>59675011</v>
      </c>
      <c r="K198" s="15" t="s">
        <v>2199</v>
      </c>
      <c r="L198" s="15" t="s">
        <v>2203</v>
      </c>
      <c r="M198" s="15">
        <v>219900</v>
      </c>
      <c r="N198" s="9">
        <f t="shared" si="16"/>
        <v>0.9</v>
      </c>
      <c r="O198" s="8">
        <f t="shared" si="14"/>
        <v>21990</v>
      </c>
      <c r="P198" s="6" t="s">
        <v>15</v>
      </c>
    </row>
    <row r="199" spans="1:16" x14ac:dyDescent="0.25">
      <c r="A199" s="7" t="str">
        <f t="shared" si="15"/>
        <v>2022 ALL D90</v>
      </c>
      <c r="B199" s="7">
        <f t="shared" si="12"/>
        <v>46114</v>
      </c>
      <c r="C199" s="7">
        <f t="shared" si="13"/>
        <v>46120</v>
      </c>
      <c r="D199" s="6">
        <v>3280</v>
      </c>
      <c r="E199" s="6">
        <v>337</v>
      </c>
      <c r="F199" s="6">
        <v>4</v>
      </c>
      <c r="G199" s="15">
        <v>1</v>
      </c>
      <c r="H199" s="15"/>
      <c r="I199" s="15" t="s">
        <v>1505</v>
      </c>
      <c r="J199" s="15">
        <v>59675020</v>
      </c>
      <c r="K199" s="15" t="s">
        <v>2199</v>
      </c>
      <c r="L199" s="15" t="s">
        <v>2200</v>
      </c>
      <c r="M199" s="15">
        <v>219900</v>
      </c>
      <c r="N199" s="9">
        <f t="shared" si="16"/>
        <v>0.9</v>
      </c>
      <c r="O199" s="8">
        <f t="shared" si="14"/>
        <v>21990</v>
      </c>
      <c r="P199" s="6" t="s">
        <v>15</v>
      </c>
    </row>
    <row r="200" spans="1:16" x14ac:dyDescent="0.25">
      <c r="A200" s="7" t="str">
        <f t="shared" si="15"/>
        <v>2022 ALL D90</v>
      </c>
      <c r="B200" s="7">
        <f t="shared" si="12"/>
        <v>46114</v>
      </c>
      <c r="C200" s="7">
        <f t="shared" si="13"/>
        <v>46120</v>
      </c>
      <c r="D200" s="6">
        <v>3280</v>
      </c>
      <c r="E200" s="6">
        <v>337</v>
      </c>
      <c r="F200" s="6">
        <v>4</v>
      </c>
      <c r="G200" s="15">
        <v>1</v>
      </c>
      <c r="H200" s="15"/>
      <c r="I200" s="15" t="s">
        <v>1505</v>
      </c>
      <c r="J200" s="15">
        <v>59675039</v>
      </c>
      <c r="K200" s="15" t="s">
        <v>2199</v>
      </c>
      <c r="L200" s="15" t="s">
        <v>2201</v>
      </c>
      <c r="M200" s="15">
        <v>219900</v>
      </c>
      <c r="N200" s="9">
        <f t="shared" si="16"/>
        <v>0.9</v>
      </c>
      <c r="O200" s="8">
        <f t="shared" si="14"/>
        <v>21990</v>
      </c>
      <c r="P200" s="6" t="s">
        <v>15</v>
      </c>
    </row>
    <row r="201" spans="1:16" x14ac:dyDescent="0.25">
      <c r="A201" s="7" t="str">
        <f t="shared" si="15"/>
        <v>2022 ALL D90</v>
      </c>
      <c r="B201" s="7">
        <f t="shared" si="12"/>
        <v>46114</v>
      </c>
      <c r="C201" s="7">
        <f t="shared" si="13"/>
        <v>46120</v>
      </c>
      <c r="D201" s="6">
        <v>3280</v>
      </c>
      <c r="E201" s="6">
        <v>337</v>
      </c>
      <c r="F201" s="6">
        <v>4</v>
      </c>
      <c r="G201" s="15">
        <v>1</v>
      </c>
      <c r="H201" s="15"/>
      <c r="I201" s="15" t="s">
        <v>1505</v>
      </c>
      <c r="J201" s="15">
        <v>59675048</v>
      </c>
      <c r="K201" s="15" t="s">
        <v>2199</v>
      </c>
      <c r="L201" s="15" t="s">
        <v>2202</v>
      </c>
      <c r="M201" s="15">
        <v>229900</v>
      </c>
      <c r="N201" s="9">
        <f t="shared" si="16"/>
        <v>0.9</v>
      </c>
      <c r="O201" s="8">
        <f t="shared" si="14"/>
        <v>22990</v>
      </c>
      <c r="P201" s="6" t="s">
        <v>15</v>
      </c>
    </row>
    <row r="202" spans="1:16" x14ac:dyDescent="0.25">
      <c r="A202" s="7" t="str">
        <f t="shared" si="15"/>
        <v>2022 ALL D90</v>
      </c>
      <c r="B202" s="7">
        <f t="shared" si="12"/>
        <v>46114</v>
      </c>
      <c r="C202" s="7">
        <f t="shared" si="13"/>
        <v>46120</v>
      </c>
      <c r="D202" s="6">
        <v>3280</v>
      </c>
      <c r="E202" s="6">
        <v>337</v>
      </c>
      <c r="F202" s="6">
        <v>4</v>
      </c>
      <c r="G202" s="15">
        <v>1</v>
      </c>
      <c r="H202" s="15"/>
      <c r="I202" s="15" t="s">
        <v>1505</v>
      </c>
      <c r="J202" s="15">
        <v>59675057</v>
      </c>
      <c r="K202" s="15" t="s">
        <v>2199</v>
      </c>
      <c r="L202" s="15" t="s">
        <v>2204</v>
      </c>
      <c r="M202" s="15">
        <v>229900</v>
      </c>
      <c r="N202" s="9">
        <f t="shared" si="16"/>
        <v>0.9</v>
      </c>
      <c r="O202" s="8">
        <f t="shared" si="14"/>
        <v>22990</v>
      </c>
      <c r="P202" s="6" t="s">
        <v>15</v>
      </c>
    </row>
    <row r="203" spans="1:16" x14ac:dyDescent="0.25">
      <c r="A203" s="7" t="str">
        <f t="shared" si="15"/>
        <v>2022 ALL D90</v>
      </c>
      <c r="B203" s="7">
        <f t="shared" si="12"/>
        <v>46114</v>
      </c>
      <c r="C203" s="7">
        <f t="shared" si="13"/>
        <v>46120</v>
      </c>
      <c r="D203" s="6">
        <v>3280</v>
      </c>
      <c r="E203" s="6">
        <v>337</v>
      </c>
      <c r="F203" s="6">
        <v>4</v>
      </c>
      <c r="G203" s="15">
        <v>1</v>
      </c>
      <c r="H203" s="15"/>
      <c r="I203" s="15" t="s">
        <v>1505</v>
      </c>
      <c r="J203" s="15">
        <v>59675066</v>
      </c>
      <c r="K203" s="15" t="s">
        <v>2199</v>
      </c>
      <c r="L203" s="15" t="s">
        <v>2205</v>
      </c>
      <c r="M203" s="15">
        <v>229900</v>
      </c>
      <c r="N203" s="9">
        <f t="shared" si="16"/>
        <v>0.9</v>
      </c>
      <c r="O203" s="8">
        <f t="shared" si="14"/>
        <v>22990</v>
      </c>
      <c r="P203" s="6" t="s">
        <v>15</v>
      </c>
    </row>
    <row r="204" spans="1:16" x14ac:dyDescent="0.25">
      <c r="A204" s="7" t="str">
        <f t="shared" si="15"/>
        <v>2022 ALL D90</v>
      </c>
      <c r="B204" s="7">
        <f t="shared" si="12"/>
        <v>46114</v>
      </c>
      <c r="C204" s="7">
        <f t="shared" si="13"/>
        <v>46120</v>
      </c>
      <c r="D204" s="6">
        <v>3280</v>
      </c>
      <c r="E204" s="6">
        <v>337</v>
      </c>
      <c r="F204" s="6">
        <v>4</v>
      </c>
      <c r="G204" s="15">
        <v>1</v>
      </c>
      <c r="H204" s="15"/>
      <c r="I204" s="15" t="s">
        <v>1505</v>
      </c>
      <c r="J204" s="15">
        <v>65109246</v>
      </c>
      <c r="K204" s="15" t="s">
        <v>2185</v>
      </c>
      <c r="L204" s="15" t="s">
        <v>2188</v>
      </c>
      <c r="M204" s="15">
        <v>229900</v>
      </c>
      <c r="N204" s="9">
        <f t="shared" si="16"/>
        <v>0.9</v>
      </c>
      <c r="O204" s="8">
        <f t="shared" si="14"/>
        <v>22990</v>
      </c>
      <c r="P204" s="6" t="s">
        <v>15</v>
      </c>
    </row>
    <row r="205" spans="1:16" x14ac:dyDescent="0.25">
      <c r="A205" s="7" t="str">
        <f t="shared" si="15"/>
        <v>2022 ALL D90</v>
      </c>
      <c r="B205" s="7">
        <f t="shared" si="12"/>
        <v>46114</v>
      </c>
      <c r="C205" s="7">
        <f t="shared" si="13"/>
        <v>46120</v>
      </c>
      <c r="D205" s="6">
        <v>3280</v>
      </c>
      <c r="E205" s="6">
        <v>337</v>
      </c>
      <c r="F205" s="6">
        <v>4</v>
      </c>
      <c r="G205" s="15">
        <v>1</v>
      </c>
      <c r="H205" s="15"/>
      <c r="I205" s="15" t="s">
        <v>1505</v>
      </c>
      <c r="J205" s="15">
        <v>65109255</v>
      </c>
      <c r="K205" s="15" t="s">
        <v>2185</v>
      </c>
      <c r="L205" s="15" t="s">
        <v>2189</v>
      </c>
      <c r="M205" s="15">
        <v>229900</v>
      </c>
      <c r="N205" s="9">
        <f t="shared" si="16"/>
        <v>0.9</v>
      </c>
      <c r="O205" s="8">
        <f t="shared" si="14"/>
        <v>22990</v>
      </c>
      <c r="P205" s="6" t="s">
        <v>15</v>
      </c>
    </row>
    <row r="206" spans="1:16" x14ac:dyDescent="0.25">
      <c r="A206" s="7" t="str">
        <f t="shared" si="15"/>
        <v>2022 ALL D90</v>
      </c>
      <c r="B206" s="7">
        <f t="shared" si="12"/>
        <v>46114</v>
      </c>
      <c r="C206" s="7">
        <f t="shared" si="13"/>
        <v>46120</v>
      </c>
      <c r="D206" s="6">
        <v>3280</v>
      </c>
      <c r="E206" s="6">
        <v>337</v>
      </c>
      <c r="F206" s="6">
        <v>4</v>
      </c>
      <c r="G206" s="15">
        <v>1</v>
      </c>
      <c r="H206" s="15"/>
      <c r="I206" s="15" t="s">
        <v>1505</v>
      </c>
      <c r="J206" s="15">
        <v>65109264</v>
      </c>
      <c r="K206" s="15" t="s">
        <v>2185</v>
      </c>
      <c r="L206" s="15" t="s">
        <v>2190</v>
      </c>
      <c r="M206" s="15">
        <v>229900</v>
      </c>
      <c r="N206" s="9">
        <f t="shared" si="16"/>
        <v>0.9</v>
      </c>
      <c r="O206" s="8">
        <f t="shared" si="14"/>
        <v>22990</v>
      </c>
      <c r="P206" s="6" t="s">
        <v>15</v>
      </c>
    </row>
    <row r="207" spans="1:16" x14ac:dyDescent="0.25">
      <c r="A207" s="7" t="str">
        <f t="shared" si="15"/>
        <v>2022 ALL D90</v>
      </c>
      <c r="B207" s="7">
        <f t="shared" si="12"/>
        <v>46114</v>
      </c>
      <c r="C207" s="7">
        <f t="shared" si="13"/>
        <v>46120</v>
      </c>
      <c r="D207" s="6">
        <v>3280</v>
      </c>
      <c r="E207" s="6">
        <v>337</v>
      </c>
      <c r="F207" s="6">
        <v>4</v>
      </c>
      <c r="G207" s="15">
        <v>1</v>
      </c>
      <c r="H207" s="15"/>
      <c r="I207" s="15" t="s">
        <v>1505</v>
      </c>
      <c r="J207" s="15">
        <v>65109273</v>
      </c>
      <c r="K207" s="15" t="s">
        <v>2185</v>
      </c>
      <c r="L207" s="15" t="s">
        <v>2186</v>
      </c>
      <c r="M207" s="15">
        <v>239900</v>
      </c>
      <c r="N207" s="9">
        <f t="shared" si="16"/>
        <v>0.9</v>
      </c>
      <c r="O207" s="8">
        <f t="shared" si="14"/>
        <v>23990</v>
      </c>
      <c r="P207" s="6" t="s">
        <v>15</v>
      </c>
    </row>
    <row r="208" spans="1:16" x14ac:dyDescent="0.25">
      <c r="A208" s="7" t="str">
        <f t="shared" si="15"/>
        <v>2022 ALL D90</v>
      </c>
      <c r="B208" s="7">
        <f t="shared" si="12"/>
        <v>46114</v>
      </c>
      <c r="C208" s="7">
        <f t="shared" si="13"/>
        <v>46120</v>
      </c>
      <c r="D208" s="6">
        <v>3280</v>
      </c>
      <c r="E208" s="6">
        <v>337</v>
      </c>
      <c r="F208" s="6">
        <v>4</v>
      </c>
      <c r="G208" s="15">
        <v>1</v>
      </c>
      <c r="H208" s="15"/>
      <c r="I208" s="15" t="s">
        <v>1505</v>
      </c>
      <c r="J208" s="15">
        <v>65109282</v>
      </c>
      <c r="K208" s="15" t="s">
        <v>2185</v>
      </c>
      <c r="L208" s="15" t="s">
        <v>2187</v>
      </c>
      <c r="M208" s="15">
        <v>239900</v>
      </c>
      <c r="N208" s="9">
        <f t="shared" si="16"/>
        <v>0.9</v>
      </c>
      <c r="O208" s="8">
        <f t="shared" si="14"/>
        <v>23990</v>
      </c>
      <c r="P208" s="6" t="s">
        <v>15</v>
      </c>
    </row>
    <row r="209" spans="1:16" x14ac:dyDescent="0.25">
      <c r="A209" s="7" t="str">
        <f t="shared" si="15"/>
        <v>2022 ALL D90</v>
      </c>
      <c r="B209" s="7">
        <f t="shared" si="12"/>
        <v>46114</v>
      </c>
      <c r="C209" s="7">
        <f t="shared" si="13"/>
        <v>46120</v>
      </c>
      <c r="D209" s="6">
        <v>3280</v>
      </c>
      <c r="E209" s="6">
        <v>337</v>
      </c>
      <c r="F209" s="6">
        <v>4</v>
      </c>
      <c r="G209" s="15">
        <v>1</v>
      </c>
      <c r="H209" s="15"/>
      <c r="I209" s="15" t="s">
        <v>1505</v>
      </c>
      <c r="J209" s="15">
        <v>65109291</v>
      </c>
      <c r="K209" s="15" t="s">
        <v>2185</v>
      </c>
      <c r="L209" s="15" t="s">
        <v>2191</v>
      </c>
      <c r="M209" s="15">
        <v>239900</v>
      </c>
      <c r="N209" s="9">
        <f t="shared" si="16"/>
        <v>0.9</v>
      </c>
      <c r="O209" s="8">
        <f t="shared" si="14"/>
        <v>23990</v>
      </c>
      <c r="P209" s="6" t="s">
        <v>15</v>
      </c>
    </row>
    <row r="210" spans="1:16" x14ac:dyDescent="0.25">
      <c r="A210" s="7" t="str">
        <f t="shared" si="15"/>
        <v>2022 ALL D90</v>
      </c>
      <c r="B210" s="7">
        <f t="shared" si="12"/>
        <v>46114</v>
      </c>
      <c r="C210" s="7">
        <f t="shared" si="13"/>
        <v>46120</v>
      </c>
      <c r="D210" s="6">
        <v>3280</v>
      </c>
      <c r="E210" s="6">
        <v>337</v>
      </c>
      <c r="F210" s="6">
        <v>4</v>
      </c>
      <c r="G210" s="15">
        <v>1</v>
      </c>
      <c r="H210" s="15"/>
      <c r="I210" s="15" t="s">
        <v>1505</v>
      </c>
      <c r="J210" s="15">
        <v>65109602</v>
      </c>
      <c r="K210" s="15" t="s">
        <v>2180</v>
      </c>
      <c r="L210" s="15" t="s">
        <v>2184</v>
      </c>
      <c r="M210" s="15">
        <v>229900</v>
      </c>
      <c r="N210" s="9">
        <f t="shared" si="16"/>
        <v>0.9</v>
      </c>
      <c r="O210" s="8">
        <f t="shared" si="14"/>
        <v>22990</v>
      </c>
      <c r="P210" s="6" t="s">
        <v>15</v>
      </c>
    </row>
    <row r="211" spans="1:16" x14ac:dyDescent="0.25">
      <c r="A211" s="7" t="str">
        <f t="shared" si="15"/>
        <v>2022 ALL D90</v>
      </c>
      <c r="B211" s="7">
        <f t="shared" si="12"/>
        <v>46114</v>
      </c>
      <c r="C211" s="7">
        <f t="shared" si="13"/>
        <v>46120</v>
      </c>
      <c r="D211" s="6">
        <v>3280</v>
      </c>
      <c r="E211" s="6">
        <v>337</v>
      </c>
      <c r="F211" s="6">
        <v>4</v>
      </c>
      <c r="G211" s="15">
        <v>1</v>
      </c>
      <c r="H211" s="15"/>
      <c r="I211" s="15" t="s">
        <v>1505</v>
      </c>
      <c r="J211" s="15">
        <v>65109611</v>
      </c>
      <c r="K211" s="15" t="s">
        <v>2180</v>
      </c>
      <c r="L211" s="15" t="s">
        <v>2182</v>
      </c>
      <c r="M211" s="15">
        <v>229900</v>
      </c>
      <c r="N211" s="9">
        <f t="shared" si="16"/>
        <v>0.9</v>
      </c>
      <c r="O211" s="8">
        <f t="shared" si="14"/>
        <v>22990</v>
      </c>
      <c r="P211" s="6" t="s">
        <v>15</v>
      </c>
    </row>
    <row r="212" spans="1:16" x14ac:dyDescent="0.25">
      <c r="A212" s="7" t="str">
        <f t="shared" si="15"/>
        <v>2022 ALL D90</v>
      </c>
      <c r="B212" s="7">
        <f t="shared" si="12"/>
        <v>46114</v>
      </c>
      <c r="C212" s="7">
        <f t="shared" si="13"/>
        <v>46120</v>
      </c>
      <c r="D212" s="6">
        <v>3280</v>
      </c>
      <c r="E212" s="6">
        <v>337</v>
      </c>
      <c r="F212" s="6">
        <v>4</v>
      </c>
      <c r="G212" s="15">
        <v>1</v>
      </c>
      <c r="H212" s="15"/>
      <c r="I212" s="15" t="s">
        <v>1505</v>
      </c>
      <c r="J212" s="15">
        <v>65109620</v>
      </c>
      <c r="K212" s="15" t="s">
        <v>2180</v>
      </c>
      <c r="L212" s="15" t="s">
        <v>2181</v>
      </c>
      <c r="M212" s="15">
        <v>229900</v>
      </c>
      <c r="N212" s="9">
        <f t="shared" si="16"/>
        <v>0.9</v>
      </c>
      <c r="O212" s="8">
        <f t="shared" si="14"/>
        <v>22990</v>
      </c>
      <c r="P212" s="6" t="s">
        <v>15</v>
      </c>
    </row>
    <row r="213" spans="1:16" x14ac:dyDescent="0.25">
      <c r="A213" s="7" t="str">
        <f t="shared" si="15"/>
        <v>2022 ALL D90</v>
      </c>
      <c r="B213" s="7">
        <f t="shared" si="12"/>
        <v>46114</v>
      </c>
      <c r="C213" s="7">
        <f t="shared" si="13"/>
        <v>46120</v>
      </c>
      <c r="D213" s="6">
        <v>3280</v>
      </c>
      <c r="E213" s="6">
        <v>337</v>
      </c>
      <c r="F213" s="6">
        <v>4</v>
      </c>
      <c r="G213" s="15">
        <v>1</v>
      </c>
      <c r="H213" s="15"/>
      <c r="I213" s="15" t="s">
        <v>1505</v>
      </c>
      <c r="J213" s="15">
        <v>65591340</v>
      </c>
      <c r="K213" s="15" t="s">
        <v>2180</v>
      </c>
      <c r="L213" s="15" t="s">
        <v>2183</v>
      </c>
      <c r="M213" s="15">
        <v>229900</v>
      </c>
      <c r="N213" s="9">
        <f t="shared" si="16"/>
        <v>0.9</v>
      </c>
      <c r="O213" s="8">
        <f t="shared" si="14"/>
        <v>22990</v>
      </c>
      <c r="P213" s="6" t="s">
        <v>15</v>
      </c>
    </row>
    <row r="214" spans="1:16" x14ac:dyDescent="0.25">
      <c r="A214" s="7" t="str">
        <f t="shared" si="15"/>
        <v>2022 ALL D90</v>
      </c>
      <c r="B214" s="7">
        <f t="shared" si="12"/>
        <v>46114</v>
      </c>
      <c r="C214" s="7">
        <f t="shared" si="13"/>
        <v>46120</v>
      </c>
      <c r="D214" s="6">
        <v>3280</v>
      </c>
      <c r="E214" s="6">
        <v>337</v>
      </c>
      <c r="F214" s="6">
        <v>4</v>
      </c>
      <c r="G214" s="15">
        <v>1</v>
      </c>
      <c r="H214" s="15"/>
      <c r="I214" s="15" t="s">
        <v>1505</v>
      </c>
      <c r="J214" s="15">
        <v>65878602</v>
      </c>
      <c r="K214" s="15" t="s">
        <v>2173</v>
      </c>
      <c r="L214" s="15" t="s">
        <v>2179</v>
      </c>
      <c r="M214" s="15">
        <v>229900</v>
      </c>
      <c r="N214" s="9">
        <f t="shared" si="16"/>
        <v>0.9</v>
      </c>
      <c r="O214" s="8">
        <f t="shared" si="14"/>
        <v>22990</v>
      </c>
      <c r="P214" s="6" t="s">
        <v>15</v>
      </c>
    </row>
    <row r="215" spans="1:16" x14ac:dyDescent="0.25">
      <c r="A215" s="7" t="str">
        <f t="shared" si="15"/>
        <v>2022 ALL D90</v>
      </c>
      <c r="B215" s="7">
        <f t="shared" si="12"/>
        <v>46114</v>
      </c>
      <c r="C215" s="7">
        <f t="shared" si="13"/>
        <v>46120</v>
      </c>
      <c r="D215" s="6">
        <v>3280</v>
      </c>
      <c r="E215" s="6">
        <v>337</v>
      </c>
      <c r="F215" s="6">
        <v>4</v>
      </c>
      <c r="G215" s="15">
        <v>1</v>
      </c>
      <c r="H215" s="15"/>
      <c r="I215" s="15" t="s">
        <v>1505</v>
      </c>
      <c r="J215" s="15">
        <v>65878611</v>
      </c>
      <c r="K215" s="15" t="s">
        <v>2173</v>
      </c>
      <c r="L215" s="15" t="s">
        <v>2175</v>
      </c>
      <c r="M215" s="15">
        <v>229900</v>
      </c>
      <c r="N215" s="9">
        <f t="shared" si="16"/>
        <v>0.9</v>
      </c>
      <c r="O215" s="8">
        <f t="shared" si="14"/>
        <v>22990</v>
      </c>
      <c r="P215" s="6" t="s">
        <v>15</v>
      </c>
    </row>
    <row r="216" spans="1:16" x14ac:dyDescent="0.25">
      <c r="A216" s="7" t="str">
        <f t="shared" si="15"/>
        <v>2022 ALL D90</v>
      </c>
      <c r="B216" s="7">
        <f t="shared" si="12"/>
        <v>46114</v>
      </c>
      <c r="C216" s="7">
        <f t="shared" si="13"/>
        <v>46120</v>
      </c>
      <c r="D216" s="6">
        <v>3280</v>
      </c>
      <c r="E216" s="6">
        <v>337</v>
      </c>
      <c r="F216" s="6">
        <v>4</v>
      </c>
      <c r="G216" s="15">
        <v>1</v>
      </c>
      <c r="H216" s="15"/>
      <c r="I216" s="15" t="s">
        <v>1505</v>
      </c>
      <c r="J216" s="15">
        <v>65878620</v>
      </c>
      <c r="K216" s="15" t="s">
        <v>2173</v>
      </c>
      <c r="L216" s="15" t="s">
        <v>2176</v>
      </c>
      <c r="M216" s="15">
        <v>229900</v>
      </c>
      <c r="N216" s="9">
        <f t="shared" si="16"/>
        <v>0.9</v>
      </c>
      <c r="O216" s="8">
        <f t="shared" si="14"/>
        <v>22990</v>
      </c>
      <c r="P216" s="6" t="s">
        <v>15</v>
      </c>
    </row>
    <row r="217" spans="1:16" x14ac:dyDescent="0.25">
      <c r="A217" s="7" t="str">
        <f t="shared" si="15"/>
        <v>2022 ALL D90</v>
      </c>
      <c r="B217" s="7">
        <f t="shared" si="12"/>
        <v>46114</v>
      </c>
      <c r="C217" s="7">
        <f t="shared" si="13"/>
        <v>46120</v>
      </c>
      <c r="D217" s="6">
        <v>3280</v>
      </c>
      <c r="E217" s="6">
        <v>337</v>
      </c>
      <c r="F217" s="6">
        <v>4</v>
      </c>
      <c r="G217" s="15">
        <v>1</v>
      </c>
      <c r="H217" s="15"/>
      <c r="I217" s="15" t="s">
        <v>1505</v>
      </c>
      <c r="J217" s="15">
        <v>65878639</v>
      </c>
      <c r="K217" s="15" t="s">
        <v>2173</v>
      </c>
      <c r="L217" s="15" t="s">
        <v>2178</v>
      </c>
      <c r="M217" s="15">
        <v>239900</v>
      </c>
      <c r="N217" s="9">
        <f t="shared" si="16"/>
        <v>0.9</v>
      </c>
      <c r="O217" s="8">
        <f t="shared" si="14"/>
        <v>23990</v>
      </c>
      <c r="P217" s="6" t="s">
        <v>15</v>
      </c>
    </row>
    <row r="218" spans="1:16" x14ac:dyDescent="0.25">
      <c r="A218" s="7" t="str">
        <f t="shared" si="15"/>
        <v>2022 ALL D90</v>
      </c>
      <c r="B218" s="7">
        <f t="shared" si="12"/>
        <v>46114</v>
      </c>
      <c r="C218" s="7">
        <f t="shared" si="13"/>
        <v>46120</v>
      </c>
      <c r="D218" s="6">
        <v>3280</v>
      </c>
      <c r="E218" s="6">
        <v>337</v>
      </c>
      <c r="F218" s="6">
        <v>4</v>
      </c>
      <c r="G218" s="15">
        <v>1</v>
      </c>
      <c r="H218" s="15"/>
      <c r="I218" s="15" t="s">
        <v>1505</v>
      </c>
      <c r="J218" s="15">
        <v>65878648</v>
      </c>
      <c r="K218" s="15" t="s">
        <v>2173</v>
      </c>
      <c r="L218" s="15" t="s">
        <v>2177</v>
      </c>
      <c r="M218" s="15">
        <v>239900</v>
      </c>
      <c r="N218" s="9">
        <f t="shared" si="16"/>
        <v>0.9</v>
      </c>
      <c r="O218" s="8">
        <f t="shared" si="14"/>
        <v>23990</v>
      </c>
      <c r="P218" s="6" t="s">
        <v>15</v>
      </c>
    </row>
    <row r="219" spans="1:16" x14ac:dyDescent="0.25">
      <c r="A219" s="7" t="str">
        <f t="shared" si="15"/>
        <v>2022 ALL D90</v>
      </c>
      <c r="B219" s="7">
        <f t="shared" si="12"/>
        <v>46114</v>
      </c>
      <c r="C219" s="7">
        <f t="shared" si="13"/>
        <v>46120</v>
      </c>
      <c r="D219" s="6">
        <v>3280</v>
      </c>
      <c r="E219" s="6">
        <v>337</v>
      </c>
      <c r="F219" s="6">
        <v>4</v>
      </c>
      <c r="G219" s="15">
        <v>1</v>
      </c>
      <c r="H219" s="15"/>
      <c r="I219" s="15" t="s">
        <v>1505</v>
      </c>
      <c r="J219" s="15">
        <v>65878657</v>
      </c>
      <c r="K219" s="15" t="s">
        <v>2173</v>
      </c>
      <c r="L219" s="15" t="s">
        <v>2174</v>
      </c>
      <c r="M219" s="15">
        <v>239900</v>
      </c>
      <c r="N219" s="9">
        <f t="shared" si="16"/>
        <v>0.9</v>
      </c>
      <c r="O219" s="8">
        <f t="shared" si="14"/>
        <v>23990</v>
      </c>
      <c r="P219" s="6" t="s">
        <v>15</v>
      </c>
    </row>
    <row r="220" spans="1:16" x14ac:dyDescent="0.25">
      <c r="A220" s="7" t="str">
        <f t="shared" si="15"/>
        <v>2022 ALL D90</v>
      </c>
      <c r="B220" s="7">
        <f t="shared" si="12"/>
        <v>46114</v>
      </c>
      <c r="C220" s="7">
        <f t="shared" si="13"/>
        <v>46120</v>
      </c>
      <c r="D220" s="6">
        <v>3280</v>
      </c>
      <c r="E220" s="6">
        <v>337</v>
      </c>
      <c r="F220" s="6">
        <v>4</v>
      </c>
      <c r="G220" s="15">
        <v>1</v>
      </c>
      <c r="H220" s="15"/>
      <c r="I220" s="15" t="s">
        <v>1505</v>
      </c>
      <c r="J220" s="15">
        <v>57896581</v>
      </c>
      <c r="K220" s="15" t="s">
        <v>2723</v>
      </c>
      <c r="L220" s="15" t="s">
        <v>2724</v>
      </c>
      <c r="M220" s="15">
        <v>289900</v>
      </c>
      <c r="N220" s="9">
        <f t="shared" si="16"/>
        <v>0.9</v>
      </c>
      <c r="O220" s="8">
        <f t="shared" si="14"/>
        <v>28990</v>
      </c>
      <c r="P220" s="6" t="s">
        <v>15</v>
      </c>
    </row>
    <row r="221" spans="1:16" x14ac:dyDescent="0.25">
      <c r="A221" s="7" t="str">
        <f t="shared" si="15"/>
        <v>2022 ALL D90</v>
      </c>
      <c r="B221" s="7">
        <f t="shared" si="12"/>
        <v>46114</v>
      </c>
      <c r="C221" s="7">
        <f t="shared" si="13"/>
        <v>46120</v>
      </c>
      <c r="D221" s="6">
        <v>3280</v>
      </c>
      <c r="E221" s="6">
        <v>337</v>
      </c>
      <c r="F221" s="6">
        <v>4</v>
      </c>
      <c r="G221" s="15">
        <v>1</v>
      </c>
      <c r="H221" s="15"/>
      <c r="I221" s="15" t="s">
        <v>1505</v>
      </c>
      <c r="J221" s="15">
        <v>57896590</v>
      </c>
      <c r="K221" s="15" t="s">
        <v>2723</v>
      </c>
      <c r="L221" s="15" t="s">
        <v>2725</v>
      </c>
      <c r="M221" s="15">
        <v>289900</v>
      </c>
      <c r="N221" s="9">
        <f t="shared" si="16"/>
        <v>0.9</v>
      </c>
      <c r="O221" s="8">
        <f t="shared" si="14"/>
        <v>28990</v>
      </c>
      <c r="P221" s="6" t="s">
        <v>15</v>
      </c>
    </row>
    <row r="222" spans="1:16" x14ac:dyDescent="0.25">
      <c r="A222" s="7" t="str">
        <f t="shared" si="15"/>
        <v>2022 ALL D90</v>
      </c>
      <c r="B222" s="7">
        <f t="shared" si="12"/>
        <v>46114</v>
      </c>
      <c r="C222" s="7">
        <f t="shared" si="13"/>
        <v>46120</v>
      </c>
      <c r="D222" s="6">
        <v>3280</v>
      </c>
      <c r="E222" s="6">
        <v>337</v>
      </c>
      <c r="F222" s="6">
        <v>4</v>
      </c>
      <c r="G222" s="15">
        <v>1</v>
      </c>
      <c r="H222" s="15"/>
      <c r="I222" s="15" t="s">
        <v>1505</v>
      </c>
      <c r="J222" s="15">
        <v>57896607</v>
      </c>
      <c r="K222" s="15" t="s">
        <v>2723</v>
      </c>
      <c r="L222" s="15" t="s">
        <v>2726</v>
      </c>
      <c r="M222" s="15">
        <v>289900</v>
      </c>
      <c r="N222" s="9">
        <f t="shared" si="16"/>
        <v>0.9</v>
      </c>
      <c r="O222" s="8">
        <f t="shared" si="14"/>
        <v>28990</v>
      </c>
      <c r="P222" s="6" t="s">
        <v>15</v>
      </c>
    </row>
    <row r="223" spans="1:16" x14ac:dyDescent="0.25">
      <c r="A223" s="7" t="str">
        <f t="shared" si="15"/>
        <v>2022 ALL D90</v>
      </c>
      <c r="B223" s="7">
        <f t="shared" si="12"/>
        <v>46114</v>
      </c>
      <c r="C223" s="7">
        <f t="shared" si="13"/>
        <v>46120</v>
      </c>
      <c r="D223" s="6">
        <v>3280</v>
      </c>
      <c r="E223" s="6">
        <v>337</v>
      </c>
      <c r="F223" s="6">
        <v>4</v>
      </c>
      <c r="G223" s="15">
        <v>1</v>
      </c>
      <c r="H223" s="15"/>
      <c r="I223" s="15" t="s">
        <v>1505</v>
      </c>
      <c r="J223" s="15">
        <v>57896616</v>
      </c>
      <c r="K223" s="15" t="s">
        <v>2723</v>
      </c>
      <c r="L223" s="15" t="s">
        <v>2727</v>
      </c>
      <c r="M223" s="15">
        <v>289900</v>
      </c>
      <c r="N223" s="9">
        <f t="shared" si="16"/>
        <v>0.9</v>
      </c>
      <c r="O223" s="8">
        <f t="shared" si="14"/>
        <v>28990</v>
      </c>
      <c r="P223" s="6" t="s">
        <v>15</v>
      </c>
    </row>
    <row r="224" spans="1:16" x14ac:dyDescent="0.25">
      <c r="A224" s="7" t="str">
        <f t="shared" si="15"/>
        <v>2022 ALL D90</v>
      </c>
      <c r="B224" s="7">
        <f t="shared" si="12"/>
        <v>46114</v>
      </c>
      <c r="C224" s="7">
        <f t="shared" si="13"/>
        <v>46120</v>
      </c>
      <c r="D224" s="6">
        <v>3280</v>
      </c>
      <c r="E224" s="6">
        <v>337</v>
      </c>
      <c r="F224" s="6">
        <v>4</v>
      </c>
      <c r="G224" s="15">
        <v>1</v>
      </c>
      <c r="H224" s="15"/>
      <c r="I224" s="15" t="s">
        <v>1505</v>
      </c>
      <c r="J224" s="15">
        <v>57896625</v>
      </c>
      <c r="K224" s="15" t="s">
        <v>2723</v>
      </c>
      <c r="L224" s="15" t="s">
        <v>2728</v>
      </c>
      <c r="M224" s="15">
        <v>289900</v>
      </c>
      <c r="N224" s="9">
        <f t="shared" si="16"/>
        <v>0.9</v>
      </c>
      <c r="O224" s="8">
        <f t="shared" si="14"/>
        <v>28990</v>
      </c>
      <c r="P224" s="6" t="s">
        <v>15</v>
      </c>
    </row>
    <row r="225" spans="1:16" x14ac:dyDescent="0.25">
      <c r="A225" s="7" t="str">
        <f t="shared" si="15"/>
        <v>2022 ALL D90</v>
      </c>
      <c r="B225" s="7">
        <f t="shared" si="12"/>
        <v>46114</v>
      </c>
      <c r="C225" s="7">
        <f t="shared" si="13"/>
        <v>46120</v>
      </c>
      <c r="D225" s="6">
        <v>3280</v>
      </c>
      <c r="E225" s="6">
        <v>337</v>
      </c>
      <c r="F225" s="6">
        <v>4</v>
      </c>
      <c r="G225" s="15">
        <v>1</v>
      </c>
      <c r="H225" s="15"/>
      <c r="I225" s="15" t="s">
        <v>1505</v>
      </c>
      <c r="J225" s="15">
        <v>57896634</v>
      </c>
      <c r="K225" s="15" t="s">
        <v>2723</v>
      </c>
      <c r="L225" s="15" t="s">
        <v>2729</v>
      </c>
      <c r="M225" s="15">
        <v>289900</v>
      </c>
      <c r="N225" s="9">
        <f t="shared" si="16"/>
        <v>0.9</v>
      </c>
      <c r="O225" s="8">
        <f t="shared" si="14"/>
        <v>28990</v>
      </c>
      <c r="P225" s="6" t="s">
        <v>15</v>
      </c>
    </row>
    <row r="226" spans="1:16" x14ac:dyDescent="0.25">
      <c r="A226" s="7" t="str">
        <f t="shared" si="15"/>
        <v>2022 ALL D90</v>
      </c>
      <c r="B226" s="7">
        <f t="shared" si="12"/>
        <v>46114</v>
      </c>
      <c r="C226" s="7">
        <f t="shared" si="13"/>
        <v>46120</v>
      </c>
      <c r="D226" s="6">
        <v>3280</v>
      </c>
      <c r="E226" s="6">
        <v>337</v>
      </c>
      <c r="F226" s="6">
        <v>4</v>
      </c>
      <c r="G226" s="15">
        <v>1</v>
      </c>
      <c r="H226" s="15"/>
      <c r="I226" s="15" t="s">
        <v>1505</v>
      </c>
      <c r="J226" s="15">
        <v>65109362</v>
      </c>
      <c r="K226" s="15" t="s">
        <v>2124</v>
      </c>
      <c r="L226" s="15" t="s">
        <v>2125</v>
      </c>
      <c r="M226" s="15">
        <v>259900</v>
      </c>
      <c r="N226" s="9">
        <f t="shared" si="16"/>
        <v>0.9</v>
      </c>
      <c r="O226" s="8">
        <f t="shared" si="14"/>
        <v>25990</v>
      </c>
      <c r="P226" s="6" t="s">
        <v>15</v>
      </c>
    </row>
    <row r="227" spans="1:16" x14ac:dyDescent="0.25">
      <c r="A227" s="7" t="str">
        <f t="shared" si="15"/>
        <v>2022 ALL D90</v>
      </c>
      <c r="B227" s="7">
        <f t="shared" si="12"/>
        <v>46114</v>
      </c>
      <c r="C227" s="7">
        <f t="shared" si="13"/>
        <v>46120</v>
      </c>
      <c r="D227" s="6">
        <v>3280</v>
      </c>
      <c r="E227" s="6">
        <v>337</v>
      </c>
      <c r="F227" s="6">
        <v>4</v>
      </c>
      <c r="G227" s="15">
        <v>1</v>
      </c>
      <c r="H227" s="15"/>
      <c r="I227" s="15" t="s">
        <v>1505</v>
      </c>
      <c r="J227" s="15">
        <v>65109371</v>
      </c>
      <c r="K227" s="15" t="s">
        <v>2124</v>
      </c>
      <c r="L227" s="15" t="s">
        <v>2128</v>
      </c>
      <c r="M227" s="15">
        <v>259900</v>
      </c>
      <c r="N227" s="9">
        <f t="shared" si="16"/>
        <v>0.9</v>
      </c>
      <c r="O227" s="8">
        <f t="shared" si="14"/>
        <v>25990</v>
      </c>
      <c r="P227" s="6" t="s">
        <v>15</v>
      </c>
    </row>
    <row r="228" spans="1:16" x14ac:dyDescent="0.25">
      <c r="A228" s="7" t="str">
        <f t="shared" si="15"/>
        <v>2022 ALL D90</v>
      </c>
      <c r="B228" s="7">
        <f t="shared" si="12"/>
        <v>46114</v>
      </c>
      <c r="C228" s="7">
        <f t="shared" si="13"/>
        <v>46120</v>
      </c>
      <c r="D228" s="6">
        <v>3280</v>
      </c>
      <c r="E228" s="6">
        <v>337</v>
      </c>
      <c r="F228" s="6">
        <v>4</v>
      </c>
      <c r="G228" s="15">
        <v>1</v>
      </c>
      <c r="H228" s="15"/>
      <c r="I228" s="15" t="s">
        <v>1505</v>
      </c>
      <c r="J228" s="15">
        <v>65109380</v>
      </c>
      <c r="K228" s="15" t="s">
        <v>2124</v>
      </c>
      <c r="L228" s="15" t="s">
        <v>2129</v>
      </c>
      <c r="M228" s="15">
        <v>259900</v>
      </c>
      <c r="N228" s="9">
        <f t="shared" si="16"/>
        <v>0.9</v>
      </c>
      <c r="O228" s="8">
        <f t="shared" si="14"/>
        <v>25990</v>
      </c>
      <c r="P228" s="6" t="s">
        <v>15</v>
      </c>
    </row>
    <row r="229" spans="1:16" x14ac:dyDescent="0.25">
      <c r="A229" s="7" t="str">
        <f t="shared" si="15"/>
        <v>2022 ALL D90</v>
      </c>
      <c r="B229" s="7">
        <f t="shared" si="12"/>
        <v>46114</v>
      </c>
      <c r="C229" s="7">
        <f t="shared" si="13"/>
        <v>46120</v>
      </c>
      <c r="D229" s="6">
        <v>3280</v>
      </c>
      <c r="E229" s="6">
        <v>337</v>
      </c>
      <c r="F229" s="6">
        <v>4</v>
      </c>
      <c r="G229" s="15">
        <v>1</v>
      </c>
      <c r="H229" s="15"/>
      <c r="I229" s="15" t="s">
        <v>1505</v>
      </c>
      <c r="J229" s="15">
        <v>65109399</v>
      </c>
      <c r="K229" s="15" t="s">
        <v>2124</v>
      </c>
      <c r="L229" s="15" t="s">
        <v>2130</v>
      </c>
      <c r="M229" s="15">
        <v>269900</v>
      </c>
      <c r="N229" s="9">
        <f t="shared" si="16"/>
        <v>0.9</v>
      </c>
      <c r="O229" s="8">
        <f t="shared" si="14"/>
        <v>26990</v>
      </c>
      <c r="P229" s="6" t="s">
        <v>15</v>
      </c>
    </row>
    <row r="230" spans="1:16" x14ac:dyDescent="0.25">
      <c r="A230" s="7" t="str">
        <f t="shared" si="15"/>
        <v>2022 ALL D90</v>
      </c>
      <c r="B230" s="7">
        <f t="shared" si="12"/>
        <v>46114</v>
      </c>
      <c r="C230" s="7">
        <f t="shared" si="13"/>
        <v>46120</v>
      </c>
      <c r="D230" s="6">
        <v>3280</v>
      </c>
      <c r="E230" s="6">
        <v>337</v>
      </c>
      <c r="F230" s="6">
        <v>4</v>
      </c>
      <c r="G230" s="15">
        <v>1</v>
      </c>
      <c r="H230" s="15"/>
      <c r="I230" s="15" t="s">
        <v>1505</v>
      </c>
      <c r="J230" s="15">
        <v>65109406</v>
      </c>
      <c r="K230" s="15" t="s">
        <v>2124</v>
      </c>
      <c r="L230" s="15" t="s">
        <v>2126</v>
      </c>
      <c r="M230" s="15">
        <v>269900</v>
      </c>
      <c r="N230" s="9">
        <f t="shared" si="16"/>
        <v>0.9</v>
      </c>
      <c r="O230" s="8">
        <f t="shared" si="14"/>
        <v>26990</v>
      </c>
      <c r="P230" s="6" t="s">
        <v>15</v>
      </c>
    </row>
    <row r="231" spans="1:16" x14ac:dyDescent="0.25">
      <c r="A231" s="7" t="str">
        <f t="shared" si="15"/>
        <v>2022 ALL D90</v>
      </c>
      <c r="B231" s="7">
        <f t="shared" si="12"/>
        <v>46114</v>
      </c>
      <c r="C231" s="7">
        <f t="shared" si="13"/>
        <v>46120</v>
      </c>
      <c r="D231" s="6">
        <v>3280</v>
      </c>
      <c r="E231" s="6">
        <v>337</v>
      </c>
      <c r="F231" s="6">
        <v>4</v>
      </c>
      <c r="G231" s="15">
        <v>1</v>
      </c>
      <c r="H231" s="15"/>
      <c r="I231" s="15" t="s">
        <v>1505</v>
      </c>
      <c r="J231" s="15">
        <v>65109415</v>
      </c>
      <c r="K231" s="15" t="s">
        <v>2124</v>
      </c>
      <c r="L231" s="15" t="s">
        <v>2127</v>
      </c>
      <c r="M231" s="15">
        <v>269900</v>
      </c>
      <c r="N231" s="9">
        <f t="shared" si="16"/>
        <v>0.9</v>
      </c>
      <c r="O231" s="8">
        <f t="shared" si="14"/>
        <v>26990</v>
      </c>
      <c r="P231" s="6" t="s">
        <v>15</v>
      </c>
    </row>
    <row r="232" spans="1:16" x14ac:dyDescent="0.25">
      <c r="A232" s="7" t="str">
        <f t="shared" si="15"/>
        <v>2022 ALL D90</v>
      </c>
      <c r="B232" s="7">
        <f t="shared" si="12"/>
        <v>46114</v>
      </c>
      <c r="C232" s="7">
        <f t="shared" si="13"/>
        <v>46120</v>
      </c>
      <c r="D232" s="6">
        <v>3280</v>
      </c>
      <c r="E232" s="6">
        <v>337</v>
      </c>
      <c r="F232" s="6">
        <v>4</v>
      </c>
      <c r="G232" s="15">
        <v>1</v>
      </c>
      <c r="H232" s="15"/>
      <c r="I232" s="15" t="s">
        <v>1505</v>
      </c>
      <c r="J232" s="15">
        <v>33433231</v>
      </c>
      <c r="K232" s="15" t="s">
        <v>1657</v>
      </c>
      <c r="L232" s="15" t="s">
        <v>1658</v>
      </c>
      <c r="M232" s="15">
        <v>249900</v>
      </c>
      <c r="N232" s="9">
        <f t="shared" si="16"/>
        <v>0.9</v>
      </c>
      <c r="O232" s="8">
        <f t="shared" si="14"/>
        <v>24990</v>
      </c>
      <c r="P232" s="6" t="s">
        <v>15</v>
      </c>
    </row>
    <row r="233" spans="1:16" x14ac:dyDescent="0.25">
      <c r="A233" s="7" t="str">
        <f t="shared" si="15"/>
        <v>2022 ALL D90</v>
      </c>
      <c r="B233" s="7">
        <f t="shared" si="12"/>
        <v>46114</v>
      </c>
      <c r="C233" s="7">
        <f t="shared" si="13"/>
        <v>46120</v>
      </c>
      <c r="D233" s="6">
        <v>3280</v>
      </c>
      <c r="E233" s="6">
        <v>337</v>
      </c>
      <c r="F233" s="6">
        <v>4</v>
      </c>
      <c r="G233" s="15">
        <v>1</v>
      </c>
      <c r="H233" s="15"/>
      <c r="I233" s="15" t="s">
        <v>1505</v>
      </c>
      <c r="J233" s="15">
        <v>33433240</v>
      </c>
      <c r="K233" s="15" t="s">
        <v>1657</v>
      </c>
      <c r="L233" s="15" t="s">
        <v>1659</v>
      </c>
      <c r="M233" s="15">
        <v>249900</v>
      </c>
      <c r="N233" s="9">
        <f t="shared" si="16"/>
        <v>0.9</v>
      </c>
      <c r="O233" s="8">
        <f t="shared" si="14"/>
        <v>24990</v>
      </c>
      <c r="P233" s="6" t="s">
        <v>15</v>
      </c>
    </row>
    <row r="234" spans="1:16" x14ac:dyDescent="0.25">
      <c r="A234" s="7" t="str">
        <f t="shared" si="15"/>
        <v>2022 ALL D90</v>
      </c>
      <c r="B234" s="7">
        <f t="shared" si="12"/>
        <v>46114</v>
      </c>
      <c r="C234" s="7">
        <f t="shared" si="13"/>
        <v>46120</v>
      </c>
      <c r="D234" s="6">
        <v>3280</v>
      </c>
      <c r="E234" s="6">
        <v>337</v>
      </c>
      <c r="F234" s="6">
        <v>4</v>
      </c>
      <c r="G234" s="15">
        <v>1</v>
      </c>
      <c r="H234" s="15"/>
      <c r="I234" s="15" t="s">
        <v>1505</v>
      </c>
      <c r="J234" s="15">
        <v>33433259</v>
      </c>
      <c r="K234" s="15" t="s">
        <v>1657</v>
      </c>
      <c r="L234" s="15" t="s">
        <v>1660</v>
      </c>
      <c r="M234" s="15">
        <v>249900</v>
      </c>
      <c r="N234" s="9">
        <f t="shared" si="16"/>
        <v>0.9</v>
      </c>
      <c r="O234" s="8">
        <f t="shared" si="14"/>
        <v>24990</v>
      </c>
      <c r="P234" s="6" t="s">
        <v>15</v>
      </c>
    </row>
    <row r="235" spans="1:16" x14ac:dyDescent="0.25">
      <c r="A235" s="7" t="str">
        <f t="shared" si="15"/>
        <v>2022 ALL D90</v>
      </c>
      <c r="B235" s="7">
        <f t="shared" si="12"/>
        <v>46114</v>
      </c>
      <c r="C235" s="7">
        <f t="shared" si="13"/>
        <v>46120</v>
      </c>
      <c r="D235" s="6">
        <v>3280</v>
      </c>
      <c r="E235" s="6">
        <v>337</v>
      </c>
      <c r="F235" s="6">
        <v>4</v>
      </c>
      <c r="G235" s="15">
        <v>1</v>
      </c>
      <c r="H235" s="15"/>
      <c r="I235" s="15" t="s">
        <v>1505</v>
      </c>
      <c r="J235" s="15">
        <v>33433268</v>
      </c>
      <c r="K235" s="15" t="s">
        <v>1657</v>
      </c>
      <c r="L235" s="15" t="s">
        <v>1661</v>
      </c>
      <c r="M235" s="15">
        <v>259900</v>
      </c>
      <c r="N235" s="9">
        <f t="shared" si="16"/>
        <v>0.9</v>
      </c>
      <c r="O235" s="8">
        <f t="shared" si="14"/>
        <v>25990</v>
      </c>
      <c r="P235" s="6" t="s">
        <v>15</v>
      </c>
    </row>
    <row r="236" spans="1:16" x14ac:dyDescent="0.25">
      <c r="A236" s="7" t="str">
        <f t="shared" si="15"/>
        <v>2022 ALL D90</v>
      </c>
      <c r="B236" s="7">
        <f t="shared" si="12"/>
        <v>46114</v>
      </c>
      <c r="C236" s="7">
        <f t="shared" si="13"/>
        <v>46120</v>
      </c>
      <c r="D236" s="6">
        <v>3280</v>
      </c>
      <c r="E236" s="6">
        <v>337</v>
      </c>
      <c r="F236" s="6">
        <v>4</v>
      </c>
      <c r="G236" s="15">
        <v>1</v>
      </c>
      <c r="H236" s="15"/>
      <c r="I236" s="15" t="s">
        <v>1505</v>
      </c>
      <c r="J236" s="15">
        <v>33433277</v>
      </c>
      <c r="K236" s="15" t="s">
        <v>1657</v>
      </c>
      <c r="L236" s="15" t="s">
        <v>1662</v>
      </c>
      <c r="M236" s="15">
        <v>259900</v>
      </c>
      <c r="N236" s="9">
        <f t="shared" si="16"/>
        <v>0.9</v>
      </c>
      <c r="O236" s="8">
        <f t="shared" si="14"/>
        <v>25990</v>
      </c>
      <c r="P236" s="6" t="s">
        <v>15</v>
      </c>
    </row>
    <row r="237" spans="1:16" x14ac:dyDescent="0.25">
      <c r="A237" s="7" t="str">
        <f t="shared" si="15"/>
        <v>2022 ALL D90</v>
      </c>
      <c r="B237" s="7">
        <f t="shared" si="12"/>
        <v>46114</v>
      </c>
      <c r="C237" s="7">
        <f t="shared" si="13"/>
        <v>46120</v>
      </c>
      <c r="D237" s="6">
        <v>3280</v>
      </c>
      <c r="E237" s="6">
        <v>337</v>
      </c>
      <c r="F237" s="6">
        <v>4</v>
      </c>
      <c r="G237" s="15">
        <v>1</v>
      </c>
      <c r="H237" s="15"/>
      <c r="I237" s="15" t="s">
        <v>1505</v>
      </c>
      <c r="J237" s="15">
        <v>33433286</v>
      </c>
      <c r="K237" s="15" t="s">
        <v>1657</v>
      </c>
      <c r="L237" s="15" t="s">
        <v>1663</v>
      </c>
      <c r="M237" s="15">
        <v>259900</v>
      </c>
      <c r="N237" s="9">
        <f t="shared" si="16"/>
        <v>0.9</v>
      </c>
      <c r="O237" s="8">
        <f t="shared" si="14"/>
        <v>25990</v>
      </c>
      <c r="P237" s="6" t="s">
        <v>15</v>
      </c>
    </row>
    <row r="238" spans="1:16" x14ac:dyDescent="0.25">
      <c r="A238" s="7" t="str">
        <f t="shared" si="15"/>
        <v>2022 ALL D90</v>
      </c>
      <c r="B238" s="7">
        <f t="shared" si="12"/>
        <v>46114</v>
      </c>
      <c r="C238" s="7">
        <f t="shared" si="13"/>
        <v>46120</v>
      </c>
      <c r="D238" s="6">
        <v>3280</v>
      </c>
      <c r="E238" s="6">
        <v>337</v>
      </c>
      <c r="F238" s="6">
        <v>4</v>
      </c>
      <c r="G238" s="15">
        <v>1</v>
      </c>
      <c r="H238" s="15"/>
      <c r="I238" s="15" t="s">
        <v>1505</v>
      </c>
      <c r="J238" s="15">
        <v>57635157</v>
      </c>
      <c r="K238" s="15" t="s">
        <v>2117</v>
      </c>
      <c r="L238" s="15" t="s">
        <v>2118</v>
      </c>
      <c r="M238" s="15">
        <v>249900</v>
      </c>
      <c r="N238" s="9">
        <f t="shared" si="16"/>
        <v>0.9</v>
      </c>
      <c r="O238" s="8">
        <f t="shared" si="14"/>
        <v>24990</v>
      </c>
      <c r="P238" s="6" t="s">
        <v>15</v>
      </c>
    </row>
    <row r="239" spans="1:16" x14ac:dyDescent="0.25">
      <c r="A239" s="7" t="str">
        <f t="shared" si="15"/>
        <v>2022 ALL D90</v>
      </c>
      <c r="B239" s="7">
        <f t="shared" si="12"/>
        <v>46114</v>
      </c>
      <c r="C239" s="7">
        <f t="shared" si="13"/>
        <v>46120</v>
      </c>
      <c r="D239" s="6">
        <v>3280</v>
      </c>
      <c r="E239" s="6">
        <v>337</v>
      </c>
      <c r="F239" s="6">
        <v>4</v>
      </c>
      <c r="G239" s="15">
        <v>1</v>
      </c>
      <c r="H239" s="15"/>
      <c r="I239" s="15" t="s">
        <v>1505</v>
      </c>
      <c r="J239" s="15">
        <v>57635166</v>
      </c>
      <c r="K239" s="15" t="s">
        <v>2117</v>
      </c>
      <c r="L239" s="15" t="s">
        <v>2119</v>
      </c>
      <c r="M239" s="15">
        <v>249900</v>
      </c>
      <c r="N239" s="9">
        <f t="shared" si="16"/>
        <v>0.9</v>
      </c>
      <c r="O239" s="8">
        <f t="shared" si="14"/>
        <v>24990</v>
      </c>
      <c r="P239" s="6" t="s">
        <v>15</v>
      </c>
    </row>
    <row r="240" spans="1:16" x14ac:dyDescent="0.25">
      <c r="A240" s="7" t="str">
        <f t="shared" si="15"/>
        <v>2022 ALL D90</v>
      </c>
      <c r="B240" s="7">
        <f t="shared" si="12"/>
        <v>46114</v>
      </c>
      <c r="C240" s="7">
        <f t="shared" si="13"/>
        <v>46120</v>
      </c>
      <c r="D240" s="6">
        <v>3280</v>
      </c>
      <c r="E240" s="6">
        <v>337</v>
      </c>
      <c r="F240" s="6">
        <v>4</v>
      </c>
      <c r="G240" s="15">
        <v>1</v>
      </c>
      <c r="H240" s="15"/>
      <c r="I240" s="15" t="s">
        <v>1505</v>
      </c>
      <c r="J240" s="15">
        <v>57635175</v>
      </c>
      <c r="K240" s="15" t="s">
        <v>2117</v>
      </c>
      <c r="L240" s="15" t="s">
        <v>2120</v>
      </c>
      <c r="M240" s="15">
        <v>249900</v>
      </c>
      <c r="N240" s="9">
        <f t="shared" si="16"/>
        <v>0.9</v>
      </c>
      <c r="O240" s="8">
        <f t="shared" si="14"/>
        <v>24990</v>
      </c>
      <c r="P240" s="6" t="s">
        <v>15</v>
      </c>
    </row>
    <row r="241" spans="1:16" x14ac:dyDescent="0.25">
      <c r="A241" s="7" t="str">
        <f t="shared" si="15"/>
        <v>2022 ALL D90</v>
      </c>
      <c r="B241" s="7">
        <f t="shared" si="12"/>
        <v>46114</v>
      </c>
      <c r="C241" s="7">
        <f t="shared" si="13"/>
        <v>46120</v>
      </c>
      <c r="D241" s="6">
        <v>3280</v>
      </c>
      <c r="E241" s="6">
        <v>337</v>
      </c>
      <c r="F241" s="6">
        <v>4</v>
      </c>
      <c r="G241" s="15">
        <v>1</v>
      </c>
      <c r="H241" s="15"/>
      <c r="I241" s="15" t="s">
        <v>1505</v>
      </c>
      <c r="J241" s="15">
        <v>57635184</v>
      </c>
      <c r="K241" s="15" t="s">
        <v>2117</v>
      </c>
      <c r="L241" s="15" t="s">
        <v>2121</v>
      </c>
      <c r="M241" s="15">
        <v>259900</v>
      </c>
      <c r="N241" s="9">
        <f t="shared" si="16"/>
        <v>0.9</v>
      </c>
      <c r="O241" s="8">
        <f t="shared" si="14"/>
        <v>25990</v>
      </c>
      <c r="P241" s="6" t="s">
        <v>15</v>
      </c>
    </row>
    <row r="242" spans="1:16" x14ac:dyDescent="0.25">
      <c r="A242" s="7" t="str">
        <f t="shared" si="15"/>
        <v>2022 ALL D90</v>
      </c>
      <c r="B242" s="7">
        <f t="shared" si="12"/>
        <v>46114</v>
      </c>
      <c r="C242" s="7">
        <f t="shared" si="13"/>
        <v>46120</v>
      </c>
      <c r="D242" s="6">
        <v>3280</v>
      </c>
      <c r="E242" s="6">
        <v>337</v>
      </c>
      <c r="F242" s="6">
        <v>4</v>
      </c>
      <c r="G242" s="15">
        <v>1</v>
      </c>
      <c r="H242" s="15"/>
      <c r="I242" s="15" t="s">
        <v>1505</v>
      </c>
      <c r="J242" s="15">
        <v>57635193</v>
      </c>
      <c r="K242" s="15" t="s">
        <v>2117</v>
      </c>
      <c r="L242" s="15" t="s">
        <v>2122</v>
      </c>
      <c r="M242" s="15">
        <v>259900</v>
      </c>
      <c r="N242" s="9">
        <f t="shared" si="16"/>
        <v>0.9</v>
      </c>
      <c r="O242" s="8">
        <f t="shared" si="14"/>
        <v>25990</v>
      </c>
      <c r="P242" s="6" t="s">
        <v>15</v>
      </c>
    </row>
    <row r="243" spans="1:16" x14ac:dyDescent="0.25">
      <c r="A243" s="7" t="str">
        <f t="shared" si="15"/>
        <v>2022 ALL D90</v>
      </c>
      <c r="B243" s="7">
        <f t="shared" si="15"/>
        <v>46114</v>
      </c>
      <c r="C243" s="7">
        <f t="shared" si="15"/>
        <v>46120</v>
      </c>
      <c r="D243" s="6">
        <v>3280</v>
      </c>
      <c r="E243" s="6">
        <v>337</v>
      </c>
      <c r="F243" s="6">
        <v>4</v>
      </c>
      <c r="G243" s="15">
        <v>1</v>
      </c>
      <c r="H243" s="15"/>
      <c r="I243" s="15" t="s">
        <v>1505</v>
      </c>
      <c r="J243" s="15">
        <v>57635200</v>
      </c>
      <c r="K243" s="15" t="s">
        <v>2117</v>
      </c>
      <c r="L243" s="15" t="s">
        <v>2123</v>
      </c>
      <c r="M243" s="15">
        <v>259900</v>
      </c>
      <c r="N243" s="9">
        <f t="shared" si="16"/>
        <v>0.9</v>
      </c>
      <c r="O243" s="8">
        <f t="shared" si="14"/>
        <v>25990</v>
      </c>
      <c r="P243" s="6" t="s">
        <v>15</v>
      </c>
    </row>
    <row r="244" spans="1:16" x14ac:dyDescent="0.25">
      <c r="A244" s="7" t="str">
        <f t="shared" si="15"/>
        <v>2022 ALL D90</v>
      </c>
      <c r="B244" s="7">
        <f t="shared" si="15"/>
        <v>46114</v>
      </c>
      <c r="C244" s="7">
        <f t="shared" si="15"/>
        <v>46120</v>
      </c>
      <c r="D244" s="6">
        <v>3280</v>
      </c>
      <c r="E244" s="6">
        <v>337</v>
      </c>
      <c r="F244" s="6">
        <v>4</v>
      </c>
      <c r="G244" s="15">
        <v>1</v>
      </c>
      <c r="H244" s="15"/>
      <c r="I244" s="15" t="s">
        <v>1505</v>
      </c>
      <c r="J244" s="15">
        <v>65109488</v>
      </c>
      <c r="K244" s="15" t="s">
        <v>2110</v>
      </c>
      <c r="L244" s="15" t="s">
        <v>2111</v>
      </c>
      <c r="M244" s="15">
        <v>259900</v>
      </c>
      <c r="N244" s="9">
        <f t="shared" si="16"/>
        <v>0.9</v>
      </c>
      <c r="O244" s="8">
        <f t="shared" si="14"/>
        <v>25990</v>
      </c>
      <c r="P244" s="6" t="s">
        <v>15</v>
      </c>
    </row>
    <row r="245" spans="1:16" x14ac:dyDescent="0.25">
      <c r="A245" s="7" t="str">
        <f t="shared" si="15"/>
        <v>2022 ALL D90</v>
      </c>
      <c r="B245" s="7">
        <f t="shared" si="15"/>
        <v>46114</v>
      </c>
      <c r="C245" s="7">
        <f t="shared" si="15"/>
        <v>46120</v>
      </c>
      <c r="D245" s="6">
        <v>3280</v>
      </c>
      <c r="E245" s="6">
        <v>337</v>
      </c>
      <c r="F245" s="6">
        <v>4</v>
      </c>
      <c r="G245" s="15">
        <v>1</v>
      </c>
      <c r="H245" s="15"/>
      <c r="I245" s="15" t="s">
        <v>1505</v>
      </c>
      <c r="J245" s="15">
        <v>65109497</v>
      </c>
      <c r="K245" s="15" t="s">
        <v>2110</v>
      </c>
      <c r="L245" s="15" t="s">
        <v>2116</v>
      </c>
      <c r="M245" s="15">
        <v>259900</v>
      </c>
      <c r="N245" s="9">
        <f t="shared" si="16"/>
        <v>0.9</v>
      </c>
      <c r="O245" s="8">
        <f t="shared" si="14"/>
        <v>25990</v>
      </c>
      <c r="P245" s="6" t="s">
        <v>15</v>
      </c>
    </row>
    <row r="246" spans="1:16" x14ac:dyDescent="0.25">
      <c r="A246" s="7" t="str">
        <f t="shared" si="15"/>
        <v>2022 ALL D90</v>
      </c>
      <c r="B246" s="7">
        <f t="shared" si="15"/>
        <v>46114</v>
      </c>
      <c r="C246" s="7">
        <f t="shared" si="15"/>
        <v>46120</v>
      </c>
      <c r="D246" s="6">
        <v>3280</v>
      </c>
      <c r="E246" s="6">
        <v>337</v>
      </c>
      <c r="F246" s="6">
        <v>4</v>
      </c>
      <c r="G246" s="15">
        <v>1</v>
      </c>
      <c r="H246" s="15"/>
      <c r="I246" s="15" t="s">
        <v>1505</v>
      </c>
      <c r="J246" s="15">
        <v>65109504</v>
      </c>
      <c r="K246" s="15" t="s">
        <v>2110</v>
      </c>
      <c r="L246" s="15" t="s">
        <v>2112</v>
      </c>
      <c r="M246" s="15">
        <v>259900</v>
      </c>
      <c r="N246" s="9">
        <f t="shared" si="16"/>
        <v>0.9</v>
      </c>
      <c r="O246" s="8">
        <f t="shared" si="14"/>
        <v>25990</v>
      </c>
      <c r="P246" s="6" t="s">
        <v>15</v>
      </c>
    </row>
    <row r="247" spans="1:16" x14ac:dyDescent="0.25">
      <c r="A247" s="7" t="str">
        <f t="shared" si="15"/>
        <v>2022 ALL D90</v>
      </c>
      <c r="B247" s="7">
        <f t="shared" si="15"/>
        <v>46114</v>
      </c>
      <c r="C247" s="7">
        <f t="shared" si="15"/>
        <v>46120</v>
      </c>
      <c r="D247" s="6">
        <v>3280</v>
      </c>
      <c r="E247" s="6">
        <v>337</v>
      </c>
      <c r="F247" s="6">
        <v>4</v>
      </c>
      <c r="G247" s="15">
        <v>1</v>
      </c>
      <c r="H247" s="15"/>
      <c r="I247" s="15" t="s">
        <v>1505</v>
      </c>
      <c r="J247" s="15">
        <v>65109513</v>
      </c>
      <c r="K247" s="15" t="s">
        <v>2110</v>
      </c>
      <c r="L247" s="15" t="s">
        <v>2113</v>
      </c>
      <c r="M247" s="15">
        <v>269900</v>
      </c>
      <c r="N247" s="9">
        <f t="shared" si="16"/>
        <v>0.9</v>
      </c>
      <c r="O247" s="8">
        <f t="shared" si="14"/>
        <v>26990</v>
      </c>
      <c r="P247" s="6" t="s">
        <v>15</v>
      </c>
    </row>
    <row r="248" spans="1:16" x14ac:dyDescent="0.25">
      <c r="A248" s="7" t="str">
        <f t="shared" si="15"/>
        <v>2022 ALL D90</v>
      </c>
      <c r="B248" s="7">
        <f t="shared" si="15"/>
        <v>46114</v>
      </c>
      <c r="C248" s="7">
        <f t="shared" si="15"/>
        <v>46120</v>
      </c>
      <c r="D248" s="6">
        <v>3280</v>
      </c>
      <c r="E248" s="6">
        <v>337</v>
      </c>
      <c r="F248" s="6">
        <v>4</v>
      </c>
      <c r="G248" s="15">
        <v>1</v>
      </c>
      <c r="H248" s="15"/>
      <c r="I248" s="15" t="s">
        <v>1505</v>
      </c>
      <c r="J248" s="15">
        <v>65109522</v>
      </c>
      <c r="K248" s="15" t="s">
        <v>2110</v>
      </c>
      <c r="L248" s="15" t="s">
        <v>2114</v>
      </c>
      <c r="M248" s="15">
        <v>269900</v>
      </c>
      <c r="N248" s="9">
        <f t="shared" si="16"/>
        <v>0.9</v>
      </c>
      <c r="O248" s="8">
        <f t="shared" si="14"/>
        <v>26990</v>
      </c>
      <c r="P248" s="6" t="s">
        <v>15</v>
      </c>
    </row>
    <row r="249" spans="1:16" x14ac:dyDescent="0.25">
      <c r="A249" s="7" t="str">
        <f t="shared" si="15"/>
        <v>2022 ALL D90</v>
      </c>
      <c r="B249" s="7">
        <f t="shared" si="15"/>
        <v>46114</v>
      </c>
      <c r="C249" s="7">
        <f t="shared" si="15"/>
        <v>46120</v>
      </c>
      <c r="D249" s="6">
        <v>3280</v>
      </c>
      <c r="E249" s="6">
        <v>337</v>
      </c>
      <c r="F249" s="6">
        <v>4</v>
      </c>
      <c r="G249" s="15">
        <v>1</v>
      </c>
      <c r="H249" s="15"/>
      <c r="I249" s="15" t="s">
        <v>1505</v>
      </c>
      <c r="J249" s="15">
        <v>65109531</v>
      </c>
      <c r="K249" s="15" t="s">
        <v>2110</v>
      </c>
      <c r="L249" s="15" t="s">
        <v>2115</v>
      </c>
      <c r="M249" s="15">
        <v>269900</v>
      </c>
      <c r="N249" s="9">
        <f t="shared" si="16"/>
        <v>0.9</v>
      </c>
      <c r="O249" s="8">
        <f t="shared" si="14"/>
        <v>26990</v>
      </c>
      <c r="P249" s="6" t="s">
        <v>15</v>
      </c>
    </row>
    <row r="250" spans="1:16" x14ac:dyDescent="0.25">
      <c r="A250" s="7" t="str">
        <f t="shared" si="15"/>
        <v>2022 ALL D90</v>
      </c>
      <c r="B250" s="7">
        <f t="shared" si="15"/>
        <v>46114</v>
      </c>
      <c r="C250" s="7">
        <f t="shared" si="15"/>
        <v>46120</v>
      </c>
      <c r="D250" s="6">
        <v>3280</v>
      </c>
      <c r="E250" s="6">
        <v>337</v>
      </c>
      <c r="F250" s="6">
        <v>4</v>
      </c>
      <c r="G250" s="15">
        <v>1</v>
      </c>
      <c r="H250" s="15"/>
      <c r="I250" s="15" t="s">
        <v>1505</v>
      </c>
      <c r="J250" s="15">
        <v>65109184</v>
      </c>
      <c r="K250" s="15" t="s">
        <v>2246</v>
      </c>
      <c r="L250" s="15" t="s">
        <v>2247</v>
      </c>
      <c r="M250" s="15">
        <v>209900</v>
      </c>
      <c r="N250" s="9">
        <f t="shared" si="16"/>
        <v>0.9</v>
      </c>
      <c r="O250" s="8">
        <f t="shared" si="14"/>
        <v>20990</v>
      </c>
      <c r="P250" s="6" t="s">
        <v>15</v>
      </c>
    </row>
    <row r="251" spans="1:16" x14ac:dyDescent="0.25">
      <c r="A251" s="7" t="str">
        <f t="shared" si="15"/>
        <v>2022 ALL D90</v>
      </c>
      <c r="B251" s="7">
        <f t="shared" si="15"/>
        <v>46114</v>
      </c>
      <c r="C251" s="7">
        <f t="shared" si="15"/>
        <v>46120</v>
      </c>
      <c r="D251" s="6">
        <v>3280</v>
      </c>
      <c r="E251" s="6">
        <v>337</v>
      </c>
      <c r="F251" s="6">
        <v>4</v>
      </c>
      <c r="G251" s="15">
        <v>1</v>
      </c>
      <c r="H251" s="15"/>
      <c r="I251" s="15" t="s">
        <v>1505</v>
      </c>
      <c r="J251" s="15">
        <v>65109193</v>
      </c>
      <c r="K251" s="15" t="s">
        <v>2246</v>
      </c>
      <c r="L251" s="15" t="s">
        <v>2248</v>
      </c>
      <c r="M251" s="15">
        <v>209900</v>
      </c>
      <c r="N251" s="9">
        <f t="shared" si="16"/>
        <v>0.9</v>
      </c>
      <c r="O251" s="8">
        <f t="shared" si="14"/>
        <v>20990</v>
      </c>
      <c r="P251" s="6" t="s">
        <v>15</v>
      </c>
    </row>
    <row r="252" spans="1:16" x14ac:dyDescent="0.25">
      <c r="A252" s="7" t="str">
        <f t="shared" si="15"/>
        <v>2022 ALL D90</v>
      </c>
      <c r="B252" s="7">
        <f t="shared" si="15"/>
        <v>46114</v>
      </c>
      <c r="C252" s="7">
        <f t="shared" si="15"/>
        <v>46120</v>
      </c>
      <c r="D252" s="6">
        <v>3280</v>
      </c>
      <c r="E252" s="6">
        <v>337</v>
      </c>
      <c r="F252" s="6">
        <v>4</v>
      </c>
      <c r="G252" s="15">
        <v>1</v>
      </c>
      <c r="H252" s="15"/>
      <c r="I252" s="15" t="s">
        <v>1505</v>
      </c>
      <c r="J252" s="15">
        <v>65109200</v>
      </c>
      <c r="K252" s="15" t="s">
        <v>2246</v>
      </c>
      <c r="L252" s="15" t="s">
        <v>2249</v>
      </c>
      <c r="M252" s="15">
        <v>209900</v>
      </c>
      <c r="N252" s="9">
        <f t="shared" si="16"/>
        <v>0.9</v>
      </c>
      <c r="O252" s="8">
        <f t="shared" si="14"/>
        <v>20990</v>
      </c>
      <c r="P252" s="6" t="s">
        <v>15</v>
      </c>
    </row>
    <row r="253" spans="1:16" x14ac:dyDescent="0.25">
      <c r="A253" s="7" t="str">
        <f t="shared" si="15"/>
        <v>2022 ALL D90</v>
      </c>
      <c r="B253" s="7">
        <f t="shared" si="15"/>
        <v>46114</v>
      </c>
      <c r="C253" s="7">
        <f t="shared" si="15"/>
        <v>46120</v>
      </c>
      <c r="D253" s="6">
        <v>3280</v>
      </c>
      <c r="E253" s="6">
        <v>337</v>
      </c>
      <c r="F253" s="6">
        <v>4</v>
      </c>
      <c r="G253" s="15">
        <v>1</v>
      </c>
      <c r="H253" s="15"/>
      <c r="I253" s="15" t="s">
        <v>1505</v>
      </c>
      <c r="J253" s="15">
        <v>65109219</v>
      </c>
      <c r="K253" s="15" t="s">
        <v>2246</v>
      </c>
      <c r="L253" s="15" t="s">
        <v>2250</v>
      </c>
      <c r="M253" s="15">
        <v>219900</v>
      </c>
      <c r="N253" s="9">
        <f t="shared" si="16"/>
        <v>0.9</v>
      </c>
      <c r="O253" s="8">
        <f t="shared" si="14"/>
        <v>21990</v>
      </c>
      <c r="P253" s="6" t="s">
        <v>15</v>
      </c>
    </row>
    <row r="254" spans="1:16" x14ac:dyDescent="0.25">
      <c r="A254" s="7" t="str">
        <f t="shared" si="15"/>
        <v>2022 ALL D90</v>
      </c>
      <c r="B254" s="7">
        <f t="shared" si="15"/>
        <v>46114</v>
      </c>
      <c r="C254" s="7">
        <f t="shared" si="15"/>
        <v>46120</v>
      </c>
      <c r="D254" s="6">
        <v>3280</v>
      </c>
      <c r="E254" s="6">
        <v>337</v>
      </c>
      <c r="F254" s="6">
        <v>4</v>
      </c>
      <c r="G254" s="15">
        <v>1</v>
      </c>
      <c r="H254" s="15"/>
      <c r="I254" s="15" t="s">
        <v>1505</v>
      </c>
      <c r="J254" s="15">
        <v>65109228</v>
      </c>
      <c r="K254" s="15" t="s">
        <v>2246</v>
      </c>
      <c r="L254" s="15" t="s">
        <v>2251</v>
      </c>
      <c r="M254" s="15">
        <v>219900</v>
      </c>
      <c r="N254" s="9">
        <f t="shared" si="16"/>
        <v>0.9</v>
      </c>
      <c r="O254" s="8">
        <f t="shared" si="14"/>
        <v>21990</v>
      </c>
      <c r="P254" s="6" t="s">
        <v>15</v>
      </c>
    </row>
    <row r="255" spans="1:16" x14ac:dyDescent="0.25">
      <c r="A255" s="7" t="str">
        <f t="shared" si="15"/>
        <v>2022 ALL D90</v>
      </c>
      <c r="B255" s="7">
        <f t="shared" si="15"/>
        <v>46114</v>
      </c>
      <c r="C255" s="7">
        <f t="shared" si="15"/>
        <v>46120</v>
      </c>
      <c r="D255" s="6">
        <v>3280</v>
      </c>
      <c r="E255" s="6">
        <v>337</v>
      </c>
      <c r="F255" s="6">
        <v>4</v>
      </c>
      <c r="G255" s="15">
        <v>1</v>
      </c>
      <c r="H255" s="15"/>
      <c r="I255" s="15" t="s">
        <v>1505</v>
      </c>
      <c r="J255" s="15">
        <v>65109237</v>
      </c>
      <c r="K255" s="15" t="s">
        <v>2246</v>
      </c>
      <c r="L255" s="15" t="s">
        <v>2252</v>
      </c>
      <c r="M255" s="15">
        <v>219900</v>
      </c>
      <c r="N255" s="9">
        <f t="shared" si="16"/>
        <v>0.9</v>
      </c>
      <c r="O255" s="8">
        <f t="shared" si="14"/>
        <v>21990</v>
      </c>
      <c r="P255" s="6" t="s">
        <v>15</v>
      </c>
    </row>
    <row r="256" spans="1:16" x14ac:dyDescent="0.25">
      <c r="A256" s="7" t="str">
        <f t="shared" si="15"/>
        <v>2022 ALL D90</v>
      </c>
      <c r="B256" s="7">
        <f t="shared" si="15"/>
        <v>46114</v>
      </c>
      <c r="C256" s="7">
        <f t="shared" si="15"/>
        <v>46120</v>
      </c>
      <c r="D256" s="6">
        <v>3280</v>
      </c>
      <c r="E256" s="6">
        <v>337</v>
      </c>
      <c r="F256" s="6">
        <v>4</v>
      </c>
      <c r="G256" s="15">
        <v>1</v>
      </c>
      <c r="H256" s="15"/>
      <c r="I256" s="15" t="s">
        <v>1505</v>
      </c>
      <c r="J256" s="15">
        <v>67402915</v>
      </c>
      <c r="K256" s="15" t="s">
        <v>2239</v>
      </c>
      <c r="L256" s="15" t="s">
        <v>2241</v>
      </c>
      <c r="M256" s="15">
        <v>229900</v>
      </c>
      <c r="N256" s="9">
        <f t="shared" si="16"/>
        <v>0.9</v>
      </c>
      <c r="O256" s="8">
        <f t="shared" si="14"/>
        <v>22990</v>
      </c>
      <c r="P256" s="6" t="s">
        <v>15</v>
      </c>
    </row>
    <row r="257" spans="1:16" x14ac:dyDescent="0.25">
      <c r="A257" s="7" t="str">
        <f t="shared" si="15"/>
        <v>2022 ALL D90</v>
      </c>
      <c r="B257" s="7">
        <f t="shared" si="15"/>
        <v>46114</v>
      </c>
      <c r="C257" s="7">
        <f t="shared" si="15"/>
        <v>46120</v>
      </c>
      <c r="D257" s="6">
        <v>3280</v>
      </c>
      <c r="E257" s="6">
        <v>337</v>
      </c>
      <c r="F257" s="6">
        <v>4</v>
      </c>
      <c r="G257" s="15">
        <v>1</v>
      </c>
      <c r="H257" s="15"/>
      <c r="I257" s="15" t="s">
        <v>1505</v>
      </c>
      <c r="J257" s="15">
        <v>67402924</v>
      </c>
      <c r="K257" s="15" t="s">
        <v>2239</v>
      </c>
      <c r="L257" s="15" t="s">
        <v>2242</v>
      </c>
      <c r="M257" s="15">
        <v>229900</v>
      </c>
      <c r="N257" s="9">
        <f t="shared" si="16"/>
        <v>0.9</v>
      </c>
      <c r="O257" s="8">
        <f t="shared" si="14"/>
        <v>22990</v>
      </c>
      <c r="P257" s="6" t="s">
        <v>15</v>
      </c>
    </row>
    <row r="258" spans="1:16" x14ac:dyDescent="0.25">
      <c r="A258" s="7" t="str">
        <f t="shared" si="15"/>
        <v>2022 ALL D90</v>
      </c>
      <c r="B258" s="7">
        <f t="shared" si="15"/>
        <v>46114</v>
      </c>
      <c r="C258" s="7">
        <f t="shared" si="15"/>
        <v>46120</v>
      </c>
      <c r="D258" s="6">
        <v>3280</v>
      </c>
      <c r="E258" s="6">
        <v>337</v>
      </c>
      <c r="F258" s="6">
        <v>4</v>
      </c>
      <c r="G258" s="15">
        <v>1</v>
      </c>
      <c r="H258" s="15"/>
      <c r="I258" s="15" t="s">
        <v>1505</v>
      </c>
      <c r="J258" s="15">
        <v>67402933</v>
      </c>
      <c r="K258" s="15" t="s">
        <v>2239</v>
      </c>
      <c r="L258" s="15" t="s">
        <v>2245</v>
      </c>
      <c r="M258" s="15">
        <v>229900</v>
      </c>
      <c r="N258" s="9">
        <f t="shared" si="16"/>
        <v>0.9</v>
      </c>
      <c r="O258" s="8">
        <f t="shared" si="14"/>
        <v>22990</v>
      </c>
      <c r="P258" s="6" t="s">
        <v>15</v>
      </c>
    </row>
    <row r="259" spans="1:16" x14ac:dyDescent="0.25">
      <c r="A259" s="7" t="str">
        <f t="shared" si="15"/>
        <v>2022 ALL D90</v>
      </c>
      <c r="B259" s="7">
        <f t="shared" si="15"/>
        <v>46114</v>
      </c>
      <c r="C259" s="7">
        <f t="shared" si="15"/>
        <v>46120</v>
      </c>
      <c r="D259" s="6">
        <v>3280</v>
      </c>
      <c r="E259" s="6">
        <v>337</v>
      </c>
      <c r="F259" s="6">
        <v>4</v>
      </c>
      <c r="G259" s="15">
        <v>1</v>
      </c>
      <c r="H259" s="15"/>
      <c r="I259" s="15" t="s">
        <v>1505</v>
      </c>
      <c r="J259" s="15">
        <v>67402942</v>
      </c>
      <c r="K259" s="15" t="s">
        <v>2239</v>
      </c>
      <c r="L259" s="15" t="s">
        <v>2243</v>
      </c>
      <c r="M259" s="15">
        <v>239900</v>
      </c>
      <c r="N259" s="9">
        <f t="shared" si="16"/>
        <v>0.9</v>
      </c>
      <c r="O259" s="8">
        <f t="shared" ref="O259:O322" si="17">M259-((90*M259)/100)</f>
        <v>23990</v>
      </c>
      <c r="P259" s="6" t="s">
        <v>15</v>
      </c>
    </row>
    <row r="260" spans="1:16" x14ac:dyDescent="0.25">
      <c r="A260" s="7" t="str">
        <f t="shared" ref="A260:C323" si="18">A259</f>
        <v>2022 ALL D90</v>
      </c>
      <c r="B260" s="7">
        <f t="shared" si="18"/>
        <v>46114</v>
      </c>
      <c r="C260" s="7">
        <f t="shared" si="18"/>
        <v>46120</v>
      </c>
      <c r="D260" s="6">
        <v>3280</v>
      </c>
      <c r="E260" s="6">
        <v>337</v>
      </c>
      <c r="F260" s="6">
        <v>4</v>
      </c>
      <c r="G260" s="15">
        <v>1</v>
      </c>
      <c r="H260" s="15"/>
      <c r="I260" s="15" t="s">
        <v>1505</v>
      </c>
      <c r="J260" s="15">
        <v>67402951</v>
      </c>
      <c r="K260" s="15" t="s">
        <v>2239</v>
      </c>
      <c r="L260" s="15" t="s">
        <v>2244</v>
      </c>
      <c r="M260" s="15">
        <v>239900</v>
      </c>
      <c r="N260" s="9">
        <f t="shared" ref="N260:N323" si="19">N259</f>
        <v>0.9</v>
      </c>
      <c r="O260" s="8">
        <f t="shared" si="17"/>
        <v>23990</v>
      </c>
      <c r="P260" s="6" t="s">
        <v>15</v>
      </c>
    </row>
    <row r="261" spans="1:16" x14ac:dyDescent="0.25">
      <c r="A261" s="7" t="str">
        <f t="shared" si="18"/>
        <v>2022 ALL D90</v>
      </c>
      <c r="B261" s="7">
        <f t="shared" si="18"/>
        <v>46114</v>
      </c>
      <c r="C261" s="7">
        <f t="shared" si="18"/>
        <v>46120</v>
      </c>
      <c r="D261" s="6">
        <v>3280</v>
      </c>
      <c r="E261" s="6">
        <v>337</v>
      </c>
      <c r="F261" s="6">
        <v>4</v>
      </c>
      <c r="G261" s="15">
        <v>1</v>
      </c>
      <c r="H261" s="15"/>
      <c r="I261" s="15" t="s">
        <v>1505</v>
      </c>
      <c r="J261" s="15">
        <v>67402960</v>
      </c>
      <c r="K261" s="15" t="s">
        <v>2239</v>
      </c>
      <c r="L261" s="15" t="s">
        <v>2240</v>
      </c>
      <c r="M261" s="15">
        <v>239900</v>
      </c>
      <c r="N261" s="9">
        <f t="shared" si="19"/>
        <v>0.9</v>
      </c>
      <c r="O261" s="8">
        <f t="shared" si="17"/>
        <v>23990</v>
      </c>
      <c r="P261" s="6" t="s">
        <v>15</v>
      </c>
    </row>
    <row r="262" spans="1:16" x14ac:dyDescent="0.25">
      <c r="A262" s="7" t="str">
        <f t="shared" si="18"/>
        <v>2022 ALL D90</v>
      </c>
      <c r="B262" s="7">
        <f t="shared" si="18"/>
        <v>46114</v>
      </c>
      <c r="C262" s="7">
        <f t="shared" si="18"/>
        <v>46120</v>
      </c>
      <c r="D262" s="6">
        <v>3280</v>
      </c>
      <c r="E262" s="6">
        <v>337</v>
      </c>
      <c r="F262" s="6">
        <v>4</v>
      </c>
      <c r="G262" s="15">
        <v>1</v>
      </c>
      <c r="H262" s="15"/>
      <c r="I262" s="15" t="s">
        <v>1505</v>
      </c>
      <c r="J262" s="15">
        <v>57634756</v>
      </c>
      <c r="K262" s="15" t="s">
        <v>2138</v>
      </c>
      <c r="L262" s="15" t="s">
        <v>2139</v>
      </c>
      <c r="M262" s="15">
        <v>249900</v>
      </c>
      <c r="N262" s="9">
        <f t="shared" si="19"/>
        <v>0.9</v>
      </c>
      <c r="O262" s="8">
        <f t="shared" si="17"/>
        <v>24990</v>
      </c>
      <c r="P262" s="6" t="s">
        <v>15</v>
      </c>
    </row>
    <row r="263" spans="1:16" x14ac:dyDescent="0.25">
      <c r="A263" s="7" t="str">
        <f t="shared" si="18"/>
        <v>2022 ALL D90</v>
      </c>
      <c r="B263" s="7">
        <f t="shared" si="18"/>
        <v>46114</v>
      </c>
      <c r="C263" s="7">
        <f t="shared" si="18"/>
        <v>46120</v>
      </c>
      <c r="D263" s="6">
        <v>3280</v>
      </c>
      <c r="E263" s="6">
        <v>337</v>
      </c>
      <c r="F263" s="6">
        <v>4</v>
      </c>
      <c r="G263" s="15">
        <v>1</v>
      </c>
      <c r="H263" s="15"/>
      <c r="I263" s="15" t="s">
        <v>1505</v>
      </c>
      <c r="J263" s="15">
        <v>57634765</v>
      </c>
      <c r="K263" s="15" t="s">
        <v>2138</v>
      </c>
      <c r="L263" s="15" t="s">
        <v>2142</v>
      </c>
      <c r="M263" s="15">
        <v>249900</v>
      </c>
      <c r="N263" s="9">
        <f t="shared" si="19"/>
        <v>0.9</v>
      </c>
      <c r="O263" s="8">
        <f t="shared" si="17"/>
        <v>24990</v>
      </c>
      <c r="P263" s="6" t="s">
        <v>15</v>
      </c>
    </row>
    <row r="264" spans="1:16" x14ac:dyDescent="0.25">
      <c r="A264" s="7" t="str">
        <f t="shared" si="18"/>
        <v>2022 ALL D90</v>
      </c>
      <c r="B264" s="7">
        <f t="shared" si="18"/>
        <v>46114</v>
      </c>
      <c r="C264" s="7">
        <f t="shared" si="18"/>
        <v>46120</v>
      </c>
      <c r="D264" s="6">
        <v>3280</v>
      </c>
      <c r="E264" s="6">
        <v>337</v>
      </c>
      <c r="F264" s="6">
        <v>4</v>
      </c>
      <c r="G264" s="15">
        <v>1</v>
      </c>
      <c r="H264" s="15"/>
      <c r="I264" s="15" t="s">
        <v>1505</v>
      </c>
      <c r="J264" s="15">
        <v>57634774</v>
      </c>
      <c r="K264" s="15" t="s">
        <v>2138</v>
      </c>
      <c r="L264" s="15" t="s">
        <v>2140</v>
      </c>
      <c r="M264" s="15">
        <v>249900</v>
      </c>
      <c r="N264" s="9">
        <f t="shared" si="19"/>
        <v>0.9</v>
      </c>
      <c r="O264" s="8">
        <f t="shared" si="17"/>
        <v>24990</v>
      </c>
      <c r="P264" s="6" t="s">
        <v>15</v>
      </c>
    </row>
    <row r="265" spans="1:16" x14ac:dyDescent="0.25">
      <c r="A265" s="7" t="str">
        <f t="shared" si="18"/>
        <v>2022 ALL D90</v>
      </c>
      <c r="B265" s="7">
        <f t="shared" si="18"/>
        <v>46114</v>
      </c>
      <c r="C265" s="7">
        <f t="shared" si="18"/>
        <v>46120</v>
      </c>
      <c r="D265" s="6">
        <v>3280</v>
      </c>
      <c r="E265" s="6">
        <v>337</v>
      </c>
      <c r="F265" s="6">
        <v>4</v>
      </c>
      <c r="G265" s="15">
        <v>1</v>
      </c>
      <c r="H265" s="15"/>
      <c r="I265" s="15" t="s">
        <v>1505</v>
      </c>
      <c r="J265" s="15">
        <v>57634783</v>
      </c>
      <c r="K265" s="15" t="s">
        <v>2138</v>
      </c>
      <c r="L265" s="15" t="s">
        <v>2143</v>
      </c>
      <c r="M265" s="15">
        <v>259900</v>
      </c>
      <c r="N265" s="9">
        <f t="shared" si="19"/>
        <v>0.9</v>
      </c>
      <c r="O265" s="8">
        <f t="shared" si="17"/>
        <v>25990</v>
      </c>
      <c r="P265" s="6" t="s">
        <v>15</v>
      </c>
    </row>
    <row r="266" spans="1:16" x14ac:dyDescent="0.25">
      <c r="A266" s="7" t="str">
        <f t="shared" si="18"/>
        <v>2022 ALL D90</v>
      </c>
      <c r="B266" s="7">
        <f t="shared" si="18"/>
        <v>46114</v>
      </c>
      <c r="C266" s="7">
        <f t="shared" si="18"/>
        <v>46120</v>
      </c>
      <c r="D266" s="6">
        <v>3280</v>
      </c>
      <c r="E266" s="6">
        <v>337</v>
      </c>
      <c r="F266" s="6">
        <v>4</v>
      </c>
      <c r="G266" s="15">
        <v>1</v>
      </c>
      <c r="H266" s="15"/>
      <c r="I266" s="15" t="s">
        <v>1505</v>
      </c>
      <c r="J266" s="15">
        <v>57634792</v>
      </c>
      <c r="K266" s="15" t="s">
        <v>2138</v>
      </c>
      <c r="L266" s="15" t="s">
        <v>2144</v>
      </c>
      <c r="M266" s="15">
        <v>259900</v>
      </c>
      <c r="N266" s="9">
        <f t="shared" si="19"/>
        <v>0.9</v>
      </c>
      <c r="O266" s="8">
        <f t="shared" si="17"/>
        <v>25990</v>
      </c>
      <c r="P266" s="6" t="s">
        <v>15</v>
      </c>
    </row>
    <row r="267" spans="1:16" x14ac:dyDescent="0.25">
      <c r="A267" s="7" t="str">
        <f t="shared" si="18"/>
        <v>2022 ALL D90</v>
      </c>
      <c r="B267" s="7">
        <f t="shared" si="18"/>
        <v>46114</v>
      </c>
      <c r="C267" s="7">
        <f t="shared" si="18"/>
        <v>46120</v>
      </c>
      <c r="D267" s="6">
        <v>3280</v>
      </c>
      <c r="E267" s="6">
        <v>337</v>
      </c>
      <c r="F267" s="6">
        <v>4</v>
      </c>
      <c r="G267" s="15">
        <v>1</v>
      </c>
      <c r="H267" s="15"/>
      <c r="I267" s="15" t="s">
        <v>1505</v>
      </c>
      <c r="J267" s="15">
        <v>57634809</v>
      </c>
      <c r="K267" s="15" t="s">
        <v>2138</v>
      </c>
      <c r="L267" s="15" t="s">
        <v>2141</v>
      </c>
      <c r="M267" s="15">
        <v>259900</v>
      </c>
      <c r="N267" s="9">
        <f t="shared" si="19"/>
        <v>0.9</v>
      </c>
      <c r="O267" s="8">
        <f t="shared" si="17"/>
        <v>25990</v>
      </c>
      <c r="P267" s="6" t="s">
        <v>15</v>
      </c>
    </row>
    <row r="268" spans="1:16" x14ac:dyDescent="0.25">
      <c r="A268" s="7" t="str">
        <f t="shared" si="18"/>
        <v>2022 ALL D90</v>
      </c>
      <c r="B268" s="7">
        <f t="shared" si="18"/>
        <v>46114</v>
      </c>
      <c r="C268" s="7">
        <f t="shared" si="18"/>
        <v>46120</v>
      </c>
      <c r="D268" s="6">
        <v>3280</v>
      </c>
      <c r="E268" s="6">
        <v>337</v>
      </c>
      <c r="F268" s="6">
        <v>4</v>
      </c>
      <c r="G268" s="15">
        <v>1</v>
      </c>
      <c r="H268" s="15"/>
      <c r="I268" s="15" t="s">
        <v>1505</v>
      </c>
      <c r="J268" s="15">
        <v>71648161</v>
      </c>
      <c r="K268" s="15" t="s">
        <v>2131</v>
      </c>
      <c r="L268" s="15" t="s">
        <v>2132</v>
      </c>
      <c r="M268" s="15">
        <v>229900</v>
      </c>
      <c r="N268" s="9">
        <f t="shared" si="19"/>
        <v>0.9</v>
      </c>
      <c r="O268" s="8">
        <f t="shared" si="17"/>
        <v>22990</v>
      </c>
      <c r="P268" s="6" t="s">
        <v>15</v>
      </c>
    </row>
    <row r="269" spans="1:16" x14ac:dyDescent="0.25">
      <c r="A269" s="7" t="str">
        <f t="shared" si="18"/>
        <v>2022 ALL D90</v>
      </c>
      <c r="B269" s="7">
        <f t="shared" si="18"/>
        <v>46114</v>
      </c>
      <c r="C269" s="7">
        <f t="shared" si="18"/>
        <v>46120</v>
      </c>
      <c r="D269" s="6">
        <v>3280</v>
      </c>
      <c r="E269" s="6">
        <v>337</v>
      </c>
      <c r="F269" s="6">
        <v>4</v>
      </c>
      <c r="G269" s="15">
        <v>1</v>
      </c>
      <c r="H269" s="15"/>
      <c r="I269" s="15" t="s">
        <v>1505</v>
      </c>
      <c r="J269" s="15">
        <v>71648170</v>
      </c>
      <c r="K269" s="15" t="s">
        <v>2131</v>
      </c>
      <c r="L269" s="15" t="s">
        <v>2133</v>
      </c>
      <c r="M269" s="15">
        <v>229900</v>
      </c>
      <c r="N269" s="9">
        <f t="shared" si="19"/>
        <v>0.9</v>
      </c>
      <c r="O269" s="8">
        <f t="shared" si="17"/>
        <v>22990</v>
      </c>
      <c r="P269" s="6" t="s">
        <v>15</v>
      </c>
    </row>
    <row r="270" spans="1:16" x14ac:dyDescent="0.25">
      <c r="A270" s="7" t="str">
        <f t="shared" si="18"/>
        <v>2022 ALL D90</v>
      </c>
      <c r="B270" s="7">
        <f t="shared" si="18"/>
        <v>46114</v>
      </c>
      <c r="C270" s="7">
        <f t="shared" si="18"/>
        <v>46120</v>
      </c>
      <c r="D270" s="6">
        <v>3280</v>
      </c>
      <c r="E270" s="6">
        <v>337</v>
      </c>
      <c r="F270" s="6">
        <v>4</v>
      </c>
      <c r="G270" s="15">
        <v>1</v>
      </c>
      <c r="H270" s="15"/>
      <c r="I270" s="15" t="s">
        <v>1505</v>
      </c>
      <c r="J270" s="15">
        <v>71648189</v>
      </c>
      <c r="K270" s="15" t="s">
        <v>2131</v>
      </c>
      <c r="L270" s="15" t="s">
        <v>2134</v>
      </c>
      <c r="M270" s="15">
        <v>229900</v>
      </c>
      <c r="N270" s="9">
        <f t="shared" si="19"/>
        <v>0.9</v>
      </c>
      <c r="O270" s="8">
        <f t="shared" si="17"/>
        <v>22990</v>
      </c>
      <c r="P270" s="6" t="s">
        <v>15</v>
      </c>
    </row>
    <row r="271" spans="1:16" x14ac:dyDescent="0.25">
      <c r="A271" s="7" t="str">
        <f t="shared" si="18"/>
        <v>2022 ALL D90</v>
      </c>
      <c r="B271" s="7">
        <f t="shared" si="18"/>
        <v>46114</v>
      </c>
      <c r="C271" s="7">
        <f t="shared" si="18"/>
        <v>46120</v>
      </c>
      <c r="D271" s="6">
        <v>3280</v>
      </c>
      <c r="E271" s="6">
        <v>337</v>
      </c>
      <c r="F271" s="6">
        <v>4</v>
      </c>
      <c r="G271" s="15">
        <v>1</v>
      </c>
      <c r="H271" s="15"/>
      <c r="I271" s="15" t="s">
        <v>1505</v>
      </c>
      <c r="J271" s="15">
        <v>71648198</v>
      </c>
      <c r="K271" s="15" t="s">
        <v>2131</v>
      </c>
      <c r="L271" s="15" t="s">
        <v>2135</v>
      </c>
      <c r="M271" s="15">
        <v>239900</v>
      </c>
      <c r="N271" s="9">
        <f t="shared" si="19"/>
        <v>0.9</v>
      </c>
      <c r="O271" s="8">
        <f t="shared" si="17"/>
        <v>23990</v>
      </c>
      <c r="P271" s="6" t="s">
        <v>15</v>
      </c>
    </row>
    <row r="272" spans="1:16" x14ac:dyDescent="0.25">
      <c r="A272" s="7" t="str">
        <f t="shared" si="18"/>
        <v>2022 ALL D90</v>
      </c>
      <c r="B272" s="7">
        <f t="shared" si="18"/>
        <v>46114</v>
      </c>
      <c r="C272" s="7">
        <f t="shared" si="18"/>
        <v>46120</v>
      </c>
      <c r="D272" s="6">
        <v>3280</v>
      </c>
      <c r="E272" s="6">
        <v>337</v>
      </c>
      <c r="F272" s="6">
        <v>4</v>
      </c>
      <c r="G272" s="15">
        <v>1</v>
      </c>
      <c r="H272" s="15"/>
      <c r="I272" s="15" t="s">
        <v>1505</v>
      </c>
      <c r="J272" s="15">
        <v>71648205</v>
      </c>
      <c r="K272" s="15" t="s">
        <v>2131</v>
      </c>
      <c r="L272" s="15" t="s">
        <v>2136</v>
      </c>
      <c r="M272" s="15">
        <v>239900</v>
      </c>
      <c r="N272" s="9">
        <f t="shared" si="19"/>
        <v>0.9</v>
      </c>
      <c r="O272" s="8">
        <f t="shared" si="17"/>
        <v>23990</v>
      </c>
      <c r="P272" s="6" t="s">
        <v>15</v>
      </c>
    </row>
    <row r="273" spans="1:16" x14ac:dyDescent="0.25">
      <c r="A273" s="7" t="str">
        <f t="shared" si="18"/>
        <v>2022 ALL D90</v>
      </c>
      <c r="B273" s="7">
        <f t="shared" si="18"/>
        <v>46114</v>
      </c>
      <c r="C273" s="7">
        <f t="shared" si="18"/>
        <v>46120</v>
      </c>
      <c r="D273" s="6">
        <v>3280</v>
      </c>
      <c r="E273" s="6">
        <v>337</v>
      </c>
      <c r="F273" s="6">
        <v>4</v>
      </c>
      <c r="G273" s="15">
        <v>1</v>
      </c>
      <c r="H273" s="15"/>
      <c r="I273" s="15" t="s">
        <v>1505</v>
      </c>
      <c r="J273" s="15">
        <v>71648214</v>
      </c>
      <c r="K273" s="15" t="s">
        <v>2131</v>
      </c>
      <c r="L273" s="15" t="s">
        <v>2137</v>
      </c>
      <c r="M273" s="15">
        <v>239900</v>
      </c>
      <c r="N273" s="9">
        <f t="shared" si="19"/>
        <v>0.9</v>
      </c>
      <c r="O273" s="8">
        <f t="shared" si="17"/>
        <v>23990</v>
      </c>
      <c r="P273" s="6" t="s">
        <v>15</v>
      </c>
    </row>
    <row r="274" spans="1:16" x14ac:dyDescent="0.25">
      <c r="A274" s="7" t="str">
        <f t="shared" si="18"/>
        <v>2022 ALL D90</v>
      </c>
      <c r="B274" s="7">
        <f t="shared" si="18"/>
        <v>46114</v>
      </c>
      <c r="C274" s="7">
        <f t="shared" si="18"/>
        <v>46120</v>
      </c>
      <c r="D274" s="6">
        <v>3280</v>
      </c>
      <c r="E274" s="6">
        <v>337</v>
      </c>
      <c r="F274" s="6">
        <v>4</v>
      </c>
      <c r="G274" s="15">
        <v>1</v>
      </c>
      <c r="H274" s="15"/>
      <c r="I274" s="15" t="s">
        <v>1505</v>
      </c>
      <c r="J274" s="15">
        <v>67994554</v>
      </c>
      <c r="K274" s="15" t="s">
        <v>2253</v>
      </c>
      <c r="L274" s="15" t="s">
        <v>2254</v>
      </c>
      <c r="M274" s="15">
        <v>229900</v>
      </c>
      <c r="N274" s="9">
        <f t="shared" si="19"/>
        <v>0.9</v>
      </c>
      <c r="O274" s="8">
        <f t="shared" si="17"/>
        <v>22990</v>
      </c>
      <c r="P274" s="6" t="s">
        <v>15</v>
      </c>
    </row>
    <row r="275" spans="1:16" x14ac:dyDescent="0.25">
      <c r="A275" s="7" t="str">
        <f t="shared" si="18"/>
        <v>2022 ALL D90</v>
      </c>
      <c r="B275" s="7">
        <f t="shared" si="18"/>
        <v>46114</v>
      </c>
      <c r="C275" s="7">
        <f t="shared" si="18"/>
        <v>46120</v>
      </c>
      <c r="D275" s="6">
        <v>3280</v>
      </c>
      <c r="E275" s="6">
        <v>337</v>
      </c>
      <c r="F275" s="6">
        <v>4</v>
      </c>
      <c r="G275" s="15">
        <v>1</v>
      </c>
      <c r="H275" s="15"/>
      <c r="I275" s="15" t="s">
        <v>1505</v>
      </c>
      <c r="J275" s="15">
        <v>67994563</v>
      </c>
      <c r="K275" s="15" t="s">
        <v>2253</v>
      </c>
      <c r="L275" s="15" t="s">
        <v>2255</v>
      </c>
      <c r="M275" s="15">
        <v>229900</v>
      </c>
      <c r="N275" s="9">
        <f t="shared" si="19"/>
        <v>0.9</v>
      </c>
      <c r="O275" s="8">
        <f t="shared" si="17"/>
        <v>22990</v>
      </c>
      <c r="P275" s="6" t="s">
        <v>15</v>
      </c>
    </row>
    <row r="276" spans="1:16" x14ac:dyDescent="0.25">
      <c r="A276" s="7" t="str">
        <f t="shared" si="18"/>
        <v>2022 ALL D90</v>
      </c>
      <c r="B276" s="7">
        <f t="shared" si="18"/>
        <v>46114</v>
      </c>
      <c r="C276" s="7">
        <f t="shared" si="18"/>
        <v>46120</v>
      </c>
      <c r="D276" s="6">
        <v>3280</v>
      </c>
      <c r="E276" s="6">
        <v>337</v>
      </c>
      <c r="F276" s="6">
        <v>4</v>
      </c>
      <c r="G276" s="15">
        <v>1</v>
      </c>
      <c r="H276" s="15"/>
      <c r="I276" s="15" t="s">
        <v>1505</v>
      </c>
      <c r="J276" s="15">
        <v>67994572</v>
      </c>
      <c r="K276" s="15" t="s">
        <v>2253</v>
      </c>
      <c r="L276" s="15" t="s">
        <v>2256</v>
      </c>
      <c r="M276" s="15">
        <v>229900</v>
      </c>
      <c r="N276" s="9">
        <f t="shared" si="19"/>
        <v>0.9</v>
      </c>
      <c r="O276" s="8">
        <f t="shared" si="17"/>
        <v>22990</v>
      </c>
      <c r="P276" s="6" t="s">
        <v>15</v>
      </c>
    </row>
    <row r="277" spans="1:16" x14ac:dyDescent="0.25">
      <c r="A277" s="7" t="str">
        <f t="shared" si="18"/>
        <v>2022 ALL D90</v>
      </c>
      <c r="B277" s="7">
        <f t="shared" si="18"/>
        <v>46114</v>
      </c>
      <c r="C277" s="7">
        <f t="shared" si="18"/>
        <v>46120</v>
      </c>
      <c r="D277" s="6">
        <v>3280</v>
      </c>
      <c r="E277" s="6">
        <v>337</v>
      </c>
      <c r="F277" s="6">
        <v>4</v>
      </c>
      <c r="G277" s="15">
        <v>1</v>
      </c>
      <c r="H277" s="15"/>
      <c r="I277" s="15" t="s">
        <v>1505</v>
      </c>
      <c r="J277" s="15">
        <v>67994581</v>
      </c>
      <c r="K277" s="15" t="s">
        <v>2253</v>
      </c>
      <c r="L277" s="15" t="s">
        <v>2257</v>
      </c>
      <c r="M277" s="15">
        <v>239900</v>
      </c>
      <c r="N277" s="9">
        <f t="shared" si="19"/>
        <v>0.9</v>
      </c>
      <c r="O277" s="8">
        <f t="shared" si="17"/>
        <v>23990</v>
      </c>
      <c r="P277" s="6" t="s">
        <v>15</v>
      </c>
    </row>
    <row r="278" spans="1:16" x14ac:dyDescent="0.25">
      <c r="A278" s="7" t="str">
        <f t="shared" si="18"/>
        <v>2022 ALL D90</v>
      </c>
      <c r="B278" s="7">
        <f t="shared" si="18"/>
        <v>46114</v>
      </c>
      <c r="C278" s="7">
        <f t="shared" si="18"/>
        <v>46120</v>
      </c>
      <c r="D278" s="6">
        <v>3280</v>
      </c>
      <c r="E278" s="6">
        <v>337</v>
      </c>
      <c r="F278" s="6">
        <v>4</v>
      </c>
      <c r="G278" s="15">
        <v>1</v>
      </c>
      <c r="H278" s="15"/>
      <c r="I278" s="15" t="s">
        <v>1505</v>
      </c>
      <c r="J278" s="15">
        <v>67994590</v>
      </c>
      <c r="K278" s="15" t="s">
        <v>2253</v>
      </c>
      <c r="L278" s="15" t="s">
        <v>2258</v>
      </c>
      <c r="M278" s="15">
        <v>239900</v>
      </c>
      <c r="N278" s="9">
        <f t="shared" si="19"/>
        <v>0.9</v>
      </c>
      <c r="O278" s="8">
        <f t="shared" si="17"/>
        <v>23990</v>
      </c>
      <c r="P278" s="6" t="s">
        <v>15</v>
      </c>
    </row>
    <row r="279" spans="1:16" x14ac:dyDescent="0.25">
      <c r="A279" s="7" t="str">
        <f t="shared" si="18"/>
        <v>2022 ALL D90</v>
      </c>
      <c r="B279" s="7">
        <f t="shared" si="18"/>
        <v>46114</v>
      </c>
      <c r="C279" s="7">
        <f t="shared" si="18"/>
        <v>46120</v>
      </c>
      <c r="D279" s="6">
        <v>3280</v>
      </c>
      <c r="E279" s="6">
        <v>337</v>
      </c>
      <c r="F279" s="6">
        <v>4</v>
      </c>
      <c r="G279" s="15">
        <v>1</v>
      </c>
      <c r="H279" s="15"/>
      <c r="I279" s="15" t="s">
        <v>1505</v>
      </c>
      <c r="J279" s="15">
        <v>67994607</v>
      </c>
      <c r="K279" s="15" t="s">
        <v>2253</v>
      </c>
      <c r="L279" s="15" t="s">
        <v>2259</v>
      </c>
      <c r="M279" s="15">
        <v>239900</v>
      </c>
      <c r="N279" s="9">
        <f t="shared" si="19"/>
        <v>0.9</v>
      </c>
      <c r="O279" s="8">
        <f t="shared" si="17"/>
        <v>23990</v>
      </c>
      <c r="P279" s="6" t="s">
        <v>15</v>
      </c>
    </row>
    <row r="280" spans="1:16" x14ac:dyDescent="0.25">
      <c r="A280" s="7" t="str">
        <f t="shared" si="18"/>
        <v>2022 ALL D90</v>
      </c>
      <c r="B280" s="7">
        <f t="shared" si="18"/>
        <v>46114</v>
      </c>
      <c r="C280" s="7">
        <f t="shared" si="18"/>
        <v>46120</v>
      </c>
      <c r="D280" s="6">
        <v>3280</v>
      </c>
      <c r="E280" s="6">
        <v>337</v>
      </c>
      <c r="F280" s="6">
        <v>4</v>
      </c>
      <c r="G280" s="15">
        <v>1</v>
      </c>
      <c r="H280" s="15"/>
      <c r="I280" s="15" t="s">
        <v>1505</v>
      </c>
      <c r="J280" s="15">
        <v>66937000</v>
      </c>
      <c r="K280" s="15" t="s">
        <v>2294</v>
      </c>
      <c r="L280" s="15" t="s">
        <v>2297</v>
      </c>
      <c r="M280" s="15">
        <v>219900</v>
      </c>
      <c r="N280" s="9">
        <f t="shared" si="19"/>
        <v>0.9</v>
      </c>
      <c r="O280" s="8">
        <f t="shared" si="17"/>
        <v>21990</v>
      </c>
      <c r="P280" s="6" t="s">
        <v>15</v>
      </c>
    </row>
    <row r="281" spans="1:16" x14ac:dyDescent="0.25">
      <c r="A281" s="7" t="str">
        <f t="shared" si="18"/>
        <v>2022 ALL D90</v>
      </c>
      <c r="B281" s="7">
        <f t="shared" si="18"/>
        <v>46114</v>
      </c>
      <c r="C281" s="7">
        <f t="shared" si="18"/>
        <v>46120</v>
      </c>
      <c r="D281" s="6">
        <v>3280</v>
      </c>
      <c r="E281" s="6">
        <v>337</v>
      </c>
      <c r="F281" s="6">
        <v>4</v>
      </c>
      <c r="G281" s="15">
        <v>1</v>
      </c>
      <c r="H281" s="15"/>
      <c r="I281" s="15" t="s">
        <v>1505</v>
      </c>
      <c r="J281" s="15">
        <v>66937019</v>
      </c>
      <c r="K281" s="15" t="s">
        <v>2294</v>
      </c>
      <c r="L281" s="15" t="s">
        <v>2298</v>
      </c>
      <c r="M281" s="15">
        <v>219900</v>
      </c>
      <c r="N281" s="9">
        <f t="shared" si="19"/>
        <v>0.9</v>
      </c>
      <c r="O281" s="8">
        <f t="shared" si="17"/>
        <v>21990</v>
      </c>
      <c r="P281" s="6" t="s">
        <v>15</v>
      </c>
    </row>
    <row r="282" spans="1:16" x14ac:dyDescent="0.25">
      <c r="A282" s="7" t="str">
        <f t="shared" si="18"/>
        <v>2022 ALL D90</v>
      </c>
      <c r="B282" s="7">
        <f t="shared" si="18"/>
        <v>46114</v>
      </c>
      <c r="C282" s="7">
        <f t="shared" si="18"/>
        <v>46120</v>
      </c>
      <c r="D282" s="6">
        <v>3280</v>
      </c>
      <c r="E282" s="6">
        <v>337</v>
      </c>
      <c r="F282" s="6">
        <v>4</v>
      </c>
      <c r="G282" s="15">
        <v>1</v>
      </c>
      <c r="H282" s="15"/>
      <c r="I282" s="15" t="s">
        <v>1505</v>
      </c>
      <c r="J282" s="15">
        <v>66937028</v>
      </c>
      <c r="K282" s="15" t="s">
        <v>2294</v>
      </c>
      <c r="L282" s="15" t="s">
        <v>2299</v>
      </c>
      <c r="M282" s="15">
        <v>219900</v>
      </c>
      <c r="N282" s="9">
        <f t="shared" si="19"/>
        <v>0.9</v>
      </c>
      <c r="O282" s="8">
        <f t="shared" si="17"/>
        <v>21990</v>
      </c>
      <c r="P282" s="6" t="s">
        <v>15</v>
      </c>
    </row>
    <row r="283" spans="1:16" x14ac:dyDescent="0.25">
      <c r="A283" s="7" t="str">
        <f t="shared" si="18"/>
        <v>2022 ALL D90</v>
      </c>
      <c r="B283" s="7">
        <f t="shared" si="18"/>
        <v>46114</v>
      </c>
      <c r="C283" s="7">
        <f t="shared" si="18"/>
        <v>46120</v>
      </c>
      <c r="D283" s="6">
        <v>3280</v>
      </c>
      <c r="E283" s="6">
        <v>337</v>
      </c>
      <c r="F283" s="6">
        <v>4</v>
      </c>
      <c r="G283" s="15">
        <v>1</v>
      </c>
      <c r="H283" s="15"/>
      <c r="I283" s="15" t="s">
        <v>1505</v>
      </c>
      <c r="J283" s="15">
        <v>66937037</v>
      </c>
      <c r="K283" s="15" t="s">
        <v>2294</v>
      </c>
      <c r="L283" s="15" t="s">
        <v>2300</v>
      </c>
      <c r="M283" s="15">
        <v>229900</v>
      </c>
      <c r="N283" s="9">
        <f t="shared" si="19"/>
        <v>0.9</v>
      </c>
      <c r="O283" s="8">
        <f t="shared" si="17"/>
        <v>22990</v>
      </c>
      <c r="P283" s="6" t="s">
        <v>15</v>
      </c>
    </row>
    <row r="284" spans="1:16" x14ac:dyDescent="0.25">
      <c r="A284" s="7" t="str">
        <f t="shared" si="18"/>
        <v>2022 ALL D90</v>
      </c>
      <c r="B284" s="7">
        <f t="shared" si="18"/>
        <v>46114</v>
      </c>
      <c r="C284" s="7">
        <f t="shared" si="18"/>
        <v>46120</v>
      </c>
      <c r="D284" s="6">
        <v>3280</v>
      </c>
      <c r="E284" s="6">
        <v>337</v>
      </c>
      <c r="F284" s="6">
        <v>4</v>
      </c>
      <c r="G284" s="15">
        <v>1</v>
      </c>
      <c r="H284" s="15"/>
      <c r="I284" s="15" t="s">
        <v>1505</v>
      </c>
      <c r="J284" s="15">
        <v>66937046</v>
      </c>
      <c r="K284" s="15" t="s">
        <v>2294</v>
      </c>
      <c r="L284" s="15" t="s">
        <v>2295</v>
      </c>
      <c r="M284" s="15">
        <v>229900</v>
      </c>
      <c r="N284" s="9">
        <f t="shared" si="19"/>
        <v>0.9</v>
      </c>
      <c r="O284" s="8">
        <f t="shared" si="17"/>
        <v>22990</v>
      </c>
      <c r="P284" s="6" t="s">
        <v>15</v>
      </c>
    </row>
    <row r="285" spans="1:16" x14ac:dyDescent="0.25">
      <c r="A285" s="7" t="str">
        <f t="shared" si="18"/>
        <v>2022 ALL D90</v>
      </c>
      <c r="B285" s="7">
        <f t="shared" si="18"/>
        <v>46114</v>
      </c>
      <c r="C285" s="7">
        <f t="shared" si="18"/>
        <v>46120</v>
      </c>
      <c r="D285" s="6">
        <v>3280</v>
      </c>
      <c r="E285" s="6">
        <v>337</v>
      </c>
      <c r="F285" s="6">
        <v>4</v>
      </c>
      <c r="G285" s="15">
        <v>1</v>
      </c>
      <c r="H285" s="15"/>
      <c r="I285" s="15" t="s">
        <v>1505</v>
      </c>
      <c r="J285" s="15">
        <v>66937055</v>
      </c>
      <c r="K285" s="15" t="s">
        <v>2294</v>
      </c>
      <c r="L285" s="15" t="s">
        <v>2296</v>
      </c>
      <c r="M285" s="15">
        <v>229900</v>
      </c>
      <c r="N285" s="9">
        <f t="shared" si="19"/>
        <v>0.9</v>
      </c>
      <c r="O285" s="8">
        <f t="shared" si="17"/>
        <v>22990</v>
      </c>
      <c r="P285" s="6" t="s">
        <v>15</v>
      </c>
    </row>
    <row r="286" spans="1:16" x14ac:dyDescent="0.25">
      <c r="A286" s="7" t="str">
        <f t="shared" si="18"/>
        <v>2022 ALL D90</v>
      </c>
      <c r="B286" s="7">
        <f t="shared" si="18"/>
        <v>46114</v>
      </c>
      <c r="C286" s="7">
        <f t="shared" si="18"/>
        <v>46120</v>
      </c>
      <c r="D286" s="6">
        <v>3280</v>
      </c>
      <c r="E286" s="6">
        <v>337</v>
      </c>
      <c r="F286" s="6">
        <v>4</v>
      </c>
      <c r="G286" s="15">
        <v>1</v>
      </c>
      <c r="H286" s="15"/>
      <c r="I286" s="15" t="s">
        <v>1505</v>
      </c>
      <c r="J286" s="15">
        <v>66937144</v>
      </c>
      <c r="K286" s="15" t="s">
        <v>2287</v>
      </c>
      <c r="L286" s="15" t="s">
        <v>2289</v>
      </c>
      <c r="M286" s="15">
        <v>209900</v>
      </c>
      <c r="N286" s="9">
        <f t="shared" si="19"/>
        <v>0.9</v>
      </c>
      <c r="O286" s="8">
        <f t="shared" si="17"/>
        <v>20990</v>
      </c>
      <c r="P286" s="6" t="s">
        <v>15</v>
      </c>
    </row>
    <row r="287" spans="1:16" x14ac:dyDescent="0.25">
      <c r="A287" s="7" t="str">
        <f t="shared" si="18"/>
        <v>2022 ALL D90</v>
      </c>
      <c r="B287" s="7">
        <f t="shared" si="18"/>
        <v>46114</v>
      </c>
      <c r="C287" s="7">
        <f t="shared" si="18"/>
        <v>46120</v>
      </c>
      <c r="D287" s="6">
        <v>3280</v>
      </c>
      <c r="E287" s="6">
        <v>337</v>
      </c>
      <c r="F287" s="6">
        <v>4</v>
      </c>
      <c r="G287" s="15">
        <v>1</v>
      </c>
      <c r="H287" s="15"/>
      <c r="I287" s="15" t="s">
        <v>1505</v>
      </c>
      <c r="J287" s="15">
        <v>66937153</v>
      </c>
      <c r="K287" s="15" t="s">
        <v>2287</v>
      </c>
      <c r="L287" s="15" t="s">
        <v>2290</v>
      </c>
      <c r="M287" s="15">
        <v>209900</v>
      </c>
      <c r="N287" s="9">
        <f t="shared" si="19"/>
        <v>0.9</v>
      </c>
      <c r="O287" s="8">
        <f t="shared" si="17"/>
        <v>20990</v>
      </c>
      <c r="P287" s="6" t="s">
        <v>15</v>
      </c>
    </row>
    <row r="288" spans="1:16" x14ac:dyDescent="0.25">
      <c r="A288" s="7" t="str">
        <f t="shared" si="18"/>
        <v>2022 ALL D90</v>
      </c>
      <c r="B288" s="7">
        <f t="shared" si="18"/>
        <v>46114</v>
      </c>
      <c r="C288" s="7">
        <f t="shared" si="18"/>
        <v>46120</v>
      </c>
      <c r="D288" s="6">
        <v>3280</v>
      </c>
      <c r="E288" s="6">
        <v>337</v>
      </c>
      <c r="F288" s="6">
        <v>4</v>
      </c>
      <c r="G288" s="15">
        <v>1</v>
      </c>
      <c r="H288" s="15"/>
      <c r="I288" s="15" t="s">
        <v>1505</v>
      </c>
      <c r="J288" s="15">
        <v>66937162</v>
      </c>
      <c r="K288" s="15" t="s">
        <v>2287</v>
      </c>
      <c r="L288" s="15" t="s">
        <v>2291</v>
      </c>
      <c r="M288" s="15">
        <v>209900</v>
      </c>
      <c r="N288" s="9">
        <f t="shared" si="19"/>
        <v>0.9</v>
      </c>
      <c r="O288" s="8">
        <f t="shared" si="17"/>
        <v>20990</v>
      </c>
      <c r="P288" s="6" t="s">
        <v>15</v>
      </c>
    </row>
    <row r="289" spans="1:16" x14ac:dyDescent="0.25">
      <c r="A289" s="7" t="str">
        <f t="shared" si="18"/>
        <v>2022 ALL D90</v>
      </c>
      <c r="B289" s="7">
        <f t="shared" si="18"/>
        <v>46114</v>
      </c>
      <c r="C289" s="7">
        <f t="shared" si="18"/>
        <v>46120</v>
      </c>
      <c r="D289" s="6">
        <v>3280</v>
      </c>
      <c r="E289" s="6">
        <v>337</v>
      </c>
      <c r="F289" s="6">
        <v>4</v>
      </c>
      <c r="G289" s="15">
        <v>1</v>
      </c>
      <c r="H289" s="15"/>
      <c r="I289" s="15" t="s">
        <v>1505</v>
      </c>
      <c r="J289" s="15">
        <v>66937171</v>
      </c>
      <c r="K289" s="15" t="s">
        <v>2287</v>
      </c>
      <c r="L289" s="15" t="s">
        <v>2292</v>
      </c>
      <c r="M289" s="15">
        <v>219900</v>
      </c>
      <c r="N289" s="9">
        <f t="shared" si="19"/>
        <v>0.9</v>
      </c>
      <c r="O289" s="8">
        <f t="shared" si="17"/>
        <v>21990</v>
      </c>
      <c r="P289" s="6" t="s">
        <v>15</v>
      </c>
    </row>
    <row r="290" spans="1:16" x14ac:dyDescent="0.25">
      <c r="A290" s="7" t="str">
        <f t="shared" si="18"/>
        <v>2022 ALL D90</v>
      </c>
      <c r="B290" s="7">
        <f t="shared" si="18"/>
        <v>46114</v>
      </c>
      <c r="C290" s="7">
        <f t="shared" si="18"/>
        <v>46120</v>
      </c>
      <c r="D290" s="6">
        <v>3280</v>
      </c>
      <c r="E290" s="6">
        <v>337</v>
      </c>
      <c r="F290" s="6">
        <v>4</v>
      </c>
      <c r="G290" s="15">
        <v>1</v>
      </c>
      <c r="H290" s="15"/>
      <c r="I290" s="15" t="s">
        <v>1505</v>
      </c>
      <c r="J290" s="15">
        <v>66937180</v>
      </c>
      <c r="K290" s="15" t="s">
        <v>2287</v>
      </c>
      <c r="L290" s="15" t="s">
        <v>2293</v>
      </c>
      <c r="M290" s="15">
        <v>219900</v>
      </c>
      <c r="N290" s="9">
        <f t="shared" si="19"/>
        <v>0.9</v>
      </c>
      <c r="O290" s="8">
        <f t="shared" si="17"/>
        <v>21990</v>
      </c>
      <c r="P290" s="6" t="s">
        <v>15</v>
      </c>
    </row>
    <row r="291" spans="1:16" x14ac:dyDescent="0.25">
      <c r="A291" s="7" t="str">
        <f t="shared" si="18"/>
        <v>2022 ALL D90</v>
      </c>
      <c r="B291" s="7">
        <f t="shared" si="18"/>
        <v>46114</v>
      </c>
      <c r="C291" s="7">
        <f t="shared" ref="C291:C354" si="20">C290</f>
        <v>46120</v>
      </c>
      <c r="D291" s="6">
        <v>3280</v>
      </c>
      <c r="E291" s="6">
        <v>337</v>
      </c>
      <c r="F291" s="6">
        <v>4</v>
      </c>
      <c r="G291" s="15">
        <v>1</v>
      </c>
      <c r="H291" s="15"/>
      <c r="I291" s="15" t="s">
        <v>1505</v>
      </c>
      <c r="J291" s="15">
        <v>66937199</v>
      </c>
      <c r="K291" s="15" t="s">
        <v>2287</v>
      </c>
      <c r="L291" s="15" t="s">
        <v>2288</v>
      </c>
      <c r="M291" s="15">
        <v>219900</v>
      </c>
      <c r="N291" s="9">
        <f t="shared" si="19"/>
        <v>0.9</v>
      </c>
      <c r="O291" s="8">
        <f t="shared" si="17"/>
        <v>21990</v>
      </c>
      <c r="P291" s="6" t="s">
        <v>15</v>
      </c>
    </row>
    <row r="292" spans="1:16" x14ac:dyDescent="0.25">
      <c r="A292" s="7" t="str">
        <f t="shared" si="18"/>
        <v>2022 ALL D90</v>
      </c>
      <c r="B292" s="7">
        <f t="shared" ref="B292:B355" si="21">B291</f>
        <v>46114</v>
      </c>
      <c r="C292" s="7">
        <f t="shared" si="20"/>
        <v>46120</v>
      </c>
      <c r="D292" s="6">
        <v>3280</v>
      </c>
      <c r="E292" s="6">
        <v>337</v>
      </c>
      <c r="F292" s="6">
        <v>4</v>
      </c>
      <c r="G292" s="15">
        <v>1</v>
      </c>
      <c r="H292" s="15"/>
      <c r="I292" s="15" t="s">
        <v>1505</v>
      </c>
      <c r="J292" s="15">
        <v>67402853</v>
      </c>
      <c r="K292" s="15" t="s">
        <v>2280</v>
      </c>
      <c r="L292" s="15" t="s">
        <v>2283</v>
      </c>
      <c r="M292" s="15">
        <v>219900</v>
      </c>
      <c r="N292" s="9">
        <f t="shared" si="19"/>
        <v>0.9</v>
      </c>
      <c r="O292" s="8">
        <f t="shared" si="17"/>
        <v>21990</v>
      </c>
      <c r="P292" s="6" t="s">
        <v>15</v>
      </c>
    </row>
    <row r="293" spans="1:16" x14ac:dyDescent="0.25">
      <c r="A293" s="7" t="str">
        <f t="shared" si="18"/>
        <v>2022 ALL D90</v>
      </c>
      <c r="B293" s="7">
        <f t="shared" si="21"/>
        <v>46114</v>
      </c>
      <c r="C293" s="7">
        <f t="shared" si="20"/>
        <v>46120</v>
      </c>
      <c r="D293" s="6">
        <v>3280</v>
      </c>
      <c r="E293" s="6">
        <v>337</v>
      </c>
      <c r="F293" s="6">
        <v>4</v>
      </c>
      <c r="G293" s="15">
        <v>1</v>
      </c>
      <c r="H293" s="15"/>
      <c r="I293" s="15" t="s">
        <v>1505</v>
      </c>
      <c r="J293" s="15">
        <v>67402862</v>
      </c>
      <c r="K293" s="15" t="s">
        <v>2280</v>
      </c>
      <c r="L293" s="15" t="s">
        <v>2284</v>
      </c>
      <c r="M293" s="15">
        <v>219900</v>
      </c>
      <c r="N293" s="9">
        <f t="shared" si="19"/>
        <v>0.9</v>
      </c>
      <c r="O293" s="8">
        <f t="shared" si="17"/>
        <v>21990</v>
      </c>
      <c r="P293" s="6" t="s">
        <v>15</v>
      </c>
    </row>
    <row r="294" spans="1:16" x14ac:dyDescent="0.25">
      <c r="A294" s="7" t="str">
        <f t="shared" si="18"/>
        <v>2022 ALL D90</v>
      </c>
      <c r="B294" s="7">
        <f t="shared" si="21"/>
        <v>46114</v>
      </c>
      <c r="C294" s="7">
        <f t="shared" si="20"/>
        <v>46120</v>
      </c>
      <c r="D294" s="6">
        <v>3280</v>
      </c>
      <c r="E294" s="6">
        <v>337</v>
      </c>
      <c r="F294" s="6">
        <v>4</v>
      </c>
      <c r="G294" s="15">
        <v>1</v>
      </c>
      <c r="H294" s="15"/>
      <c r="I294" s="15" t="s">
        <v>1505</v>
      </c>
      <c r="J294" s="15">
        <v>67402871</v>
      </c>
      <c r="K294" s="15" t="s">
        <v>2280</v>
      </c>
      <c r="L294" s="15" t="s">
        <v>2285</v>
      </c>
      <c r="M294" s="15">
        <v>219900</v>
      </c>
      <c r="N294" s="9">
        <f t="shared" si="19"/>
        <v>0.9</v>
      </c>
      <c r="O294" s="8">
        <f t="shared" si="17"/>
        <v>21990</v>
      </c>
      <c r="P294" s="6" t="s">
        <v>15</v>
      </c>
    </row>
    <row r="295" spans="1:16" x14ac:dyDescent="0.25">
      <c r="A295" s="7" t="str">
        <f t="shared" si="18"/>
        <v>2022 ALL D90</v>
      </c>
      <c r="B295" s="7">
        <f t="shared" si="21"/>
        <v>46114</v>
      </c>
      <c r="C295" s="7">
        <f t="shared" si="20"/>
        <v>46120</v>
      </c>
      <c r="D295" s="6">
        <v>3280</v>
      </c>
      <c r="E295" s="6">
        <v>337</v>
      </c>
      <c r="F295" s="6">
        <v>4</v>
      </c>
      <c r="G295" s="15">
        <v>1</v>
      </c>
      <c r="H295" s="15"/>
      <c r="I295" s="15" t="s">
        <v>1505</v>
      </c>
      <c r="J295" s="15">
        <v>67402880</v>
      </c>
      <c r="K295" s="15" t="s">
        <v>2280</v>
      </c>
      <c r="L295" s="15" t="s">
        <v>2282</v>
      </c>
      <c r="M295" s="15">
        <v>229900</v>
      </c>
      <c r="N295" s="9">
        <f t="shared" si="19"/>
        <v>0.9</v>
      </c>
      <c r="O295" s="8">
        <f t="shared" si="17"/>
        <v>22990</v>
      </c>
      <c r="P295" s="6" t="s">
        <v>15</v>
      </c>
    </row>
    <row r="296" spans="1:16" x14ac:dyDescent="0.25">
      <c r="A296" s="7" t="str">
        <f t="shared" si="18"/>
        <v>2022 ALL D90</v>
      </c>
      <c r="B296" s="7">
        <f t="shared" si="21"/>
        <v>46114</v>
      </c>
      <c r="C296" s="7">
        <f t="shared" si="20"/>
        <v>46120</v>
      </c>
      <c r="D296" s="6">
        <v>3280</v>
      </c>
      <c r="E296" s="6">
        <v>337</v>
      </c>
      <c r="F296" s="6">
        <v>4</v>
      </c>
      <c r="G296" s="15">
        <v>1</v>
      </c>
      <c r="H296" s="15"/>
      <c r="I296" s="15" t="s">
        <v>1505</v>
      </c>
      <c r="J296" s="15">
        <v>67402899</v>
      </c>
      <c r="K296" s="15" t="s">
        <v>2280</v>
      </c>
      <c r="L296" s="15" t="s">
        <v>2281</v>
      </c>
      <c r="M296" s="15">
        <v>229900</v>
      </c>
      <c r="N296" s="9">
        <f t="shared" si="19"/>
        <v>0.9</v>
      </c>
      <c r="O296" s="8">
        <f t="shared" si="17"/>
        <v>22990</v>
      </c>
      <c r="P296" s="6" t="s">
        <v>15</v>
      </c>
    </row>
    <row r="297" spans="1:16" x14ac:dyDescent="0.25">
      <c r="A297" s="7" t="str">
        <f t="shared" si="18"/>
        <v>2022 ALL D90</v>
      </c>
      <c r="B297" s="7">
        <f t="shared" si="21"/>
        <v>46114</v>
      </c>
      <c r="C297" s="7">
        <f t="shared" si="20"/>
        <v>46120</v>
      </c>
      <c r="D297" s="6">
        <v>3280</v>
      </c>
      <c r="E297" s="6">
        <v>337</v>
      </c>
      <c r="F297" s="6">
        <v>4</v>
      </c>
      <c r="G297" s="15">
        <v>1</v>
      </c>
      <c r="H297" s="15"/>
      <c r="I297" s="15" t="s">
        <v>1505</v>
      </c>
      <c r="J297" s="15">
        <v>67402906</v>
      </c>
      <c r="K297" s="15" t="s">
        <v>2280</v>
      </c>
      <c r="L297" s="15" t="s">
        <v>2286</v>
      </c>
      <c r="M297" s="15">
        <v>229900</v>
      </c>
      <c r="N297" s="9">
        <f t="shared" si="19"/>
        <v>0.9</v>
      </c>
      <c r="O297" s="8">
        <f t="shared" si="17"/>
        <v>22990</v>
      </c>
      <c r="P297" s="6" t="s">
        <v>15</v>
      </c>
    </row>
    <row r="298" spans="1:16" x14ac:dyDescent="0.25">
      <c r="A298" s="7" t="str">
        <f t="shared" si="18"/>
        <v>2022 ALL D90</v>
      </c>
      <c r="B298" s="7">
        <f t="shared" si="21"/>
        <v>46114</v>
      </c>
      <c r="C298" s="7">
        <f t="shared" si="20"/>
        <v>46120</v>
      </c>
      <c r="D298" s="6">
        <v>3280</v>
      </c>
      <c r="E298" s="6">
        <v>337</v>
      </c>
      <c r="F298" s="6">
        <v>4</v>
      </c>
      <c r="G298" s="15">
        <v>1</v>
      </c>
      <c r="H298" s="15"/>
      <c r="I298" s="15" t="s">
        <v>1505</v>
      </c>
      <c r="J298" s="15">
        <v>70229571</v>
      </c>
      <c r="K298" s="15" t="s">
        <v>2267</v>
      </c>
      <c r="L298" s="15" t="s">
        <v>2268</v>
      </c>
      <c r="M298" s="15">
        <v>209900</v>
      </c>
      <c r="N298" s="9">
        <f t="shared" si="19"/>
        <v>0.9</v>
      </c>
      <c r="O298" s="8">
        <f t="shared" si="17"/>
        <v>20990</v>
      </c>
      <c r="P298" s="6" t="s">
        <v>15</v>
      </c>
    </row>
    <row r="299" spans="1:16" x14ac:dyDescent="0.25">
      <c r="A299" s="7" t="str">
        <f t="shared" si="18"/>
        <v>2022 ALL D90</v>
      </c>
      <c r="B299" s="7">
        <f t="shared" si="21"/>
        <v>46114</v>
      </c>
      <c r="C299" s="7">
        <f t="shared" si="20"/>
        <v>46120</v>
      </c>
      <c r="D299" s="6">
        <v>3280</v>
      </c>
      <c r="E299" s="6">
        <v>337</v>
      </c>
      <c r="F299" s="6">
        <v>4</v>
      </c>
      <c r="G299" s="15">
        <v>1</v>
      </c>
      <c r="H299" s="15"/>
      <c r="I299" s="15" t="s">
        <v>1505</v>
      </c>
      <c r="J299" s="15">
        <v>70229580</v>
      </c>
      <c r="K299" s="15" t="s">
        <v>2267</v>
      </c>
      <c r="L299" s="15" t="s">
        <v>2269</v>
      </c>
      <c r="M299" s="15">
        <v>209900</v>
      </c>
      <c r="N299" s="9">
        <f t="shared" si="19"/>
        <v>0.9</v>
      </c>
      <c r="O299" s="8">
        <f t="shared" si="17"/>
        <v>20990</v>
      </c>
      <c r="P299" s="6" t="s">
        <v>15</v>
      </c>
    </row>
    <row r="300" spans="1:16" x14ac:dyDescent="0.25">
      <c r="A300" s="7" t="str">
        <f t="shared" si="18"/>
        <v>2022 ALL D90</v>
      </c>
      <c r="B300" s="7">
        <f t="shared" si="21"/>
        <v>46114</v>
      </c>
      <c r="C300" s="7">
        <f t="shared" si="20"/>
        <v>46120</v>
      </c>
      <c r="D300" s="6">
        <v>3280</v>
      </c>
      <c r="E300" s="6">
        <v>337</v>
      </c>
      <c r="F300" s="6">
        <v>4</v>
      </c>
      <c r="G300" s="15">
        <v>1</v>
      </c>
      <c r="H300" s="15"/>
      <c r="I300" s="15" t="s">
        <v>1505</v>
      </c>
      <c r="J300" s="15">
        <v>70229599</v>
      </c>
      <c r="K300" s="15" t="s">
        <v>2267</v>
      </c>
      <c r="L300" s="15" t="s">
        <v>2270</v>
      </c>
      <c r="M300" s="15">
        <v>209900</v>
      </c>
      <c r="N300" s="9">
        <f t="shared" si="19"/>
        <v>0.9</v>
      </c>
      <c r="O300" s="8">
        <f t="shared" si="17"/>
        <v>20990</v>
      </c>
      <c r="P300" s="6" t="s">
        <v>15</v>
      </c>
    </row>
    <row r="301" spans="1:16" x14ac:dyDescent="0.25">
      <c r="A301" s="7" t="str">
        <f t="shared" si="18"/>
        <v>2022 ALL D90</v>
      </c>
      <c r="B301" s="7">
        <f t="shared" si="21"/>
        <v>46114</v>
      </c>
      <c r="C301" s="7">
        <f t="shared" si="20"/>
        <v>46120</v>
      </c>
      <c r="D301" s="6">
        <v>3280</v>
      </c>
      <c r="E301" s="6">
        <v>337</v>
      </c>
      <c r="F301" s="6">
        <v>4</v>
      </c>
      <c r="G301" s="15">
        <v>1</v>
      </c>
      <c r="H301" s="15"/>
      <c r="I301" s="15" t="s">
        <v>1505</v>
      </c>
      <c r="J301" s="15">
        <v>70229606</v>
      </c>
      <c r="K301" s="15" t="s">
        <v>2267</v>
      </c>
      <c r="L301" s="15" t="s">
        <v>2271</v>
      </c>
      <c r="M301" s="15">
        <v>219900</v>
      </c>
      <c r="N301" s="9">
        <f t="shared" si="19"/>
        <v>0.9</v>
      </c>
      <c r="O301" s="8">
        <f t="shared" si="17"/>
        <v>21990</v>
      </c>
      <c r="P301" s="6" t="s">
        <v>15</v>
      </c>
    </row>
    <row r="302" spans="1:16" x14ac:dyDescent="0.25">
      <c r="A302" s="7" t="str">
        <f t="shared" si="18"/>
        <v>2022 ALL D90</v>
      </c>
      <c r="B302" s="7">
        <f t="shared" si="21"/>
        <v>46114</v>
      </c>
      <c r="C302" s="7">
        <f t="shared" si="20"/>
        <v>46120</v>
      </c>
      <c r="D302" s="6">
        <v>3280</v>
      </c>
      <c r="E302" s="6">
        <v>337</v>
      </c>
      <c r="F302" s="6">
        <v>4</v>
      </c>
      <c r="G302" s="15">
        <v>1</v>
      </c>
      <c r="H302" s="15"/>
      <c r="I302" s="15" t="s">
        <v>1505</v>
      </c>
      <c r="J302" s="15">
        <v>70229615</v>
      </c>
      <c r="K302" s="15" t="s">
        <v>2267</v>
      </c>
      <c r="L302" s="15" t="s">
        <v>2272</v>
      </c>
      <c r="M302" s="15">
        <v>219900</v>
      </c>
      <c r="N302" s="9">
        <f t="shared" si="19"/>
        <v>0.9</v>
      </c>
      <c r="O302" s="8">
        <f t="shared" si="17"/>
        <v>21990</v>
      </c>
      <c r="P302" s="6" t="s">
        <v>15</v>
      </c>
    </row>
    <row r="303" spans="1:16" x14ac:dyDescent="0.25">
      <c r="A303" s="7" t="str">
        <f t="shared" si="18"/>
        <v>2022 ALL D90</v>
      </c>
      <c r="B303" s="7">
        <f t="shared" si="21"/>
        <v>46114</v>
      </c>
      <c r="C303" s="7">
        <f t="shared" si="20"/>
        <v>46120</v>
      </c>
      <c r="D303" s="6">
        <v>3280</v>
      </c>
      <c r="E303" s="6">
        <v>337</v>
      </c>
      <c r="F303" s="6">
        <v>4</v>
      </c>
      <c r="G303" s="15">
        <v>1</v>
      </c>
      <c r="H303" s="15"/>
      <c r="I303" s="15" t="s">
        <v>1505</v>
      </c>
      <c r="J303" s="15">
        <v>70658670</v>
      </c>
      <c r="K303" s="15" t="s">
        <v>2260</v>
      </c>
      <c r="L303" s="15" t="s">
        <v>2261</v>
      </c>
      <c r="M303" s="15">
        <v>209900</v>
      </c>
      <c r="N303" s="9">
        <f t="shared" si="19"/>
        <v>0.9</v>
      </c>
      <c r="O303" s="8">
        <f t="shared" si="17"/>
        <v>20990</v>
      </c>
      <c r="P303" s="6" t="s">
        <v>15</v>
      </c>
    </row>
    <row r="304" spans="1:16" x14ac:dyDescent="0.25">
      <c r="A304" s="7" t="str">
        <f t="shared" si="18"/>
        <v>2022 ALL D90</v>
      </c>
      <c r="B304" s="7">
        <f t="shared" si="21"/>
        <v>46114</v>
      </c>
      <c r="C304" s="7">
        <f t="shared" si="20"/>
        <v>46120</v>
      </c>
      <c r="D304" s="6">
        <v>3280</v>
      </c>
      <c r="E304" s="6">
        <v>337</v>
      </c>
      <c r="F304" s="6">
        <v>4</v>
      </c>
      <c r="G304" s="15">
        <v>1</v>
      </c>
      <c r="H304" s="15"/>
      <c r="I304" s="15" t="s">
        <v>1505</v>
      </c>
      <c r="J304" s="15">
        <v>70658689</v>
      </c>
      <c r="K304" s="15" t="s">
        <v>2260</v>
      </c>
      <c r="L304" s="15" t="s">
        <v>2262</v>
      </c>
      <c r="M304" s="15">
        <v>209900</v>
      </c>
      <c r="N304" s="9">
        <f t="shared" si="19"/>
        <v>0.9</v>
      </c>
      <c r="O304" s="8">
        <f t="shared" si="17"/>
        <v>20990</v>
      </c>
      <c r="P304" s="6" t="s">
        <v>15</v>
      </c>
    </row>
    <row r="305" spans="1:16" x14ac:dyDescent="0.25">
      <c r="A305" s="7" t="str">
        <f t="shared" si="18"/>
        <v>2022 ALL D90</v>
      </c>
      <c r="B305" s="7">
        <f t="shared" si="21"/>
        <v>46114</v>
      </c>
      <c r="C305" s="7">
        <f t="shared" si="20"/>
        <v>46120</v>
      </c>
      <c r="D305" s="6">
        <v>3280</v>
      </c>
      <c r="E305" s="6">
        <v>337</v>
      </c>
      <c r="F305" s="6">
        <v>4</v>
      </c>
      <c r="G305" s="15">
        <v>1</v>
      </c>
      <c r="H305" s="15"/>
      <c r="I305" s="15" t="s">
        <v>1505</v>
      </c>
      <c r="J305" s="15">
        <v>70658698</v>
      </c>
      <c r="K305" s="15" t="s">
        <v>2260</v>
      </c>
      <c r="L305" s="15" t="s">
        <v>2263</v>
      </c>
      <c r="M305" s="15">
        <v>209900</v>
      </c>
      <c r="N305" s="9">
        <f t="shared" si="19"/>
        <v>0.9</v>
      </c>
      <c r="O305" s="8">
        <f t="shared" si="17"/>
        <v>20990</v>
      </c>
      <c r="P305" s="6" t="s">
        <v>15</v>
      </c>
    </row>
    <row r="306" spans="1:16" x14ac:dyDescent="0.25">
      <c r="A306" s="7" t="str">
        <f t="shared" si="18"/>
        <v>2022 ALL D90</v>
      </c>
      <c r="B306" s="7">
        <f t="shared" si="21"/>
        <v>46114</v>
      </c>
      <c r="C306" s="7">
        <f t="shared" si="20"/>
        <v>46120</v>
      </c>
      <c r="D306" s="6">
        <v>3280</v>
      </c>
      <c r="E306" s="6">
        <v>337</v>
      </c>
      <c r="F306" s="6">
        <v>4</v>
      </c>
      <c r="G306" s="15">
        <v>1</v>
      </c>
      <c r="H306" s="15"/>
      <c r="I306" s="15" t="s">
        <v>1505</v>
      </c>
      <c r="J306" s="15">
        <v>70658705</v>
      </c>
      <c r="K306" s="15" t="s">
        <v>2260</v>
      </c>
      <c r="L306" s="15" t="s">
        <v>2264</v>
      </c>
      <c r="M306" s="15">
        <v>219900</v>
      </c>
      <c r="N306" s="9">
        <f t="shared" si="19"/>
        <v>0.9</v>
      </c>
      <c r="O306" s="8">
        <f t="shared" si="17"/>
        <v>21990</v>
      </c>
      <c r="P306" s="6" t="s">
        <v>15</v>
      </c>
    </row>
    <row r="307" spans="1:16" x14ac:dyDescent="0.25">
      <c r="A307" s="7" t="str">
        <f t="shared" si="18"/>
        <v>2022 ALL D90</v>
      </c>
      <c r="B307" s="7">
        <f t="shared" si="21"/>
        <v>46114</v>
      </c>
      <c r="C307" s="7">
        <f t="shared" si="20"/>
        <v>46120</v>
      </c>
      <c r="D307" s="6">
        <v>3280</v>
      </c>
      <c r="E307" s="6">
        <v>337</v>
      </c>
      <c r="F307" s="6">
        <v>4</v>
      </c>
      <c r="G307" s="15">
        <v>1</v>
      </c>
      <c r="H307" s="15"/>
      <c r="I307" s="15" t="s">
        <v>1505</v>
      </c>
      <c r="J307" s="15">
        <v>70658714</v>
      </c>
      <c r="K307" s="15" t="s">
        <v>2260</v>
      </c>
      <c r="L307" s="15" t="s">
        <v>2265</v>
      </c>
      <c r="M307" s="15">
        <v>219900</v>
      </c>
      <c r="N307" s="9">
        <f t="shared" si="19"/>
        <v>0.9</v>
      </c>
      <c r="O307" s="8">
        <f t="shared" si="17"/>
        <v>21990</v>
      </c>
      <c r="P307" s="6" t="s">
        <v>15</v>
      </c>
    </row>
    <row r="308" spans="1:16" x14ac:dyDescent="0.25">
      <c r="A308" s="7" t="str">
        <f t="shared" si="18"/>
        <v>2022 ALL D90</v>
      </c>
      <c r="B308" s="7">
        <f t="shared" si="21"/>
        <v>46114</v>
      </c>
      <c r="C308" s="7">
        <f t="shared" si="20"/>
        <v>46120</v>
      </c>
      <c r="D308" s="6">
        <v>3280</v>
      </c>
      <c r="E308" s="6">
        <v>337</v>
      </c>
      <c r="F308" s="6">
        <v>4</v>
      </c>
      <c r="G308" s="15">
        <v>1</v>
      </c>
      <c r="H308" s="15"/>
      <c r="I308" s="15" t="s">
        <v>1505</v>
      </c>
      <c r="J308" s="15">
        <v>70658723</v>
      </c>
      <c r="K308" s="15" t="s">
        <v>2260</v>
      </c>
      <c r="L308" s="15" t="s">
        <v>2266</v>
      </c>
      <c r="M308" s="15">
        <v>219900</v>
      </c>
      <c r="N308" s="9">
        <f t="shared" si="19"/>
        <v>0.9</v>
      </c>
      <c r="O308" s="8">
        <f t="shared" si="17"/>
        <v>21990</v>
      </c>
      <c r="P308" s="6" t="s">
        <v>15</v>
      </c>
    </row>
    <row r="309" spans="1:16" x14ac:dyDescent="0.25">
      <c r="A309" s="7" t="str">
        <f t="shared" si="18"/>
        <v>2022 ALL D90</v>
      </c>
      <c r="B309" s="7">
        <f t="shared" si="21"/>
        <v>46114</v>
      </c>
      <c r="C309" s="7">
        <f t="shared" si="20"/>
        <v>46120</v>
      </c>
      <c r="D309" s="6">
        <v>3280</v>
      </c>
      <c r="E309" s="6">
        <v>337</v>
      </c>
      <c r="F309" s="6">
        <v>4</v>
      </c>
      <c r="G309" s="15">
        <v>1</v>
      </c>
      <c r="H309" s="15"/>
      <c r="I309" s="15" t="s">
        <v>1505</v>
      </c>
      <c r="J309" s="15">
        <v>70659786</v>
      </c>
      <c r="K309" s="15" t="s">
        <v>2273</v>
      </c>
      <c r="L309" s="15" t="s">
        <v>2274</v>
      </c>
      <c r="M309" s="15">
        <v>209900</v>
      </c>
      <c r="N309" s="9">
        <f t="shared" si="19"/>
        <v>0.9</v>
      </c>
      <c r="O309" s="8">
        <f t="shared" si="17"/>
        <v>20990</v>
      </c>
      <c r="P309" s="6" t="s">
        <v>15</v>
      </c>
    </row>
    <row r="310" spans="1:16" x14ac:dyDescent="0.25">
      <c r="A310" s="7" t="str">
        <f t="shared" si="18"/>
        <v>2022 ALL D90</v>
      </c>
      <c r="B310" s="7">
        <f t="shared" si="21"/>
        <v>46114</v>
      </c>
      <c r="C310" s="7">
        <f t="shared" si="20"/>
        <v>46120</v>
      </c>
      <c r="D310" s="6">
        <v>3280</v>
      </c>
      <c r="E310" s="6">
        <v>337</v>
      </c>
      <c r="F310" s="6">
        <v>4</v>
      </c>
      <c r="G310" s="15">
        <v>1</v>
      </c>
      <c r="H310" s="15"/>
      <c r="I310" s="15" t="s">
        <v>1505</v>
      </c>
      <c r="J310" s="15">
        <v>70659795</v>
      </c>
      <c r="K310" s="15" t="s">
        <v>2273</v>
      </c>
      <c r="L310" s="15" t="s">
        <v>2275</v>
      </c>
      <c r="M310" s="15">
        <v>209900</v>
      </c>
      <c r="N310" s="9">
        <f t="shared" si="19"/>
        <v>0.9</v>
      </c>
      <c r="O310" s="8">
        <f t="shared" si="17"/>
        <v>20990</v>
      </c>
      <c r="P310" s="6" t="s">
        <v>15</v>
      </c>
    </row>
    <row r="311" spans="1:16" x14ac:dyDescent="0.25">
      <c r="A311" s="7" t="str">
        <f t="shared" si="18"/>
        <v>2022 ALL D90</v>
      </c>
      <c r="B311" s="7">
        <f t="shared" si="21"/>
        <v>46114</v>
      </c>
      <c r="C311" s="7">
        <f t="shared" si="20"/>
        <v>46120</v>
      </c>
      <c r="D311" s="6">
        <v>3280</v>
      </c>
      <c r="E311" s="6">
        <v>337</v>
      </c>
      <c r="F311" s="6">
        <v>4</v>
      </c>
      <c r="G311" s="15">
        <v>1</v>
      </c>
      <c r="H311" s="15"/>
      <c r="I311" s="15" t="s">
        <v>1505</v>
      </c>
      <c r="J311" s="15">
        <v>70659802</v>
      </c>
      <c r="K311" s="15" t="s">
        <v>2273</v>
      </c>
      <c r="L311" s="15" t="s">
        <v>2276</v>
      </c>
      <c r="M311" s="15">
        <v>209900</v>
      </c>
      <c r="N311" s="9">
        <f t="shared" si="19"/>
        <v>0.9</v>
      </c>
      <c r="O311" s="8">
        <f t="shared" si="17"/>
        <v>20990</v>
      </c>
      <c r="P311" s="6" t="s">
        <v>15</v>
      </c>
    </row>
    <row r="312" spans="1:16" x14ac:dyDescent="0.25">
      <c r="A312" s="7" t="str">
        <f t="shared" si="18"/>
        <v>2022 ALL D90</v>
      </c>
      <c r="B312" s="7">
        <f t="shared" si="21"/>
        <v>46114</v>
      </c>
      <c r="C312" s="7">
        <f t="shared" si="20"/>
        <v>46120</v>
      </c>
      <c r="D312" s="6">
        <v>3280</v>
      </c>
      <c r="E312" s="6">
        <v>337</v>
      </c>
      <c r="F312" s="6">
        <v>4</v>
      </c>
      <c r="G312" s="15">
        <v>1</v>
      </c>
      <c r="H312" s="15"/>
      <c r="I312" s="15" t="s">
        <v>1505</v>
      </c>
      <c r="J312" s="15">
        <v>70659811</v>
      </c>
      <c r="K312" s="15" t="s">
        <v>2273</v>
      </c>
      <c r="L312" s="15" t="s">
        <v>2277</v>
      </c>
      <c r="M312" s="15">
        <v>219900</v>
      </c>
      <c r="N312" s="9">
        <f t="shared" si="19"/>
        <v>0.9</v>
      </c>
      <c r="O312" s="8">
        <f t="shared" si="17"/>
        <v>21990</v>
      </c>
      <c r="P312" s="6" t="s">
        <v>15</v>
      </c>
    </row>
    <row r="313" spans="1:16" x14ac:dyDescent="0.25">
      <c r="A313" s="7" t="str">
        <f t="shared" si="18"/>
        <v>2022 ALL D90</v>
      </c>
      <c r="B313" s="7">
        <f t="shared" si="21"/>
        <v>46114</v>
      </c>
      <c r="C313" s="7">
        <f t="shared" si="20"/>
        <v>46120</v>
      </c>
      <c r="D313" s="6">
        <v>3280</v>
      </c>
      <c r="E313" s="6">
        <v>337</v>
      </c>
      <c r="F313" s="6">
        <v>4</v>
      </c>
      <c r="G313" s="15">
        <v>1</v>
      </c>
      <c r="H313" s="15"/>
      <c r="I313" s="15" t="s">
        <v>1505</v>
      </c>
      <c r="J313" s="15">
        <v>70659820</v>
      </c>
      <c r="K313" s="15" t="s">
        <v>2273</v>
      </c>
      <c r="L313" s="15" t="s">
        <v>2278</v>
      </c>
      <c r="M313" s="15">
        <v>219900</v>
      </c>
      <c r="N313" s="9">
        <f t="shared" si="19"/>
        <v>0.9</v>
      </c>
      <c r="O313" s="8">
        <f t="shared" si="17"/>
        <v>21990</v>
      </c>
      <c r="P313" s="6" t="s">
        <v>15</v>
      </c>
    </row>
    <row r="314" spans="1:16" x14ac:dyDescent="0.25">
      <c r="A314" s="7" t="str">
        <f t="shared" si="18"/>
        <v>2022 ALL D90</v>
      </c>
      <c r="B314" s="7">
        <f t="shared" si="21"/>
        <v>46114</v>
      </c>
      <c r="C314" s="7">
        <f t="shared" si="20"/>
        <v>46120</v>
      </c>
      <c r="D314" s="6">
        <v>3280</v>
      </c>
      <c r="E314" s="6">
        <v>337</v>
      </c>
      <c r="F314" s="6">
        <v>4</v>
      </c>
      <c r="G314" s="15">
        <v>1</v>
      </c>
      <c r="H314" s="15"/>
      <c r="I314" s="15" t="s">
        <v>1505</v>
      </c>
      <c r="J314" s="15">
        <v>70659839</v>
      </c>
      <c r="K314" s="15" t="s">
        <v>2273</v>
      </c>
      <c r="L314" s="15" t="s">
        <v>2279</v>
      </c>
      <c r="M314" s="15">
        <v>219900</v>
      </c>
      <c r="N314" s="9">
        <f t="shared" si="19"/>
        <v>0.9</v>
      </c>
      <c r="O314" s="8">
        <f t="shared" si="17"/>
        <v>21990</v>
      </c>
      <c r="P314" s="6" t="s">
        <v>15</v>
      </c>
    </row>
    <row r="315" spans="1:16" x14ac:dyDescent="0.25">
      <c r="A315" s="7" t="str">
        <f t="shared" si="18"/>
        <v>2022 ALL D90</v>
      </c>
      <c r="B315" s="7">
        <f t="shared" si="21"/>
        <v>46114</v>
      </c>
      <c r="C315" s="7">
        <f t="shared" si="20"/>
        <v>46120</v>
      </c>
      <c r="D315" s="6">
        <v>3280</v>
      </c>
      <c r="E315" s="6">
        <v>337</v>
      </c>
      <c r="F315" s="6">
        <v>4</v>
      </c>
      <c r="G315" s="15">
        <v>1</v>
      </c>
      <c r="H315" s="15"/>
      <c r="I315" s="15" t="s">
        <v>1505</v>
      </c>
      <c r="J315" s="15">
        <v>67994492</v>
      </c>
      <c r="K315" s="15" t="s">
        <v>2145</v>
      </c>
      <c r="L315" s="15" t="s">
        <v>2146</v>
      </c>
      <c r="M315" s="15">
        <v>239900</v>
      </c>
      <c r="N315" s="9">
        <f t="shared" si="19"/>
        <v>0.9</v>
      </c>
      <c r="O315" s="8">
        <f t="shared" si="17"/>
        <v>23990</v>
      </c>
      <c r="P315" s="6" t="s">
        <v>15</v>
      </c>
    </row>
    <row r="316" spans="1:16" x14ac:dyDescent="0.25">
      <c r="A316" s="7" t="str">
        <f t="shared" si="18"/>
        <v>2022 ALL D90</v>
      </c>
      <c r="B316" s="7">
        <f t="shared" si="21"/>
        <v>46114</v>
      </c>
      <c r="C316" s="7">
        <f t="shared" si="20"/>
        <v>46120</v>
      </c>
      <c r="D316" s="6">
        <v>3280</v>
      </c>
      <c r="E316" s="6">
        <v>337</v>
      </c>
      <c r="F316" s="6">
        <v>4</v>
      </c>
      <c r="G316" s="15">
        <v>1</v>
      </c>
      <c r="H316" s="15"/>
      <c r="I316" s="15" t="s">
        <v>1505</v>
      </c>
      <c r="J316" s="15">
        <v>67994509</v>
      </c>
      <c r="K316" s="15" t="s">
        <v>2145</v>
      </c>
      <c r="L316" s="15" t="s">
        <v>2147</v>
      </c>
      <c r="M316" s="15">
        <v>239900</v>
      </c>
      <c r="N316" s="9">
        <f t="shared" si="19"/>
        <v>0.9</v>
      </c>
      <c r="O316" s="8">
        <f t="shared" si="17"/>
        <v>23990</v>
      </c>
      <c r="P316" s="6" t="s">
        <v>15</v>
      </c>
    </row>
    <row r="317" spans="1:16" x14ac:dyDescent="0.25">
      <c r="A317" s="7" t="str">
        <f t="shared" si="18"/>
        <v>2022 ALL D90</v>
      </c>
      <c r="B317" s="7">
        <f t="shared" si="21"/>
        <v>46114</v>
      </c>
      <c r="C317" s="7">
        <f t="shared" si="20"/>
        <v>46120</v>
      </c>
      <c r="D317" s="6">
        <v>3280</v>
      </c>
      <c r="E317" s="6">
        <v>337</v>
      </c>
      <c r="F317" s="6">
        <v>4</v>
      </c>
      <c r="G317" s="15">
        <v>1</v>
      </c>
      <c r="H317" s="15"/>
      <c r="I317" s="15" t="s">
        <v>1505</v>
      </c>
      <c r="J317" s="15">
        <v>67994518</v>
      </c>
      <c r="K317" s="15" t="s">
        <v>2145</v>
      </c>
      <c r="L317" s="15" t="s">
        <v>2148</v>
      </c>
      <c r="M317" s="15">
        <v>239900</v>
      </c>
      <c r="N317" s="9">
        <f t="shared" si="19"/>
        <v>0.9</v>
      </c>
      <c r="O317" s="8">
        <f t="shared" si="17"/>
        <v>23990</v>
      </c>
      <c r="P317" s="6" t="s">
        <v>15</v>
      </c>
    </row>
    <row r="318" spans="1:16" x14ac:dyDescent="0.25">
      <c r="A318" s="7" t="str">
        <f t="shared" si="18"/>
        <v>2022 ALL D90</v>
      </c>
      <c r="B318" s="7">
        <f t="shared" si="21"/>
        <v>46114</v>
      </c>
      <c r="C318" s="7">
        <f t="shared" si="20"/>
        <v>46120</v>
      </c>
      <c r="D318" s="6">
        <v>3280</v>
      </c>
      <c r="E318" s="6">
        <v>337</v>
      </c>
      <c r="F318" s="6">
        <v>4</v>
      </c>
      <c r="G318" s="15">
        <v>1</v>
      </c>
      <c r="H318" s="15"/>
      <c r="I318" s="15" t="s">
        <v>1505</v>
      </c>
      <c r="J318" s="15">
        <v>67994527</v>
      </c>
      <c r="K318" s="15" t="s">
        <v>2145</v>
      </c>
      <c r="L318" s="15" t="s">
        <v>2149</v>
      </c>
      <c r="M318" s="15">
        <v>249900</v>
      </c>
      <c r="N318" s="9">
        <f t="shared" si="19"/>
        <v>0.9</v>
      </c>
      <c r="O318" s="8">
        <f t="shared" si="17"/>
        <v>24990</v>
      </c>
      <c r="P318" s="6" t="s">
        <v>15</v>
      </c>
    </row>
    <row r="319" spans="1:16" x14ac:dyDescent="0.25">
      <c r="A319" s="7" t="str">
        <f t="shared" si="18"/>
        <v>2022 ALL D90</v>
      </c>
      <c r="B319" s="7">
        <f t="shared" si="21"/>
        <v>46114</v>
      </c>
      <c r="C319" s="7">
        <f t="shared" si="20"/>
        <v>46120</v>
      </c>
      <c r="D319" s="6">
        <v>3280</v>
      </c>
      <c r="E319" s="6">
        <v>337</v>
      </c>
      <c r="F319" s="6">
        <v>4</v>
      </c>
      <c r="G319" s="15">
        <v>1</v>
      </c>
      <c r="H319" s="15"/>
      <c r="I319" s="15" t="s">
        <v>1505</v>
      </c>
      <c r="J319" s="15">
        <v>67994536</v>
      </c>
      <c r="K319" s="15" t="s">
        <v>2145</v>
      </c>
      <c r="L319" s="15" t="s">
        <v>2150</v>
      </c>
      <c r="M319" s="15">
        <v>249900</v>
      </c>
      <c r="N319" s="9">
        <f t="shared" si="19"/>
        <v>0.9</v>
      </c>
      <c r="O319" s="8">
        <f t="shared" si="17"/>
        <v>24990</v>
      </c>
      <c r="P319" s="6" t="s">
        <v>15</v>
      </c>
    </row>
    <row r="320" spans="1:16" x14ac:dyDescent="0.25">
      <c r="A320" s="7" t="str">
        <f t="shared" si="18"/>
        <v>2022 ALL D90</v>
      </c>
      <c r="B320" s="7">
        <f t="shared" si="21"/>
        <v>46114</v>
      </c>
      <c r="C320" s="7">
        <f t="shared" si="20"/>
        <v>46120</v>
      </c>
      <c r="D320" s="6">
        <v>3280</v>
      </c>
      <c r="E320" s="6">
        <v>337</v>
      </c>
      <c r="F320" s="6">
        <v>4</v>
      </c>
      <c r="G320" s="15">
        <v>1</v>
      </c>
      <c r="H320" s="15"/>
      <c r="I320" s="15" t="s">
        <v>1505</v>
      </c>
      <c r="J320" s="15">
        <v>67994545</v>
      </c>
      <c r="K320" s="15" t="s">
        <v>2145</v>
      </c>
      <c r="L320" s="15" t="s">
        <v>2151</v>
      </c>
      <c r="M320" s="15">
        <v>249900</v>
      </c>
      <c r="N320" s="9">
        <f t="shared" si="19"/>
        <v>0.9</v>
      </c>
      <c r="O320" s="8">
        <f t="shared" si="17"/>
        <v>24990</v>
      </c>
      <c r="P320" s="6" t="s">
        <v>15</v>
      </c>
    </row>
    <row r="321" spans="1:16" x14ac:dyDescent="0.25">
      <c r="A321" s="7" t="str">
        <f t="shared" si="18"/>
        <v>2022 ALL D90</v>
      </c>
      <c r="B321" s="7">
        <f t="shared" si="21"/>
        <v>46114</v>
      </c>
      <c r="C321" s="7">
        <f t="shared" si="20"/>
        <v>46120</v>
      </c>
      <c r="D321" s="6">
        <v>3280</v>
      </c>
      <c r="E321" s="6">
        <v>337</v>
      </c>
      <c r="F321" s="6">
        <v>4</v>
      </c>
      <c r="G321" s="15">
        <v>1</v>
      </c>
      <c r="H321" s="15"/>
      <c r="I321" s="15" t="s">
        <v>1505</v>
      </c>
      <c r="J321" s="15">
        <v>70659660</v>
      </c>
      <c r="K321" s="15" t="s">
        <v>2152</v>
      </c>
      <c r="L321" s="15" t="s">
        <v>2153</v>
      </c>
      <c r="M321" s="15">
        <v>229900</v>
      </c>
      <c r="N321" s="9">
        <f t="shared" si="19"/>
        <v>0.9</v>
      </c>
      <c r="O321" s="8">
        <f t="shared" si="17"/>
        <v>22990</v>
      </c>
      <c r="P321" s="6" t="s">
        <v>15</v>
      </c>
    </row>
    <row r="322" spans="1:16" x14ac:dyDescent="0.25">
      <c r="A322" s="7" t="str">
        <f t="shared" si="18"/>
        <v>2022 ALL D90</v>
      </c>
      <c r="B322" s="7">
        <f t="shared" si="21"/>
        <v>46114</v>
      </c>
      <c r="C322" s="7">
        <f t="shared" si="20"/>
        <v>46120</v>
      </c>
      <c r="D322" s="6">
        <v>3280</v>
      </c>
      <c r="E322" s="6">
        <v>337</v>
      </c>
      <c r="F322" s="6">
        <v>4</v>
      </c>
      <c r="G322" s="15">
        <v>1</v>
      </c>
      <c r="H322" s="15"/>
      <c r="I322" s="15" t="s">
        <v>1505</v>
      </c>
      <c r="J322" s="15">
        <v>70659679</v>
      </c>
      <c r="K322" s="15" t="s">
        <v>2152</v>
      </c>
      <c r="L322" s="15" t="s">
        <v>2154</v>
      </c>
      <c r="M322" s="15">
        <v>229900</v>
      </c>
      <c r="N322" s="9">
        <f t="shared" si="19"/>
        <v>0.9</v>
      </c>
      <c r="O322" s="8">
        <f t="shared" si="17"/>
        <v>22990</v>
      </c>
      <c r="P322" s="6" t="s">
        <v>15</v>
      </c>
    </row>
    <row r="323" spans="1:16" x14ac:dyDescent="0.25">
      <c r="A323" s="7" t="str">
        <f t="shared" si="18"/>
        <v>2022 ALL D90</v>
      </c>
      <c r="B323" s="7">
        <f t="shared" si="21"/>
        <v>46114</v>
      </c>
      <c r="C323" s="7">
        <f t="shared" si="20"/>
        <v>46120</v>
      </c>
      <c r="D323" s="6">
        <v>3280</v>
      </c>
      <c r="E323" s="6">
        <v>337</v>
      </c>
      <c r="F323" s="6">
        <v>4</v>
      </c>
      <c r="G323" s="15">
        <v>1</v>
      </c>
      <c r="H323" s="15"/>
      <c r="I323" s="15" t="s">
        <v>1505</v>
      </c>
      <c r="J323" s="15">
        <v>70659688</v>
      </c>
      <c r="K323" s="15" t="s">
        <v>2152</v>
      </c>
      <c r="L323" s="15" t="s">
        <v>2155</v>
      </c>
      <c r="M323" s="15">
        <v>229900</v>
      </c>
      <c r="N323" s="9">
        <f t="shared" si="19"/>
        <v>0.9</v>
      </c>
      <c r="O323" s="8">
        <f t="shared" ref="O323:O386" si="22">M323-((90*M323)/100)</f>
        <v>22990</v>
      </c>
      <c r="P323" s="6" t="s">
        <v>15</v>
      </c>
    </row>
    <row r="324" spans="1:16" x14ac:dyDescent="0.25">
      <c r="A324" s="7" t="str">
        <f t="shared" ref="A324:B387" si="23">A323</f>
        <v>2022 ALL D90</v>
      </c>
      <c r="B324" s="7">
        <f t="shared" si="21"/>
        <v>46114</v>
      </c>
      <c r="C324" s="7">
        <f t="shared" si="20"/>
        <v>46120</v>
      </c>
      <c r="D324" s="6">
        <v>3280</v>
      </c>
      <c r="E324" s="6">
        <v>337</v>
      </c>
      <c r="F324" s="6">
        <v>4</v>
      </c>
      <c r="G324" s="15">
        <v>1</v>
      </c>
      <c r="H324" s="15"/>
      <c r="I324" s="15" t="s">
        <v>1505</v>
      </c>
      <c r="J324" s="15">
        <v>70659697</v>
      </c>
      <c r="K324" s="15" t="s">
        <v>2152</v>
      </c>
      <c r="L324" s="15" t="s">
        <v>2156</v>
      </c>
      <c r="M324" s="15">
        <v>239900</v>
      </c>
      <c r="N324" s="9">
        <f t="shared" ref="N324:N387" si="24">N323</f>
        <v>0.9</v>
      </c>
      <c r="O324" s="8">
        <f t="shared" si="22"/>
        <v>23990</v>
      </c>
      <c r="P324" s="6" t="s">
        <v>15</v>
      </c>
    </row>
    <row r="325" spans="1:16" x14ac:dyDescent="0.25">
      <c r="A325" s="7" t="str">
        <f t="shared" si="23"/>
        <v>2022 ALL D90</v>
      </c>
      <c r="B325" s="7">
        <f t="shared" si="21"/>
        <v>46114</v>
      </c>
      <c r="C325" s="7">
        <f t="shared" si="20"/>
        <v>46120</v>
      </c>
      <c r="D325" s="6">
        <v>3280</v>
      </c>
      <c r="E325" s="6">
        <v>337</v>
      </c>
      <c r="F325" s="6">
        <v>4</v>
      </c>
      <c r="G325" s="15">
        <v>1</v>
      </c>
      <c r="H325" s="15"/>
      <c r="I325" s="15" t="s">
        <v>1505</v>
      </c>
      <c r="J325" s="15">
        <v>70659704</v>
      </c>
      <c r="K325" s="15" t="s">
        <v>2152</v>
      </c>
      <c r="L325" s="15" t="s">
        <v>2157</v>
      </c>
      <c r="M325" s="15">
        <v>239900</v>
      </c>
      <c r="N325" s="9">
        <f t="shared" si="24"/>
        <v>0.9</v>
      </c>
      <c r="O325" s="8">
        <f t="shared" si="22"/>
        <v>23990</v>
      </c>
      <c r="P325" s="6" t="s">
        <v>15</v>
      </c>
    </row>
    <row r="326" spans="1:16" x14ac:dyDescent="0.25">
      <c r="A326" s="7" t="str">
        <f t="shared" si="23"/>
        <v>2022 ALL D90</v>
      </c>
      <c r="B326" s="7">
        <f t="shared" si="21"/>
        <v>46114</v>
      </c>
      <c r="C326" s="7">
        <f t="shared" si="20"/>
        <v>46120</v>
      </c>
      <c r="D326" s="6">
        <v>3280</v>
      </c>
      <c r="E326" s="6">
        <v>337</v>
      </c>
      <c r="F326" s="6">
        <v>4</v>
      </c>
      <c r="G326" s="15">
        <v>1</v>
      </c>
      <c r="H326" s="15"/>
      <c r="I326" s="15" t="s">
        <v>1505</v>
      </c>
      <c r="J326" s="15">
        <v>70659713</v>
      </c>
      <c r="K326" s="15" t="s">
        <v>2152</v>
      </c>
      <c r="L326" s="15" t="s">
        <v>2158</v>
      </c>
      <c r="M326" s="15">
        <v>239900</v>
      </c>
      <c r="N326" s="9">
        <f t="shared" si="24"/>
        <v>0.9</v>
      </c>
      <c r="O326" s="8">
        <f t="shared" si="22"/>
        <v>23990</v>
      </c>
      <c r="P326" s="6" t="s">
        <v>15</v>
      </c>
    </row>
    <row r="327" spans="1:16" x14ac:dyDescent="0.25">
      <c r="A327" s="7" t="str">
        <f t="shared" si="23"/>
        <v>2022 ALL D90</v>
      </c>
      <c r="B327" s="7">
        <f t="shared" si="21"/>
        <v>46114</v>
      </c>
      <c r="C327" s="7">
        <f t="shared" si="20"/>
        <v>46120</v>
      </c>
      <c r="D327" s="6">
        <v>3280</v>
      </c>
      <c r="E327" s="6">
        <v>337</v>
      </c>
      <c r="F327" s="6">
        <v>4</v>
      </c>
      <c r="G327" s="15">
        <v>1</v>
      </c>
      <c r="H327" s="15"/>
      <c r="I327" s="15" t="s">
        <v>1505</v>
      </c>
      <c r="J327" s="15">
        <v>73309578</v>
      </c>
      <c r="K327" s="15" t="s">
        <v>2301</v>
      </c>
      <c r="L327" s="15" t="s">
        <v>2302</v>
      </c>
      <c r="M327" s="15">
        <v>209900</v>
      </c>
      <c r="N327" s="9">
        <f t="shared" si="24"/>
        <v>0.9</v>
      </c>
      <c r="O327" s="8">
        <f t="shared" si="22"/>
        <v>20990</v>
      </c>
      <c r="P327" s="6" t="s">
        <v>15</v>
      </c>
    </row>
    <row r="328" spans="1:16" x14ac:dyDescent="0.25">
      <c r="A328" s="7" t="str">
        <f t="shared" si="23"/>
        <v>2022 ALL D90</v>
      </c>
      <c r="B328" s="7">
        <f t="shared" si="21"/>
        <v>46114</v>
      </c>
      <c r="C328" s="7">
        <f t="shared" si="20"/>
        <v>46120</v>
      </c>
      <c r="D328" s="6">
        <v>3280</v>
      </c>
      <c r="E328" s="6">
        <v>337</v>
      </c>
      <c r="F328" s="6">
        <v>4</v>
      </c>
      <c r="G328" s="15">
        <v>1</v>
      </c>
      <c r="H328" s="15"/>
      <c r="I328" s="15" t="s">
        <v>1505</v>
      </c>
      <c r="J328" s="15">
        <v>73309587</v>
      </c>
      <c r="K328" s="15" t="s">
        <v>2301</v>
      </c>
      <c r="L328" s="15" t="s">
        <v>2303</v>
      </c>
      <c r="M328" s="15">
        <v>209900</v>
      </c>
      <c r="N328" s="9">
        <f t="shared" si="24"/>
        <v>0.9</v>
      </c>
      <c r="O328" s="8">
        <f t="shared" si="22"/>
        <v>20990</v>
      </c>
      <c r="P328" s="6" t="s">
        <v>15</v>
      </c>
    </row>
    <row r="329" spans="1:16" x14ac:dyDescent="0.25">
      <c r="A329" s="7" t="str">
        <f t="shared" si="23"/>
        <v>2022 ALL D90</v>
      </c>
      <c r="B329" s="7">
        <f t="shared" si="21"/>
        <v>46114</v>
      </c>
      <c r="C329" s="7">
        <f t="shared" si="20"/>
        <v>46120</v>
      </c>
      <c r="D329" s="6">
        <v>3280</v>
      </c>
      <c r="E329" s="6">
        <v>337</v>
      </c>
      <c r="F329" s="6">
        <v>4</v>
      </c>
      <c r="G329" s="15">
        <v>1</v>
      </c>
      <c r="H329" s="15"/>
      <c r="I329" s="15" t="s">
        <v>1505</v>
      </c>
      <c r="J329" s="15">
        <v>73309596</v>
      </c>
      <c r="K329" s="15" t="s">
        <v>2301</v>
      </c>
      <c r="L329" s="15" t="s">
        <v>2304</v>
      </c>
      <c r="M329" s="15">
        <v>209900</v>
      </c>
      <c r="N329" s="9">
        <f t="shared" si="24"/>
        <v>0.9</v>
      </c>
      <c r="O329" s="8">
        <f t="shared" si="22"/>
        <v>20990</v>
      </c>
      <c r="P329" s="6" t="s">
        <v>15</v>
      </c>
    </row>
    <row r="330" spans="1:16" x14ac:dyDescent="0.25">
      <c r="A330" s="7" t="str">
        <f t="shared" si="23"/>
        <v>2022 ALL D90</v>
      </c>
      <c r="B330" s="7">
        <f t="shared" si="21"/>
        <v>46114</v>
      </c>
      <c r="C330" s="7">
        <f t="shared" si="20"/>
        <v>46120</v>
      </c>
      <c r="D330" s="6">
        <v>3280</v>
      </c>
      <c r="E330" s="6">
        <v>337</v>
      </c>
      <c r="F330" s="6">
        <v>4</v>
      </c>
      <c r="G330" s="15">
        <v>1</v>
      </c>
      <c r="H330" s="15"/>
      <c r="I330" s="15" t="s">
        <v>1505</v>
      </c>
      <c r="J330" s="15">
        <v>73309603</v>
      </c>
      <c r="K330" s="15" t="s">
        <v>2301</v>
      </c>
      <c r="L330" s="15" t="s">
        <v>2305</v>
      </c>
      <c r="M330" s="15">
        <v>219900</v>
      </c>
      <c r="N330" s="9">
        <f t="shared" si="24"/>
        <v>0.9</v>
      </c>
      <c r="O330" s="8">
        <f t="shared" si="22"/>
        <v>21990</v>
      </c>
      <c r="P330" s="6" t="s">
        <v>15</v>
      </c>
    </row>
    <row r="331" spans="1:16" x14ac:dyDescent="0.25">
      <c r="A331" s="7" t="str">
        <f t="shared" si="23"/>
        <v>2022 ALL D90</v>
      </c>
      <c r="B331" s="7">
        <f t="shared" si="21"/>
        <v>46114</v>
      </c>
      <c r="C331" s="7">
        <f t="shared" si="20"/>
        <v>46120</v>
      </c>
      <c r="D331" s="6">
        <v>3280</v>
      </c>
      <c r="E331" s="6">
        <v>337</v>
      </c>
      <c r="F331" s="6">
        <v>4</v>
      </c>
      <c r="G331" s="15">
        <v>1</v>
      </c>
      <c r="H331" s="15"/>
      <c r="I331" s="15" t="s">
        <v>1505</v>
      </c>
      <c r="J331" s="15">
        <v>73309612</v>
      </c>
      <c r="K331" s="15" t="s">
        <v>2301</v>
      </c>
      <c r="L331" s="15" t="s">
        <v>2306</v>
      </c>
      <c r="M331" s="15">
        <v>219900</v>
      </c>
      <c r="N331" s="9">
        <f t="shared" si="24"/>
        <v>0.9</v>
      </c>
      <c r="O331" s="8">
        <f t="shared" si="22"/>
        <v>21990</v>
      </c>
      <c r="P331" s="6" t="s">
        <v>15</v>
      </c>
    </row>
    <row r="332" spans="1:16" x14ac:dyDescent="0.25">
      <c r="A332" s="7" t="str">
        <f t="shared" si="23"/>
        <v>2022 ALL D90</v>
      </c>
      <c r="B332" s="7">
        <f t="shared" si="21"/>
        <v>46114</v>
      </c>
      <c r="C332" s="7">
        <f t="shared" si="20"/>
        <v>46120</v>
      </c>
      <c r="D332" s="6">
        <v>3280</v>
      </c>
      <c r="E332" s="6">
        <v>337</v>
      </c>
      <c r="F332" s="6">
        <v>4</v>
      </c>
      <c r="G332" s="15">
        <v>1</v>
      </c>
      <c r="H332" s="15"/>
      <c r="I332" s="15" t="s">
        <v>1505</v>
      </c>
      <c r="J332" s="15">
        <v>73309621</v>
      </c>
      <c r="K332" s="15" t="s">
        <v>2301</v>
      </c>
      <c r="L332" s="15" t="s">
        <v>2307</v>
      </c>
      <c r="M332" s="15">
        <v>219900</v>
      </c>
      <c r="N332" s="9">
        <f t="shared" si="24"/>
        <v>0.9</v>
      </c>
      <c r="O332" s="8">
        <f t="shared" si="22"/>
        <v>21990</v>
      </c>
      <c r="P332" s="6" t="s">
        <v>15</v>
      </c>
    </row>
    <row r="333" spans="1:16" x14ac:dyDescent="0.25">
      <c r="A333" s="7" t="str">
        <f t="shared" si="23"/>
        <v>2022 ALL D90</v>
      </c>
      <c r="B333" s="7">
        <f t="shared" si="21"/>
        <v>46114</v>
      </c>
      <c r="C333" s="7">
        <f t="shared" si="20"/>
        <v>46120</v>
      </c>
      <c r="D333" s="6">
        <v>3280</v>
      </c>
      <c r="E333" s="6">
        <v>337</v>
      </c>
      <c r="F333" s="6">
        <v>4</v>
      </c>
      <c r="G333" s="15">
        <v>1</v>
      </c>
      <c r="H333" s="15"/>
      <c r="I333" s="15" t="s">
        <v>1505</v>
      </c>
      <c r="J333" s="15">
        <v>71648321</v>
      </c>
      <c r="K333" s="15" t="s">
        <v>2322</v>
      </c>
      <c r="L333" s="15" t="s">
        <v>2323</v>
      </c>
      <c r="M333" s="15">
        <v>209900</v>
      </c>
      <c r="N333" s="9">
        <f t="shared" si="24"/>
        <v>0.9</v>
      </c>
      <c r="O333" s="8">
        <f t="shared" si="22"/>
        <v>20990</v>
      </c>
      <c r="P333" s="6" t="s">
        <v>15</v>
      </c>
    </row>
    <row r="334" spans="1:16" x14ac:dyDescent="0.25">
      <c r="A334" s="7" t="str">
        <f t="shared" si="23"/>
        <v>2022 ALL D90</v>
      </c>
      <c r="B334" s="7">
        <f t="shared" si="21"/>
        <v>46114</v>
      </c>
      <c r="C334" s="7">
        <f t="shared" si="20"/>
        <v>46120</v>
      </c>
      <c r="D334" s="6">
        <v>3280</v>
      </c>
      <c r="E334" s="6">
        <v>337</v>
      </c>
      <c r="F334" s="6">
        <v>4</v>
      </c>
      <c r="G334" s="15">
        <v>1</v>
      </c>
      <c r="H334" s="15"/>
      <c r="I334" s="15" t="s">
        <v>1505</v>
      </c>
      <c r="J334" s="15">
        <v>71648330</v>
      </c>
      <c r="K334" s="15" t="s">
        <v>2322</v>
      </c>
      <c r="L334" s="15" t="s">
        <v>2324</v>
      </c>
      <c r="M334" s="15">
        <v>209900</v>
      </c>
      <c r="N334" s="9">
        <f t="shared" si="24"/>
        <v>0.9</v>
      </c>
      <c r="O334" s="8">
        <f t="shared" si="22"/>
        <v>20990</v>
      </c>
      <c r="P334" s="6" t="s">
        <v>15</v>
      </c>
    </row>
    <row r="335" spans="1:16" x14ac:dyDescent="0.25">
      <c r="A335" s="7" t="str">
        <f t="shared" si="23"/>
        <v>2022 ALL D90</v>
      </c>
      <c r="B335" s="7">
        <f t="shared" si="21"/>
        <v>46114</v>
      </c>
      <c r="C335" s="7">
        <f t="shared" si="20"/>
        <v>46120</v>
      </c>
      <c r="D335" s="6">
        <v>3280</v>
      </c>
      <c r="E335" s="6">
        <v>337</v>
      </c>
      <c r="F335" s="6">
        <v>4</v>
      </c>
      <c r="G335" s="15">
        <v>1</v>
      </c>
      <c r="H335" s="15"/>
      <c r="I335" s="15" t="s">
        <v>1505</v>
      </c>
      <c r="J335" s="15">
        <v>71648349</v>
      </c>
      <c r="K335" s="15" t="s">
        <v>2322</v>
      </c>
      <c r="L335" s="15" t="s">
        <v>2325</v>
      </c>
      <c r="M335" s="15">
        <v>209900</v>
      </c>
      <c r="N335" s="9">
        <f t="shared" si="24"/>
        <v>0.9</v>
      </c>
      <c r="O335" s="8">
        <f t="shared" si="22"/>
        <v>20990</v>
      </c>
      <c r="P335" s="6" t="s">
        <v>15</v>
      </c>
    </row>
    <row r="336" spans="1:16" x14ac:dyDescent="0.25">
      <c r="A336" s="7" t="str">
        <f t="shared" si="23"/>
        <v>2022 ALL D90</v>
      </c>
      <c r="B336" s="7">
        <f t="shared" si="21"/>
        <v>46114</v>
      </c>
      <c r="C336" s="7">
        <f t="shared" si="20"/>
        <v>46120</v>
      </c>
      <c r="D336" s="6">
        <v>3280</v>
      </c>
      <c r="E336" s="6">
        <v>337</v>
      </c>
      <c r="F336" s="6">
        <v>4</v>
      </c>
      <c r="G336" s="15">
        <v>1</v>
      </c>
      <c r="H336" s="15"/>
      <c r="I336" s="15" t="s">
        <v>1505</v>
      </c>
      <c r="J336" s="15">
        <v>71648358</v>
      </c>
      <c r="K336" s="15" t="s">
        <v>2322</v>
      </c>
      <c r="L336" s="15" t="s">
        <v>2326</v>
      </c>
      <c r="M336" s="15">
        <v>219900</v>
      </c>
      <c r="N336" s="9">
        <f t="shared" si="24"/>
        <v>0.9</v>
      </c>
      <c r="O336" s="8">
        <f t="shared" si="22"/>
        <v>21990</v>
      </c>
      <c r="P336" s="6" t="s">
        <v>15</v>
      </c>
    </row>
    <row r="337" spans="1:16" x14ac:dyDescent="0.25">
      <c r="A337" s="7" t="str">
        <f t="shared" si="23"/>
        <v>2022 ALL D90</v>
      </c>
      <c r="B337" s="7">
        <f t="shared" si="21"/>
        <v>46114</v>
      </c>
      <c r="C337" s="7">
        <f t="shared" si="20"/>
        <v>46120</v>
      </c>
      <c r="D337" s="6">
        <v>3280</v>
      </c>
      <c r="E337" s="6">
        <v>337</v>
      </c>
      <c r="F337" s="6">
        <v>4</v>
      </c>
      <c r="G337" s="15">
        <v>1</v>
      </c>
      <c r="H337" s="15"/>
      <c r="I337" s="15" t="s">
        <v>1505</v>
      </c>
      <c r="J337" s="15">
        <v>71648367</v>
      </c>
      <c r="K337" s="15" t="s">
        <v>2322</v>
      </c>
      <c r="L337" s="15" t="s">
        <v>2327</v>
      </c>
      <c r="M337" s="15">
        <v>219900</v>
      </c>
      <c r="N337" s="9">
        <f t="shared" si="24"/>
        <v>0.9</v>
      </c>
      <c r="O337" s="8">
        <f t="shared" si="22"/>
        <v>21990</v>
      </c>
      <c r="P337" s="6" t="s">
        <v>15</v>
      </c>
    </row>
    <row r="338" spans="1:16" x14ac:dyDescent="0.25">
      <c r="A338" s="7" t="str">
        <f t="shared" si="23"/>
        <v>2022 ALL D90</v>
      </c>
      <c r="B338" s="7">
        <f t="shared" si="21"/>
        <v>46114</v>
      </c>
      <c r="C338" s="7">
        <f t="shared" si="20"/>
        <v>46120</v>
      </c>
      <c r="D338" s="6">
        <v>3280</v>
      </c>
      <c r="E338" s="6">
        <v>337</v>
      </c>
      <c r="F338" s="6">
        <v>4</v>
      </c>
      <c r="G338" s="15">
        <v>1</v>
      </c>
      <c r="H338" s="15"/>
      <c r="I338" s="15" t="s">
        <v>1505</v>
      </c>
      <c r="J338" s="15">
        <v>71648376</v>
      </c>
      <c r="K338" s="15" t="s">
        <v>2322</v>
      </c>
      <c r="L338" s="15" t="s">
        <v>2328</v>
      </c>
      <c r="M338" s="15">
        <v>219900</v>
      </c>
      <c r="N338" s="9">
        <f t="shared" si="24"/>
        <v>0.9</v>
      </c>
      <c r="O338" s="8">
        <f t="shared" si="22"/>
        <v>21990</v>
      </c>
      <c r="P338" s="6" t="s">
        <v>15</v>
      </c>
    </row>
    <row r="339" spans="1:16" x14ac:dyDescent="0.25">
      <c r="A339" s="7" t="str">
        <f t="shared" si="23"/>
        <v>2022 ALL D90</v>
      </c>
      <c r="B339" s="7">
        <f t="shared" si="21"/>
        <v>46114</v>
      </c>
      <c r="C339" s="7">
        <f t="shared" si="20"/>
        <v>46120</v>
      </c>
      <c r="D339" s="6">
        <v>3280</v>
      </c>
      <c r="E339" s="6">
        <v>337</v>
      </c>
      <c r="F339" s="6">
        <v>4</v>
      </c>
      <c r="G339" s="15">
        <v>1</v>
      </c>
      <c r="H339" s="15"/>
      <c r="I339" s="15" t="s">
        <v>1505</v>
      </c>
      <c r="J339" s="15">
        <v>73309630</v>
      </c>
      <c r="K339" s="15" t="s">
        <v>2315</v>
      </c>
      <c r="L339" s="15" t="s">
        <v>2316</v>
      </c>
      <c r="M339" s="15">
        <v>219900</v>
      </c>
      <c r="N339" s="9">
        <f t="shared" si="24"/>
        <v>0.9</v>
      </c>
      <c r="O339" s="8">
        <f t="shared" si="22"/>
        <v>21990</v>
      </c>
      <c r="P339" s="6" t="s">
        <v>15</v>
      </c>
    </row>
    <row r="340" spans="1:16" x14ac:dyDescent="0.25">
      <c r="A340" s="7" t="str">
        <f t="shared" si="23"/>
        <v>2022 ALL D90</v>
      </c>
      <c r="B340" s="7">
        <f t="shared" si="21"/>
        <v>46114</v>
      </c>
      <c r="C340" s="7">
        <f t="shared" si="20"/>
        <v>46120</v>
      </c>
      <c r="D340" s="6">
        <v>3280</v>
      </c>
      <c r="E340" s="6">
        <v>337</v>
      </c>
      <c r="F340" s="6">
        <v>4</v>
      </c>
      <c r="G340" s="15">
        <v>1</v>
      </c>
      <c r="H340" s="15"/>
      <c r="I340" s="15" t="s">
        <v>1505</v>
      </c>
      <c r="J340" s="15">
        <v>73309649</v>
      </c>
      <c r="K340" s="15" t="s">
        <v>2315</v>
      </c>
      <c r="L340" s="15" t="s">
        <v>2317</v>
      </c>
      <c r="M340" s="15">
        <v>219900</v>
      </c>
      <c r="N340" s="9">
        <f t="shared" si="24"/>
        <v>0.9</v>
      </c>
      <c r="O340" s="8">
        <f t="shared" si="22"/>
        <v>21990</v>
      </c>
      <c r="P340" s="6" t="s">
        <v>15</v>
      </c>
    </row>
    <row r="341" spans="1:16" x14ac:dyDescent="0.25">
      <c r="A341" s="7" t="str">
        <f t="shared" si="23"/>
        <v>2022 ALL D90</v>
      </c>
      <c r="B341" s="7">
        <f t="shared" si="21"/>
        <v>46114</v>
      </c>
      <c r="C341" s="7">
        <f t="shared" si="20"/>
        <v>46120</v>
      </c>
      <c r="D341" s="6">
        <v>3280</v>
      </c>
      <c r="E341" s="6">
        <v>337</v>
      </c>
      <c r="F341" s="6">
        <v>4</v>
      </c>
      <c r="G341" s="15">
        <v>1</v>
      </c>
      <c r="H341" s="15"/>
      <c r="I341" s="15" t="s">
        <v>1505</v>
      </c>
      <c r="J341" s="15">
        <v>73309658</v>
      </c>
      <c r="K341" s="15" t="s">
        <v>2315</v>
      </c>
      <c r="L341" s="15" t="s">
        <v>2318</v>
      </c>
      <c r="M341" s="15">
        <v>219900</v>
      </c>
      <c r="N341" s="9">
        <f t="shared" si="24"/>
        <v>0.9</v>
      </c>
      <c r="O341" s="8">
        <f t="shared" si="22"/>
        <v>21990</v>
      </c>
      <c r="P341" s="6" t="s">
        <v>15</v>
      </c>
    </row>
    <row r="342" spans="1:16" x14ac:dyDescent="0.25">
      <c r="A342" s="7" t="str">
        <f t="shared" si="23"/>
        <v>2022 ALL D90</v>
      </c>
      <c r="B342" s="7">
        <f t="shared" si="21"/>
        <v>46114</v>
      </c>
      <c r="C342" s="7">
        <f t="shared" si="20"/>
        <v>46120</v>
      </c>
      <c r="D342" s="6">
        <v>3280</v>
      </c>
      <c r="E342" s="6">
        <v>337</v>
      </c>
      <c r="F342" s="6">
        <v>4</v>
      </c>
      <c r="G342" s="15">
        <v>1</v>
      </c>
      <c r="H342" s="15"/>
      <c r="I342" s="15" t="s">
        <v>1505</v>
      </c>
      <c r="J342" s="15">
        <v>73309667</v>
      </c>
      <c r="K342" s="15" t="s">
        <v>2315</v>
      </c>
      <c r="L342" s="15" t="s">
        <v>2319</v>
      </c>
      <c r="M342" s="15">
        <v>229900</v>
      </c>
      <c r="N342" s="9">
        <f t="shared" si="24"/>
        <v>0.9</v>
      </c>
      <c r="O342" s="8">
        <f t="shared" si="22"/>
        <v>22990</v>
      </c>
      <c r="P342" s="6" t="s">
        <v>15</v>
      </c>
    </row>
    <row r="343" spans="1:16" x14ac:dyDescent="0.25">
      <c r="A343" s="7" t="str">
        <f t="shared" si="23"/>
        <v>2022 ALL D90</v>
      </c>
      <c r="B343" s="7">
        <f t="shared" si="21"/>
        <v>46114</v>
      </c>
      <c r="C343" s="7">
        <f t="shared" si="20"/>
        <v>46120</v>
      </c>
      <c r="D343" s="6">
        <v>3280</v>
      </c>
      <c r="E343" s="6">
        <v>337</v>
      </c>
      <c r="F343" s="6">
        <v>4</v>
      </c>
      <c r="G343" s="15">
        <v>1</v>
      </c>
      <c r="H343" s="15"/>
      <c r="I343" s="15" t="s">
        <v>1505</v>
      </c>
      <c r="J343" s="15">
        <v>73309676</v>
      </c>
      <c r="K343" s="15" t="s">
        <v>2315</v>
      </c>
      <c r="L343" s="15" t="s">
        <v>2320</v>
      </c>
      <c r="M343" s="15">
        <v>229900</v>
      </c>
      <c r="N343" s="9">
        <f t="shared" si="24"/>
        <v>0.9</v>
      </c>
      <c r="O343" s="8">
        <f t="shared" si="22"/>
        <v>22990</v>
      </c>
      <c r="P343" s="6" t="s">
        <v>15</v>
      </c>
    </row>
    <row r="344" spans="1:16" x14ac:dyDescent="0.25">
      <c r="A344" s="7" t="str">
        <f t="shared" si="23"/>
        <v>2022 ALL D90</v>
      </c>
      <c r="B344" s="7">
        <f t="shared" si="21"/>
        <v>46114</v>
      </c>
      <c r="C344" s="7">
        <f t="shared" si="20"/>
        <v>46120</v>
      </c>
      <c r="D344" s="6">
        <v>3280</v>
      </c>
      <c r="E344" s="6">
        <v>337</v>
      </c>
      <c r="F344" s="6">
        <v>4</v>
      </c>
      <c r="G344" s="15">
        <v>1</v>
      </c>
      <c r="H344" s="15"/>
      <c r="I344" s="15" t="s">
        <v>1505</v>
      </c>
      <c r="J344" s="15">
        <v>73309685</v>
      </c>
      <c r="K344" s="15" t="s">
        <v>2315</v>
      </c>
      <c r="L344" s="15" t="s">
        <v>2321</v>
      </c>
      <c r="M344" s="15">
        <v>229900</v>
      </c>
      <c r="N344" s="9">
        <f t="shared" si="24"/>
        <v>0.9</v>
      </c>
      <c r="O344" s="8">
        <f t="shared" si="22"/>
        <v>22990</v>
      </c>
      <c r="P344" s="6" t="s">
        <v>15</v>
      </c>
    </row>
    <row r="345" spans="1:16" x14ac:dyDescent="0.25">
      <c r="A345" s="7" t="str">
        <f t="shared" si="23"/>
        <v>2022 ALL D90</v>
      </c>
      <c r="B345" s="7">
        <f t="shared" si="21"/>
        <v>46114</v>
      </c>
      <c r="C345" s="7">
        <f t="shared" si="20"/>
        <v>46120</v>
      </c>
      <c r="D345" s="6">
        <v>3280</v>
      </c>
      <c r="E345" s="6">
        <v>337</v>
      </c>
      <c r="F345" s="6">
        <v>4</v>
      </c>
      <c r="G345" s="15">
        <v>1</v>
      </c>
      <c r="H345" s="15"/>
      <c r="I345" s="15" t="s">
        <v>1505</v>
      </c>
      <c r="J345" s="15">
        <v>71648385</v>
      </c>
      <c r="K345" s="15" t="s">
        <v>2329</v>
      </c>
      <c r="L345" s="15" t="s">
        <v>2330</v>
      </c>
      <c r="M345" s="15">
        <v>219900</v>
      </c>
      <c r="N345" s="9">
        <f t="shared" si="24"/>
        <v>0.9</v>
      </c>
      <c r="O345" s="8">
        <f t="shared" si="22"/>
        <v>21990</v>
      </c>
      <c r="P345" s="6" t="s">
        <v>15</v>
      </c>
    </row>
    <row r="346" spans="1:16" x14ac:dyDescent="0.25">
      <c r="A346" s="7" t="str">
        <f t="shared" si="23"/>
        <v>2022 ALL D90</v>
      </c>
      <c r="B346" s="7">
        <f t="shared" si="21"/>
        <v>46114</v>
      </c>
      <c r="C346" s="7">
        <f t="shared" si="20"/>
        <v>46120</v>
      </c>
      <c r="D346" s="6">
        <v>3280</v>
      </c>
      <c r="E346" s="6">
        <v>337</v>
      </c>
      <c r="F346" s="6">
        <v>4</v>
      </c>
      <c r="G346" s="15">
        <v>1</v>
      </c>
      <c r="H346" s="15"/>
      <c r="I346" s="15" t="s">
        <v>1505</v>
      </c>
      <c r="J346" s="15">
        <v>71648394</v>
      </c>
      <c r="K346" s="15" t="s">
        <v>2329</v>
      </c>
      <c r="L346" s="15" t="s">
        <v>2331</v>
      </c>
      <c r="M346" s="15">
        <v>219900</v>
      </c>
      <c r="N346" s="9">
        <f t="shared" si="24"/>
        <v>0.9</v>
      </c>
      <c r="O346" s="8">
        <f t="shared" si="22"/>
        <v>21990</v>
      </c>
      <c r="P346" s="6" t="s">
        <v>15</v>
      </c>
    </row>
    <row r="347" spans="1:16" x14ac:dyDescent="0.25">
      <c r="A347" s="7" t="str">
        <f t="shared" si="23"/>
        <v>2022 ALL D90</v>
      </c>
      <c r="B347" s="7">
        <f t="shared" si="21"/>
        <v>46114</v>
      </c>
      <c r="C347" s="7">
        <f t="shared" si="20"/>
        <v>46120</v>
      </c>
      <c r="D347" s="6">
        <v>3280</v>
      </c>
      <c r="E347" s="6">
        <v>337</v>
      </c>
      <c r="F347" s="6">
        <v>4</v>
      </c>
      <c r="G347" s="15">
        <v>1</v>
      </c>
      <c r="H347" s="15"/>
      <c r="I347" s="15" t="s">
        <v>1505</v>
      </c>
      <c r="J347" s="15">
        <v>71648401</v>
      </c>
      <c r="K347" s="15" t="s">
        <v>2329</v>
      </c>
      <c r="L347" s="15" t="s">
        <v>2332</v>
      </c>
      <c r="M347" s="15">
        <v>219900</v>
      </c>
      <c r="N347" s="9">
        <f t="shared" si="24"/>
        <v>0.9</v>
      </c>
      <c r="O347" s="8">
        <f t="shared" si="22"/>
        <v>21990</v>
      </c>
      <c r="P347" s="6" t="s">
        <v>15</v>
      </c>
    </row>
    <row r="348" spans="1:16" x14ac:dyDescent="0.25">
      <c r="A348" s="7" t="str">
        <f t="shared" si="23"/>
        <v>2022 ALL D90</v>
      </c>
      <c r="B348" s="7">
        <f t="shared" si="21"/>
        <v>46114</v>
      </c>
      <c r="C348" s="7">
        <f t="shared" si="20"/>
        <v>46120</v>
      </c>
      <c r="D348" s="6">
        <v>3280</v>
      </c>
      <c r="E348" s="6">
        <v>337</v>
      </c>
      <c r="F348" s="6">
        <v>4</v>
      </c>
      <c r="G348" s="15">
        <v>1</v>
      </c>
      <c r="H348" s="15"/>
      <c r="I348" s="15" t="s">
        <v>1505</v>
      </c>
      <c r="J348" s="15">
        <v>71648410</v>
      </c>
      <c r="K348" s="15" t="s">
        <v>2329</v>
      </c>
      <c r="L348" s="15" t="s">
        <v>2333</v>
      </c>
      <c r="M348" s="15">
        <v>229900</v>
      </c>
      <c r="N348" s="9">
        <f t="shared" si="24"/>
        <v>0.9</v>
      </c>
      <c r="O348" s="8">
        <f t="shared" si="22"/>
        <v>22990</v>
      </c>
      <c r="P348" s="6" t="s">
        <v>15</v>
      </c>
    </row>
    <row r="349" spans="1:16" x14ac:dyDescent="0.25">
      <c r="A349" s="7" t="str">
        <f t="shared" si="23"/>
        <v>2022 ALL D90</v>
      </c>
      <c r="B349" s="7">
        <f t="shared" si="21"/>
        <v>46114</v>
      </c>
      <c r="C349" s="7">
        <f t="shared" si="20"/>
        <v>46120</v>
      </c>
      <c r="D349" s="6">
        <v>3280</v>
      </c>
      <c r="E349" s="6">
        <v>337</v>
      </c>
      <c r="F349" s="6">
        <v>4</v>
      </c>
      <c r="G349" s="15">
        <v>1</v>
      </c>
      <c r="H349" s="15"/>
      <c r="I349" s="15" t="s">
        <v>1505</v>
      </c>
      <c r="J349" s="15">
        <v>71648429</v>
      </c>
      <c r="K349" s="15" t="s">
        <v>2329</v>
      </c>
      <c r="L349" s="15" t="s">
        <v>2334</v>
      </c>
      <c r="M349" s="15">
        <v>229900</v>
      </c>
      <c r="N349" s="9">
        <f t="shared" si="24"/>
        <v>0.9</v>
      </c>
      <c r="O349" s="8">
        <f t="shared" si="22"/>
        <v>22990</v>
      </c>
      <c r="P349" s="6" t="s">
        <v>15</v>
      </c>
    </row>
    <row r="350" spans="1:16" x14ac:dyDescent="0.25">
      <c r="A350" s="7" t="str">
        <f t="shared" si="23"/>
        <v>2022 ALL D90</v>
      </c>
      <c r="B350" s="7">
        <f t="shared" si="21"/>
        <v>46114</v>
      </c>
      <c r="C350" s="7">
        <f t="shared" si="20"/>
        <v>46120</v>
      </c>
      <c r="D350" s="6">
        <v>3280</v>
      </c>
      <c r="E350" s="6">
        <v>337</v>
      </c>
      <c r="F350" s="6">
        <v>4</v>
      </c>
      <c r="G350" s="15">
        <v>1</v>
      </c>
      <c r="H350" s="15"/>
      <c r="I350" s="15" t="s">
        <v>1505</v>
      </c>
      <c r="J350" s="15">
        <v>71648438</v>
      </c>
      <c r="K350" s="15" t="s">
        <v>2329</v>
      </c>
      <c r="L350" s="15" t="s">
        <v>2335</v>
      </c>
      <c r="M350" s="15">
        <v>229900</v>
      </c>
      <c r="N350" s="9">
        <f t="shared" si="24"/>
        <v>0.9</v>
      </c>
      <c r="O350" s="8">
        <f t="shared" si="22"/>
        <v>22990</v>
      </c>
      <c r="P350" s="6" t="s">
        <v>15</v>
      </c>
    </row>
    <row r="351" spans="1:16" x14ac:dyDescent="0.25">
      <c r="A351" s="7" t="str">
        <f t="shared" si="23"/>
        <v>2022 ALL D90</v>
      </c>
      <c r="B351" s="7">
        <f t="shared" si="21"/>
        <v>46114</v>
      </c>
      <c r="C351" s="7">
        <f t="shared" si="20"/>
        <v>46120</v>
      </c>
      <c r="D351" s="6">
        <v>3280</v>
      </c>
      <c r="E351" s="6">
        <v>337</v>
      </c>
      <c r="F351" s="6">
        <v>4</v>
      </c>
      <c r="G351" s="15">
        <v>1</v>
      </c>
      <c r="H351" s="15"/>
      <c r="I351" s="15" t="s">
        <v>1505</v>
      </c>
      <c r="J351" s="15">
        <v>74085862</v>
      </c>
      <c r="K351" s="15" t="s">
        <v>2336</v>
      </c>
      <c r="L351" s="15" t="s">
        <v>2337</v>
      </c>
      <c r="M351" s="15">
        <v>249900</v>
      </c>
      <c r="N351" s="9">
        <f t="shared" si="24"/>
        <v>0.9</v>
      </c>
      <c r="O351" s="8">
        <f t="shared" si="22"/>
        <v>24990</v>
      </c>
      <c r="P351" s="6" t="s">
        <v>15</v>
      </c>
    </row>
    <row r="352" spans="1:16" x14ac:dyDescent="0.25">
      <c r="A352" s="7" t="str">
        <f t="shared" si="23"/>
        <v>2022 ALL D90</v>
      </c>
      <c r="B352" s="7">
        <f t="shared" si="21"/>
        <v>46114</v>
      </c>
      <c r="C352" s="7">
        <f t="shared" si="20"/>
        <v>46120</v>
      </c>
      <c r="D352" s="6">
        <v>3280</v>
      </c>
      <c r="E352" s="6">
        <v>337</v>
      </c>
      <c r="F352" s="6">
        <v>4</v>
      </c>
      <c r="G352" s="15">
        <v>1</v>
      </c>
      <c r="H352" s="15"/>
      <c r="I352" s="15" t="s">
        <v>1505</v>
      </c>
      <c r="J352" s="15">
        <v>74085871</v>
      </c>
      <c r="K352" s="15" t="s">
        <v>2336</v>
      </c>
      <c r="L352" s="15" t="s">
        <v>2338</v>
      </c>
      <c r="M352" s="15">
        <v>249900</v>
      </c>
      <c r="N352" s="9">
        <f t="shared" si="24"/>
        <v>0.9</v>
      </c>
      <c r="O352" s="8">
        <f t="shared" si="22"/>
        <v>24990</v>
      </c>
      <c r="P352" s="6" t="s">
        <v>15</v>
      </c>
    </row>
    <row r="353" spans="1:16" x14ac:dyDescent="0.25">
      <c r="A353" s="7" t="str">
        <f t="shared" si="23"/>
        <v>2022 ALL D90</v>
      </c>
      <c r="B353" s="7">
        <f t="shared" si="21"/>
        <v>46114</v>
      </c>
      <c r="C353" s="7">
        <f t="shared" si="20"/>
        <v>46120</v>
      </c>
      <c r="D353" s="6">
        <v>3280</v>
      </c>
      <c r="E353" s="6">
        <v>337</v>
      </c>
      <c r="F353" s="6">
        <v>4</v>
      </c>
      <c r="G353" s="15">
        <v>1</v>
      </c>
      <c r="H353" s="15"/>
      <c r="I353" s="15" t="s">
        <v>1505</v>
      </c>
      <c r="J353" s="15">
        <v>74085880</v>
      </c>
      <c r="K353" s="15" t="s">
        <v>2336</v>
      </c>
      <c r="L353" s="15" t="s">
        <v>2339</v>
      </c>
      <c r="M353" s="15">
        <v>249900</v>
      </c>
      <c r="N353" s="9">
        <f t="shared" si="24"/>
        <v>0.9</v>
      </c>
      <c r="O353" s="8">
        <f t="shared" si="22"/>
        <v>24990</v>
      </c>
      <c r="P353" s="6" t="s">
        <v>15</v>
      </c>
    </row>
    <row r="354" spans="1:16" x14ac:dyDescent="0.25">
      <c r="A354" s="7" t="str">
        <f t="shared" si="23"/>
        <v>2022 ALL D90</v>
      </c>
      <c r="B354" s="7">
        <f t="shared" si="21"/>
        <v>46114</v>
      </c>
      <c r="C354" s="7">
        <f t="shared" si="20"/>
        <v>46120</v>
      </c>
      <c r="D354" s="6">
        <v>3280</v>
      </c>
      <c r="E354" s="6">
        <v>337</v>
      </c>
      <c r="F354" s="6">
        <v>4</v>
      </c>
      <c r="G354" s="15">
        <v>1</v>
      </c>
      <c r="H354" s="15"/>
      <c r="I354" s="15" t="s">
        <v>1505</v>
      </c>
      <c r="J354" s="15">
        <v>74085899</v>
      </c>
      <c r="K354" s="15" t="s">
        <v>2336</v>
      </c>
      <c r="L354" s="15" t="s">
        <v>2340</v>
      </c>
      <c r="M354" s="15">
        <v>259900</v>
      </c>
      <c r="N354" s="9">
        <f t="shared" si="24"/>
        <v>0.9</v>
      </c>
      <c r="O354" s="8">
        <f t="shared" si="22"/>
        <v>25990</v>
      </c>
      <c r="P354" s="6" t="s">
        <v>15</v>
      </c>
    </row>
    <row r="355" spans="1:16" x14ac:dyDescent="0.25">
      <c r="A355" s="7" t="str">
        <f t="shared" si="23"/>
        <v>2022 ALL D90</v>
      </c>
      <c r="B355" s="7">
        <f t="shared" si="21"/>
        <v>46114</v>
      </c>
      <c r="C355" s="7">
        <f t="shared" ref="C355:C418" si="25">C354</f>
        <v>46120</v>
      </c>
      <c r="D355" s="6">
        <v>3280</v>
      </c>
      <c r="E355" s="6">
        <v>337</v>
      </c>
      <c r="F355" s="6">
        <v>4</v>
      </c>
      <c r="G355" s="15">
        <v>1</v>
      </c>
      <c r="H355" s="15"/>
      <c r="I355" s="15" t="s">
        <v>1505</v>
      </c>
      <c r="J355" s="15">
        <v>74085906</v>
      </c>
      <c r="K355" s="15" t="s">
        <v>2336</v>
      </c>
      <c r="L355" s="15" t="s">
        <v>2341</v>
      </c>
      <c r="M355" s="15">
        <v>259900</v>
      </c>
      <c r="N355" s="9">
        <f t="shared" si="24"/>
        <v>0.9</v>
      </c>
      <c r="O355" s="8">
        <f t="shared" si="22"/>
        <v>25990</v>
      </c>
      <c r="P355" s="6" t="s">
        <v>15</v>
      </c>
    </row>
    <row r="356" spans="1:16" x14ac:dyDescent="0.25">
      <c r="A356" s="7" t="str">
        <f t="shared" si="23"/>
        <v>2022 ALL D90</v>
      </c>
      <c r="B356" s="7">
        <f t="shared" si="23"/>
        <v>46114</v>
      </c>
      <c r="C356" s="7">
        <f t="shared" si="25"/>
        <v>46120</v>
      </c>
      <c r="D356" s="6">
        <v>3280</v>
      </c>
      <c r="E356" s="6">
        <v>337</v>
      </c>
      <c r="F356" s="6">
        <v>4</v>
      </c>
      <c r="G356" s="15">
        <v>1</v>
      </c>
      <c r="H356" s="15"/>
      <c r="I356" s="15" t="s">
        <v>1505</v>
      </c>
      <c r="J356" s="15">
        <v>74085915</v>
      </c>
      <c r="K356" s="15" t="s">
        <v>2336</v>
      </c>
      <c r="L356" s="15" t="s">
        <v>2342</v>
      </c>
      <c r="M356" s="15">
        <v>259900</v>
      </c>
      <c r="N356" s="9">
        <f t="shared" si="24"/>
        <v>0.9</v>
      </c>
      <c r="O356" s="8">
        <f t="shared" si="22"/>
        <v>25990</v>
      </c>
      <c r="P356" s="6" t="s">
        <v>15</v>
      </c>
    </row>
    <row r="357" spans="1:16" x14ac:dyDescent="0.25">
      <c r="A357" s="7" t="str">
        <f t="shared" si="23"/>
        <v>2022 ALL D90</v>
      </c>
      <c r="B357" s="7">
        <f t="shared" si="23"/>
        <v>46114</v>
      </c>
      <c r="C357" s="7">
        <f t="shared" si="25"/>
        <v>46120</v>
      </c>
      <c r="D357" s="6">
        <v>3280</v>
      </c>
      <c r="E357" s="6">
        <v>337</v>
      </c>
      <c r="F357" s="6">
        <v>4</v>
      </c>
      <c r="G357" s="15">
        <v>1</v>
      </c>
      <c r="H357" s="15"/>
      <c r="I357" s="15" t="s">
        <v>1505</v>
      </c>
      <c r="J357" s="15">
        <v>74085924</v>
      </c>
      <c r="K357" s="15" t="s">
        <v>2343</v>
      </c>
      <c r="L357" s="15" t="s">
        <v>2344</v>
      </c>
      <c r="M357" s="15">
        <v>239900</v>
      </c>
      <c r="N357" s="9">
        <f t="shared" si="24"/>
        <v>0.9</v>
      </c>
      <c r="O357" s="8">
        <f t="shared" si="22"/>
        <v>23990</v>
      </c>
      <c r="P357" s="6" t="s">
        <v>15</v>
      </c>
    </row>
    <row r="358" spans="1:16" x14ac:dyDescent="0.25">
      <c r="A358" s="7" t="str">
        <f t="shared" si="23"/>
        <v>2022 ALL D90</v>
      </c>
      <c r="B358" s="7">
        <f t="shared" si="23"/>
        <v>46114</v>
      </c>
      <c r="C358" s="7">
        <f t="shared" si="25"/>
        <v>46120</v>
      </c>
      <c r="D358" s="6">
        <v>3280</v>
      </c>
      <c r="E358" s="6">
        <v>337</v>
      </c>
      <c r="F358" s="6">
        <v>4</v>
      </c>
      <c r="G358" s="15">
        <v>1</v>
      </c>
      <c r="H358" s="15"/>
      <c r="I358" s="15" t="s">
        <v>1505</v>
      </c>
      <c r="J358" s="15">
        <v>74085933</v>
      </c>
      <c r="K358" s="15" t="s">
        <v>2343</v>
      </c>
      <c r="L358" s="15" t="s">
        <v>2345</v>
      </c>
      <c r="M358" s="15">
        <v>239900</v>
      </c>
      <c r="N358" s="9">
        <f t="shared" si="24"/>
        <v>0.9</v>
      </c>
      <c r="O358" s="8">
        <f t="shared" si="22"/>
        <v>23990</v>
      </c>
      <c r="P358" s="6" t="s">
        <v>15</v>
      </c>
    </row>
    <row r="359" spans="1:16" x14ac:dyDescent="0.25">
      <c r="A359" s="7" t="str">
        <f t="shared" si="23"/>
        <v>2022 ALL D90</v>
      </c>
      <c r="B359" s="7">
        <f t="shared" si="23"/>
        <v>46114</v>
      </c>
      <c r="C359" s="7">
        <f t="shared" si="25"/>
        <v>46120</v>
      </c>
      <c r="D359" s="6">
        <v>3280</v>
      </c>
      <c r="E359" s="6">
        <v>337</v>
      </c>
      <c r="F359" s="6">
        <v>4</v>
      </c>
      <c r="G359" s="15">
        <v>1</v>
      </c>
      <c r="H359" s="15"/>
      <c r="I359" s="15" t="s">
        <v>1505</v>
      </c>
      <c r="J359" s="15">
        <v>74085942</v>
      </c>
      <c r="K359" s="15" t="s">
        <v>2343</v>
      </c>
      <c r="L359" s="15" t="s">
        <v>2346</v>
      </c>
      <c r="M359" s="15">
        <v>239900</v>
      </c>
      <c r="N359" s="9">
        <f t="shared" si="24"/>
        <v>0.9</v>
      </c>
      <c r="O359" s="8">
        <f t="shared" si="22"/>
        <v>23990</v>
      </c>
      <c r="P359" s="6" t="s">
        <v>15</v>
      </c>
    </row>
    <row r="360" spans="1:16" x14ac:dyDescent="0.25">
      <c r="A360" s="7" t="str">
        <f t="shared" si="23"/>
        <v>2022 ALL D90</v>
      </c>
      <c r="B360" s="7">
        <f t="shared" si="23"/>
        <v>46114</v>
      </c>
      <c r="C360" s="7">
        <f t="shared" si="25"/>
        <v>46120</v>
      </c>
      <c r="D360" s="6">
        <v>3280</v>
      </c>
      <c r="E360" s="6">
        <v>337</v>
      </c>
      <c r="F360" s="6">
        <v>4</v>
      </c>
      <c r="G360" s="15">
        <v>1</v>
      </c>
      <c r="H360" s="15"/>
      <c r="I360" s="15" t="s">
        <v>1505</v>
      </c>
      <c r="J360" s="15">
        <v>74085951</v>
      </c>
      <c r="K360" s="15" t="s">
        <v>2343</v>
      </c>
      <c r="L360" s="15" t="s">
        <v>2347</v>
      </c>
      <c r="M360" s="15">
        <v>249900</v>
      </c>
      <c r="N360" s="9">
        <f t="shared" si="24"/>
        <v>0.9</v>
      </c>
      <c r="O360" s="8">
        <f t="shared" si="22"/>
        <v>24990</v>
      </c>
      <c r="P360" s="6" t="s">
        <v>15</v>
      </c>
    </row>
    <row r="361" spans="1:16" x14ac:dyDescent="0.25">
      <c r="A361" s="7" t="str">
        <f t="shared" si="23"/>
        <v>2022 ALL D90</v>
      </c>
      <c r="B361" s="7">
        <f t="shared" si="23"/>
        <v>46114</v>
      </c>
      <c r="C361" s="7">
        <f t="shared" si="25"/>
        <v>46120</v>
      </c>
      <c r="D361" s="6">
        <v>3280</v>
      </c>
      <c r="E361" s="6">
        <v>337</v>
      </c>
      <c r="F361" s="6">
        <v>4</v>
      </c>
      <c r="G361" s="15">
        <v>1</v>
      </c>
      <c r="H361" s="15"/>
      <c r="I361" s="15" t="s">
        <v>1505</v>
      </c>
      <c r="J361" s="15">
        <v>74085960</v>
      </c>
      <c r="K361" s="15" t="s">
        <v>2343</v>
      </c>
      <c r="L361" s="15" t="s">
        <v>2348</v>
      </c>
      <c r="M361" s="15">
        <v>249900</v>
      </c>
      <c r="N361" s="9">
        <f t="shared" si="24"/>
        <v>0.9</v>
      </c>
      <c r="O361" s="8">
        <f t="shared" si="22"/>
        <v>24990</v>
      </c>
      <c r="P361" s="6" t="s">
        <v>15</v>
      </c>
    </row>
    <row r="362" spans="1:16" x14ac:dyDescent="0.25">
      <c r="A362" s="7" t="str">
        <f t="shared" si="23"/>
        <v>2022 ALL D90</v>
      </c>
      <c r="B362" s="7">
        <f t="shared" si="23"/>
        <v>46114</v>
      </c>
      <c r="C362" s="7">
        <f t="shared" si="25"/>
        <v>46120</v>
      </c>
      <c r="D362" s="6">
        <v>3280</v>
      </c>
      <c r="E362" s="6">
        <v>337</v>
      </c>
      <c r="F362" s="6">
        <v>4</v>
      </c>
      <c r="G362" s="15">
        <v>1</v>
      </c>
      <c r="H362" s="15"/>
      <c r="I362" s="15" t="s">
        <v>1505</v>
      </c>
      <c r="J362" s="15">
        <v>74085979</v>
      </c>
      <c r="K362" s="15" t="s">
        <v>2343</v>
      </c>
      <c r="L362" s="15" t="s">
        <v>2349</v>
      </c>
      <c r="M362" s="15">
        <v>249900</v>
      </c>
      <c r="N362" s="9">
        <f t="shared" si="24"/>
        <v>0.9</v>
      </c>
      <c r="O362" s="8">
        <f t="shared" si="22"/>
        <v>24990</v>
      </c>
      <c r="P362" s="6" t="s">
        <v>15</v>
      </c>
    </row>
    <row r="363" spans="1:16" x14ac:dyDescent="0.25">
      <c r="A363" s="7" t="str">
        <f t="shared" si="23"/>
        <v>2022 ALL D90</v>
      </c>
      <c r="B363" s="7">
        <f t="shared" si="23"/>
        <v>46114</v>
      </c>
      <c r="C363" s="7">
        <f t="shared" si="25"/>
        <v>46120</v>
      </c>
      <c r="D363" s="6">
        <v>3280</v>
      </c>
      <c r="E363" s="6">
        <v>337</v>
      </c>
      <c r="F363" s="6">
        <v>4</v>
      </c>
      <c r="G363" s="15">
        <v>1</v>
      </c>
      <c r="H363" s="15"/>
      <c r="I363" s="15" t="s">
        <v>1505</v>
      </c>
      <c r="J363" s="15">
        <v>74585858</v>
      </c>
      <c r="K363" s="15" t="s">
        <v>2455</v>
      </c>
      <c r="L363" s="15" t="s">
        <v>2456</v>
      </c>
      <c r="M363" s="15">
        <v>219900</v>
      </c>
      <c r="N363" s="9">
        <f t="shared" si="24"/>
        <v>0.9</v>
      </c>
      <c r="O363" s="8">
        <f t="shared" si="22"/>
        <v>21990</v>
      </c>
      <c r="P363" s="6" t="s">
        <v>15</v>
      </c>
    </row>
    <row r="364" spans="1:16" x14ac:dyDescent="0.25">
      <c r="A364" s="7" t="str">
        <f t="shared" si="23"/>
        <v>2022 ALL D90</v>
      </c>
      <c r="B364" s="7">
        <f t="shared" si="23"/>
        <v>46114</v>
      </c>
      <c r="C364" s="7">
        <f t="shared" si="25"/>
        <v>46120</v>
      </c>
      <c r="D364" s="6">
        <v>3280</v>
      </c>
      <c r="E364" s="6">
        <v>337</v>
      </c>
      <c r="F364" s="6">
        <v>4</v>
      </c>
      <c r="G364" s="15">
        <v>1</v>
      </c>
      <c r="H364" s="15"/>
      <c r="I364" s="15" t="s">
        <v>1505</v>
      </c>
      <c r="J364" s="15">
        <v>74585867</v>
      </c>
      <c r="K364" s="15" t="s">
        <v>2455</v>
      </c>
      <c r="L364" s="15" t="s">
        <v>2457</v>
      </c>
      <c r="M364" s="15">
        <v>219900</v>
      </c>
      <c r="N364" s="9">
        <f t="shared" si="24"/>
        <v>0.9</v>
      </c>
      <c r="O364" s="8">
        <f t="shared" si="22"/>
        <v>21990</v>
      </c>
      <c r="P364" s="6" t="s">
        <v>15</v>
      </c>
    </row>
    <row r="365" spans="1:16" x14ac:dyDescent="0.25">
      <c r="A365" s="7" t="str">
        <f t="shared" si="23"/>
        <v>2022 ALL D90</v>
      </c>
      <c r="B365" s="7">
        <f t="shared" si="23"/>
        <v>46114</v>
      </c>
      <c r="C365" s="7">
        <f t="shared" si="25"/>
        <v>46120</v>
      </c>
      <c r="D365" s="6">
        <v>3280</v>
      </c>
      <c r="E365" s="6">
        <v>337</v>
      </c>
      <c r="F365" s="6">
        <v>4</v>
      </c>
      <c r="G365" s="15">
        <v>1</v>
      </c>
      <c r="H365" s="15"/>
      <c r="I365" s="15" t="s">
        <v>1505</v>
      </c>
      <c r="J365" s="15">
        <v>74585876</v>
      </c>
      <c r="K365" s="15" t="s">
        <v>2455</v>
      </c>
      <c r="L365" s="15" t="s">
        <v>2458</v>
      </c>
      <c r="M365" s="15">
        <v>219900</v>
      </c>
      <c r="N365" s="9">
        <f t="shared" si="24"/>
        <v>0.9</v>
      </c>
      <c r="O365" s="8">
        <f t="shared" si="22"/>
        <v>21990</v>
      </c>
      <c r="P365" s="6" t="s">
        <v>15</v>
      </c>
    </row>
    <row r="366" spans="1:16" x14ac:dyDescent="0.25">
      <c r="A366" s="7" t="str">
        <f t="shared" si="23"/>
        <v>2022 ALL D90</v>
      </c>
      <c r="B366" s="7">
        <f t="shared" si="23"/>
        <v>46114</v>
      </c>
      <c r="C366" s="7">
        <f t="shared" si="25"/>
        <v>46120</v>
      </c>
      <c r="D366" s="6">
        <v>3280</v>
      </c>
      <c r="E366" s="6">
        <v>337</v>
      </c>
      <c r="F366" s="6">
        <v>4</v>
      </c>
      <c r="G366" s="15">
        <v>1</v>
      </c>
      <c r="H366" s="15"/>
      <c r="I366" s="15" t="s">
        <v>1505</v>
      </c>
      <c r="J366" s="15">
        <v>74585885</v>
      </c>
      <c r="K366" s="15" t="s">
        <v>2455</v>
      </c>
      <c r="L366" s="15" t="s">
        <v>2459</v>
      </c>
      <c r="M366" s="15">
        <v>229900</v>
      </c>
      <c r="N366" s="9">
        <f t="shared" si="24"/>
        <v>0.9</v>
      </c>
      <c r="O366" s="8">
        <f t="shared" si="22"/>
        <v>22990</v>
      </c>
      <c r="P366" s="6" t="s">
        <v>15</v>
      </c>
    </row>
    <row r="367" spans="1:16" x14ac:dyDescent="0.25">
      <c r="A367" s="7" t="str">
        <f t="shared" si="23"/>
        <v>2022 ALL D90</v>
      </c>
      <c r="B367" s="7">
        <f t="shared" si="23"/>
        <v>46114</v>
      </c>
      <c r="C367" s="7">
        <f t="shared" si="25"/>
        <v>46120</v>
      </c>
      <c r="D367" s="6">
        <v>3280</v>
      </c>
      <c r="E367" s="6">
        <v>337</v>
      </c>
      <c r="F367" s="6">
        <v>4</v>
      </c>
      <c r="G367" s="15">
        <v>1</v>
      </c>
      <c r="H367" s="15"/>
      <c r="I367" s="15" t="s">
        <v>1505</v>
      </c>
      <c r="J367" s="15">
        <v>74585894</v>
      </c>
      <c r="K367" s="15" t="s">
        <v>2455</v>
      </c>
      <c r="L367" s="15" t="s">
        <v>2460</v>
      </c>
      <c r="M367" s="15">
        <v>229900</v>
      </c>
      <c r="N367" s="9">
        <f t="shared" si="24"/>
        <v>0.9</v>
      </c>
      <c r="O367" s="8">
        <f t="shared" si="22"/>
        <v>22990</v>
      </c>
      <c r="P367" s="6" t="s">
        <v>15</v>
      </c>
    </row>
    <row r="368" spans="1:16" x14ac:dyDescent="0.25">
      <c r="A368" s="7" t="str">
        <f t="shared" si="23"/>
        <v>2022 ALL D90</v>
      </c>
      <c r="B368" s="7">
        <f t="shared" si="23"/>
        <v>46114</v>
      </c>
      <c r="C368" s="7">
        <f t="shared" si="25"/>
        <v>46120</v>
      </c>
      <c r="D368" s="6">
        <v>3280</v>
      </c>
      <c r="E368" s="6">
        <v>337</v>
      </c>
      <c r="F368" s="6">
        <v>4</v>
      </c>
      <c r="G368" s="15">
        <v>1</v>
      </c>
      <c r="H368" s="15"/>
      <c r="I368" s="15" t="s">
        <v>1505</v>
      </c>
      <c r="J368" s="15">
        <v>74585901</v>
      </c>
      <c r="K368" s="15" t="s">
        <v>2455</v>
      </c>
      <c r="L368" s="15" t="s">
        <v>2461</v>
      </c>
      <c r="M368" s="15">
        <v>229900</v>
      </c>
      <c r="N368" s="9">
        <f t="shared" si="24"/>
        <v>0.9</v>
      </c>
      <c r="O368" s="8">
        <f t="shared" si="22"/>
        <v>22990</v>
      </c>
      <c r="P368" s="6" t="s">
        <v>15</v>
      </c>
    </row>
    <row r="369" spans="1:16" x14ac:dyDescent="0.25">
      <c r="A369" s="7" t="str">
        <f t="shared" si="23"/>
        <v>2022 ALL D90</v>
      </c>
      <c r="B369" s="7">
        <f t="shared" si="23"/>
        <v>46114</v>
      </c>
      <c r="C369" s="7">
        <f t="shared" si="25"/>
        <v>46120</v>
      </c>
      <c r="D369" s="6">
        <v>3280</v>
      </c>
      <c r="E369" s="6">
        <v>337</v>
      </c>
      <c r="F369" s="6">
        <v>4</v>
      </c>
      <c r="G369" s="15">
        <v>1</v>
      </c>
      <c r="H369" s="15"/>
      <c r="I369" s="15" t="s">
        <v>1505</v>
      </c>
      <c r="J369" s="15">
        <v>74086183</v>
      </c>
      <c r="K369" s="15" t="s">
        <v>2448</v>
      </c>
      <c r="L369" s="15" t="s">
        <v>2449</v>
      </c>
      <c r="M369" s="15">
        <v>219900</v>
      </c>
      <c r="N369" s="9">
        <f t="shared" si="24"/>
        <v>0.9</v>
      </c>
      <c r="O369" s="8">
        <f t="shared" si="22"/>
        <v>21990</v>
      </c>
      <c r="P369" s="6" t="s">
        <v>15</v>
      </c>
    </row>
    <row r="370" spans="1:16" x14ac:dyDescent="0.25">
      <c r="A370" s="7" t="str">
        <f t="shared" si="23"/>
        <v>2022 ALL D90</v>
      </c>
      <c r="B370" s="7">
        <f t="shared" si="23"/>
        <v>46114</v>
      </c>
      <c r="C370" s="7">
        <f t="shared" si="25"/>
        <v>46120</v>
      </c>
      <c r="D370" s="6">
        <v>3280</v>
      </c>
      <c r="E370" s="6">
        <v>337</v>
      </c>
      <c r="F370" s="6">
        <v>4</v>
      </c>
      <c r="G370" s="15">
        <v>1</v>
      </c>
      <c r="H370" s="15"/>
      <c r="I370" s="15" t="s">
        <v>1505</v>
      </c>
      <c r="J370" s="15">
        <v>74086192</v>
      </c>
      <c r="K370" s="15" t="s">
        <v>2448</v>
      </c>
      <c r="L370" s="15" t="s">
        <v>2450</v>
      </c>
      <c r="M370" s="15">
        <v>219900</v>
      </c>
      <c r="N370" s="9">
        <f t="shared" si="24"/>
        <v>0.9</v>
      </c>
      <c r="O370" s="8">
        <f t="shared" si="22"/>
        <v>21990</v>
      </c>
      <c r="P370" s="6" t="s">
        <v>15</v>
      </c>
    </row>
    <row r="371" spans="1:16" x14ac:dyDescent="0.25">
      <c r="A371" s="7" t="str">
        <f t="shared" si="23"/>
        <v>2022 ALL D90</v>
      </c>
      <c r="B371" s="7">
        <f t="shared" si="23"/>
        <v>46114</v>
      </c>
      <c r="C371" s="7">
        <f t="shared" si="25"/>
        <v>46120</v>
      </c>
      <c r="D371" s="6">
        <v>3280</v>
      </c>
      <c r="E371" s="6">
        <v>337</v>
      </c>
      <c r="F371" s="6">
        <v>4</v>
      </c>
      <c r="G371" s="15">
        <v>1</v>
      </c>
      <c r="H371" s="15"/>
      <c r="I371" s="15" t="s">
        <v>1505</v>
      </c>
      <c r="J371" s="15">
        <v>74086209</v>
      </c>
      <c r="K371" s="15" t="s">
        <v>2448</v>
      </c>
      <c r="L371" s="15" t="s">
        <v>2451</v>
      </c>
      <c r="M371" s="15">
        <v>219900</v>
      </c>
      <c r="N371" s="9">
        <f t="shared" si="24"/>
        <v>0.9</v>
      </c>
      <c r="O371" s="8">
        <f t="shared" si="22"/>
        <v>21990</v>
      </c>
      <c r="P371" s="6" t="s">
        <v>15</v>
      </c>
    </row>
    <row r="372" spans="1:16" x14ac:dyDescent="0.25">
      <c r="A372" s="7" t="str">
        <f t="shared" si="23"/>
        <v>2022 ALL D90</v>
      </c>
      <c r="B372" s="7">
        <f t="shared" si="23"/>
        <v>46114</v>
      </c>
      <c r="C372" s="7">
        <f t="shared" si="25"/>
        <v>46120</v>
      </c>
      <c r="D372" s="6">
        <v>3280</v>
      </c>
      <c r="E372" s="6">
        <v>337</v>
      </c>
      <c r="F372" s="6">
        <v>4</v>
      </c>
      <c r="G372" s="15">
        <v>1</v>
      </c>
      <c r="H372" s="15"/>
      <c r="I372" s="15" t="s">
        <v>1505</v>
      </c>
      <c r="J372" s="15">
        <v>74086218</v>
      </c>
      <c r="K372" s="15" t="s">
        <v>2448</v>
      </c>
      <c r="L372" s="15" t="s">
        <v>2452</v>
      </c>
      <c r="M372" s="15">
        <v>229900</v>
      </c>
      <c r="N372" s="9">
        <f t="shared" si="24"/>
        <v>0.9</v>
      </c>
      <c r="O372" s="8">
        <f t="shared" si="22"/>
        <v>22990</v>
      </c>
      <c r="P372" s="6" t="s">
        <v>15</v>
      </c>
    </row>
    <row r="373" spans="1:16" x14ac:dyDescent="0.25">
      <c r="A373" s="7" t="str">
        <f t="shared" si="23"/>
        <v>2022 ALL D90</v>
      </c>
      <c r="B373" s="7">
        <f t="shared" si="23"/>
        <v>46114</v>
      </c>
      <c r="C373" s="7">
        <f t="shared" si="25"/>
        <v>46120</v>
      </c>
      <c r="D373" s="6">
        <v>3280</v>
      </c>
      <c r="E373" s="6">
        <v>337</v>
      </c>
      <c r="F373" s="6">
        <v>4</v>
      </c>
      <c r="G373" s="15">
        <v>1</v>
      </c>
      <c r="H373" s="15"/>
      <c r="I373" s="15" t="s">
        <v>1505</v>
      </c>
      <c r="J373" s="15">
        <v>74086227</v>
      </c>
      <c r="K373" s="15" t="s">
        <v>2448</v>
      </c>
      <c r="L373" s="15" t="s">
        <v>2453</v>
      </c>
      <c r="M373" s="15">
        <v>229900</v>
      </c>
      <c r="N373" s="9">
        <f t="shared" si="24"/>
        <v>0.9</v>
      </c>
      <c r="O373" s="8">
        <f t="shared" si="22"/>
        <v>22990</v>
      </c>
      <c r="P373" s="6" t="s">
        <v>15</v>
      </c>
    </row>
    <row r="374" spans="1:16" x14ac:dyDescent="0.25">
      <c r="A374" s="7" t="str">
        <f t="shared" si="23"/>
        <v>2022 ALL D90</v>
      </c>
      <c r="B374" s="7">
        <f t="shared" si="23"/>
        <v>46114</v>
      </c>
      <c r="C374" s="7">
        <f t="shared" si="25"/>
        <v>46120</v>
      </c>
      <c r="D374" s="6">
        <v>3280</v>
      </c>
      <c r="E374" s="6">
        <v>337</v>
      </c>
      <c r="F374" s="6">
        <v>4</v>
      </c>
      <c r="G374" s="15">
        <v>1</v>
      </c>
      <c r="H374" s="15"/>
      <c r="I374" s="15" t="s">
        <v>1505</v>
      </c>
      <c r="J374" s="15">
        <v>74086236</v>
      </c>
      <c r="K374" s="15" t="s">
        <v>2448</v>
      </c>
      <c r="L374" s="15" t="s">
        <v>2454</v>
      </c>
      <c r="M374" s="15">
        <v>229900</v>
      </c>
      <c r="N374" s="9">
        <f t="shared" si="24"/>
        <v>0.9</v>
      </c>
      <c r="O374" s="8">
        <f t="shared" si="22"/>
        <v>22990</v>
      </c>
      <c r="P374" s="6" t="s">
        <v>15</v>
      </c>
    </row>
    <row r="375" spans="1:16" x14ac:dyDescent="0.25">
      <c r="A375" s="7" t="str">
        <f t="shared" si="23"/>
        <v>2022 ALL D90</v>
      </c>
      <c r="B375" s="7">
        <f t="shared" si="23"/>
        <v>46114</v>
      </c>
      <c r="C375" s="7">
        <f t="shared" si="25"/>
        <v>46120</v>
      </c>
      <c r="D375" s="6">
        <v>3280</v>
      </c>
      <c r="E375" s="6">
        <v>337</v>
      </c>
      <c r="F375" s="6">
        <v>4</v>
      </c>
      <c r="G375" s="15">
        <v>1</v>
      </c>
      <c r="H375" s="15"/>
      <c r="I375" s="15" t="s">
        <v>1505</v>
      </c>
      <c r="J375" s="15">
        <v>74585296</v>
      </c>
      <c r="K375" s="15" t="s">
        <v>2357</v>
      </c>
      <c r="L375" s="15" t="s">
        <v>2358</v>
      </c>
      <c r="M375" s="15">
        <v>249900</v>
      </c>
      <c r="N375" s="9">
        <f t="shared" si="24"/>
        <v>0.9</v>
      </c>
      <c r="O375" s="8">
        <f t="shared" si="22"/>
        <v>24990</v>
      </c>
      <c r="P375" s="6" t="s">
        <v>15</v>
      </c>
    </row>
    <row r="376" spans="1:16" x14ac:dyDescent="0.25">
      <c r="A376" s="7" t="str">
        <f t="shared" si="23"/>
        <v>2022 ALL D90</v>
      </c>
      <c r="B376" s="7">
        <f t="shared" si="23"/>
        <v>46114</v>
      </c>
      <c r="C376" s="7">
        <f t="shared" si="25"/>
        <v>46120</v>
      </c>
      <c r="D376" s="6">
        <v>3280</v>
      </c>
      <c r="E376" s="6">
        <v>337</v>
      </c>
      <c r="F376" s="6">
        <v>4</v>
      </c>
      <c r="G376" s="15">
        <v>1</v>
      </c>
      <c r="H376" s="15"/>
      <c r="I376" s="15" t="s">
        <v>1505</v>
      </c>
      <c r="J376" s="15">
        <v>74585303</v>
      </c>
      <c r="K376" s="15" t="s">
        <v>2357</v>
      </c>
      <c r="L376" s="15" t="s">
        <v>2359</v>
      </c>
      <c r="M376" s="15">
        <v>249900</v>
      </c>
      <c r="N376" s="9">
        <f t="shared" si="24"/>
        <v>0.9</v>
      </c>
      <c r="O376" s="8">
        <f t="shared" si="22"/>
        <v>24990</v>
      </c>
      <c r="P376" s="6" t="s">
        <v>15</v>
      </c>
    </row>
    <row r="377" spans="1:16" x14ac:dyDescent="0.25">
      <c r="A377" s="7" t="str">
        <f t="shared" si="23"/>
        <v>2022 ALL D90</v>
      </c>
      <c r="B377" s="7">
        <f t="shared" si="23"/>
        <v>46114</v>
      </c>
      <c r="C377" s="7">
        <f t="shared" si="25"/>
        <v>46120</v>
      </c>
      <c r="D377" s="6">
        <v>3280</v>
      </c>
      <c r="E377" s="6">
        <v>337</v>
      </c>
      <c r="F377" s="6">
        <v>4</v>
      </c>
      <c r="G377" s="15">
        <v>1</v>
      </c>
      <c r="H377" s="15"/>
      <c r="I377" s="15" t="s">
        <v>1505</v>
      </c>
      <c r="J377" s="15">
        <v>74585312</v>
      </c>
      <c r="K377" s="15" t="s">
        <v>2357</v>
      </c>
      <c r="L377" s="15" t="s">
        <v>2360</v>
      </c>
      <c r="M377" s="15">
        <v>249900</v>
      </c>
      <c r="N377" s="9">
        <f t="shared" si="24"/>
        <v>0.9</v>
      </c>
      <c r="O377" s="8">
        <f t="shared" si="22"/>
        <v>24990</v>
      </c>
      <c r="P377" s="6" t="s">
        <v>15</v>
      </c>
    </row>
    <row r="378" spans="1:16" x14ac:dyDescent="0.25">
      <c r="A378" s="7" t="str">
        <f t="shared" si="23"/>
        <v>2022 ALL D90</v>
      </c>
      <c r="B378" s="7">
        <f t="shared" si="23"/>
        <v>46114</v>
      </c>
      <c r="C378" s="7">
        <f t="shared" si="25"/>
        <v>46120</v>
      </c>
      <c r="D378" s="6">
        <v>3280</v>
      </c>
      <c r="E378" s="6">
        <v>337</v>
      </c>
      <c r="F378" s="6">
        <v>4</v>
      </c>
      <c r="G378" s="15">
        <v>1</v>
      </c>
      <c r="H378" s="15"/>
      <c r="I378" s="15" t="s">
        <v>1505</v>
      </c>
      <c r="J378" s="15">
        <v>74585321</v>
      </c>
      <c r="K378" s="15" t="s">
        <v>2357</v>
      </c>
      <c r="L378" s="15" t="s">
        <v>2361</v>
      </c>
      <c r="M378" s="15">
        <v>259900</v>
      </c>
      <c r="N378" s="9">
        <f t="shared" si="24"/>
        <v>0.9</v>
      </c>
      <c r="O378" s="8">
        <f t="shared" si="22"/>
        <v>25990</v>
      </c>
      <c r="P378" s="6" t="s">
        <v>15</v>
      </c>
    </row>
    <row r="379" spans="1:16" x14ac:dyDescent="0.25">
      <c r="A379" s="7" t="str">
        <f t="shared" si="23"/>
        <v>2022 ALL D90</v>
      </c>
      <c r="B379" s="7">
        <f t="shared" si="23"/>
        <v>46114</v>
      </c>
      <c r="C379" s="7">
        <f t="shared" si="25"/>
        <v>46120</v>
      </c>
      <c r="D379" s="6">
        <v>3280</v>
      </c>
      <c r="E379" s="6">
        <v>337</v>
      </c>
      <c r="F379" s="6">
        <v>4</v>
      </c>
      <c r="G379" s="15">
        <v>1</v>
      </c>
      <c r="H379" s="15"/>
      <c r="I379" s="15" t="s">
        <v>1505</v>
      </c>
      <c r="J379" s="15">
        <v>74585330</v>
      </c>
      <c r="K379" s="15" t="s">
        <v>2357</v>
      </c>
      <c r="L379" s="15" t="s">
        <v>2362</v>
      </c>
      <c r="M379" s="15">
        <v>259900</v>
      </c>
      <c r="N379" s="9">
        <f t="shared" si="24"/>
        <v>0.9</v>
      </c>
      <c r="O379" s="8">
        <f t="shared" si="22"/>
        <v>25990</v>
      </c>
      <c r="P379" s="6" t="s">
        <v>15</v>
      </c>
    </row>
    <row r="380" spans="1:16" x14ac:dyDescent="0.25">
      <c r="A380" s="7" t="str">
        <f t="shared" si="23"/>
        <v>2022 ALL D90</v>
      </c>
      <c r="B380" s="7">
        <f t="shared" si="23"/>
        <v>46114</v>
      </c>
      <c r="C380" s="7">
        <f t="shared" si="25"/>
        <v>46120</v>
      </c>
      <c r="D380" s="6">
        <v>3280</v>
      </c>
      <c r="E380" s="6">
        <v>337</v>
      </c>
      <c r="F380" s="6">
        <v>4</v>
      </c>
      <c r="G380" s="15">
        <v>1</v>
      </c>
      <c r="H380" s="15"/>
      <c r="I380" s="15" t="s">
        <v>1505</v>
      </c>
      <c r="J380" s="15">
        <v>74585349</v>
      </c>
      <c r="K380" s="15" t="s">
        <v>2357</v>
      </c>
      <c r="L380" s="15" t="s">
        <v>2363</v>
      </c>
      <c r="M380" s="15">
        <v>259900</v>
      </c>
      <c r="N380" s="9">
        <f t="shared" si="24"/>
        <v>0.9</v>
      </c>
      <c r="O380" s="8">
        <f t="shared" si="22"/>
        <v>25990</v>
      </c>
      <c r="P380" s="6" t="s">
        <v>15</v>
      </c>
    </row>
    <row r="381" spans="1:16" x14ac:dyDescent="0.25">
      <c r="A381" s="7" t="str">
        <f t="shared" si="23"/>
        <v>2022 ALL D90</v>
      </c>
      <c r="B381" s="7">
        <f t="shared" si="23"/>
        <v>46114</v>
      </c>
      <c r="C381" s="7">
        <f t="shared" si="25"/>
        <v>46120</v>
      </c>
      <c r="D381" s="6">
        <v>3280</v>
      </c>
      <c r="E381" s="6">
        <v>337</v>
      </c>
      <c r="F381" s="6">
        <v>4</v>
      </c>
      <c r="G381" s="15">
        <v>1</v>
      </c>
      <c r="H381" s="15"/>
      <c r="I381" s="15" t="s">
        <v>1505</v>
      </c>
      <c r="J381" s="15">
        <v>74585358</v>
      </c>
      <c r="K381" s="15" t="s">
        <v>2350</v>
      </c>
      <c r="L381" s="15" t="s">
        <v>2351</v>
      </c>
      <c r="M381" s="15">
        <v>229900</v>
      </c>
      <c r="N381" s="9">
        <f t="shared" si="24"/>
        <v>0.9</v>
      </c>
      <c r="O381" s="8">
        <f t="shared" si="22"/>
        <v>22990</v>
      </c>
      <c r="P381" s="6" t="s">
        <v>15</v>
      </c>
    </row>
    <row r="382" spans="1:16" x14ac:dyDescent="0.25">
      <c r="A382" s="7" t="str">
        <f t="shared" si="23"/>
        <v>2022 ALL D90</v>
      </c>
      <c r="B382" s="7">
        <f t="shared" si="23"/>
        <v>46114</v>
      </c>
      <c r="C382" s="7">
        <f t="shared" si="25"/>
        <v>46120</v>
      </c>
      <c r="D382" s="6">
        <v>3280</v>
      </c>
      <c r="E382" s="6">
        <v>337</v>
      </c>
      <c r="F382" s="6">
        <v>4</v>
      </c>
      <c r="G382" s="15">
        <v>1</v>
      </c>
      <c r="H382" s="15"/>
      <c r="I382" s="15" t="s">
        <v>1505</v>
      </c>
      <c r="J382" s="15">
        <v>74585367</v>
      </c>
      <c r="K382" s="15" t="s">
        <v>2350</v>
      </c>
      <c r="L382" s="15" t="s">
        <v>2352</v>
      </c>
      <c r="M382" s="15">
        <v>229900</v>
      </c>
      <c r="N382" s="9">
        <f t="shared" si="24"/>
        <v>0.9</v>
      </c>
      <c r="O382" s="8">
        <f t="shared" si="22"/>
        <v>22990</v>
      </c>
      <c r="P382" s="6" t="s">
        <v>15</v>
      </c>
    </row>
    <row r="383" spans="1:16" x14ac:dyDescent="0.25">
      <c r="A383" s="7" t="str">
        <f t="shared" si="23"/>
        <v>2022 ALL D90</v>
      </c>
      <c r="B383" s="7">
        <f t="shared" si="23"/>
        <v>46114</v>
      </c>
      <c r="C383" s="7">
        <f t="shared" si="25"/>
        <v>46120</v>
      </c>
      <c r="D383" s="6">
        <v>3280</v>
      </c>
      <c r="E383" s="6">
        <v>337</v>
      </c>
      <c r="F383" s="6">
        <v>4</v>
      </c>
      <c r="G383" s="15">
        <v>1</v>
      </c>
      <c r="H383" s="15"/>
      <c r="I383" s="15" t="s">
        <v>1505</v>
      </c>
      <c r="J383" s="15">
        <v>74585376</v>
      </c>
      <c r="K383" s="15" t="s">
        <v>2350</v>
      </c>
      <c r="L383" s="15" t="s">
        <v>2353</v>
      </c>
      <c r="M383" s="15">
        <v>229900</v>
      </c>
      <c r="N383" s="9">
        <f t="shared" si="24"/>
        <v>0.9</v>
      </c>
      <c r="O383" s="8">
        <f t="shared" si="22"/>
        <v>22990</v>
      </c>
      <c r="P383" s="6" t="s">
        <v>15</v>
      </c>
    </row>
    <row r="384" spans="1:16" x14ac:dyDescent="0.25">
      <c r="A384" s="7" t="str">
        <f t="shared" si="23"/>
        <v>2022 ALL D90</v>
      </c>
      <c r="B384" s="7">
        <f t="shared" si="23"/>
        <v>46114</v>
      </c>
      <c r="C384" s="7">
        <f t="shared" si="25"/>
        <v>46120</v>
      </c>
      <c r="D384" s="6">
        <v>3280</v>
      </c>
      <c r="E384" s="6">
        <v>337</v>
      </c>
      <c r="F384" s="6">
        <v>4</v>
      </c>
      <c r="G384" s="15">
        <v>1</v>
      </c>
      <c r="H384" s="15"/>
      <c r="I384" s="15" t="s">
        <v>1505</v>
      </c>
      <c r="J384" s="15">
        <v>74585385</v>
      </c>
      <c r="K384" s="15" t="s">
        <v>2350</v>
      </c>
      <c r="L384" s="15" t="s">
        <v>2354</v>
      </c>
      <c r="M384" s="15">
        <v>239900</v>
      </c>
      <c r="N384" s="9">
        <f t="shared" si="24"/>
        <v>0.9</v>
      </c>
      <c r="O384" s="8">
        <f t="shared" si="22"/>
        <v>23990</v>
      </c>
      <c r="P384" s="6" t="s">
        <v>15</v>
      </c>
    </row>
    <row r="385" spans="1:16" x14ac:dyDescent="0.25">
      <c r="A385" s="7" t="str">
        <f t="shared" si="23"/>
        <v>2022 ALL D90</v>
      </c>
      <c r="B385" s="7">
        <f t="shared" si="23"/>
        <v>46114</v>
      </c>
      <c r="C385" s="7">
        <f t="shared" si="25"/>
        <v>46120</v>
      </c>
      <c r="D385" s="6">
        <v>3280</v>
      </c>
      <c r="E385" s="6">
        <v>337</v>
      </c>
      <c r="F385" s="6">
        <v>4</v>
      </c>
      <c r="G385" s="15">
        <v>1</v>
      </c>
      <c r="H385" s="15"/>
      <c r="I385" s="15" t="s">
        <v>1505</v>
      </c>
      <c r="J385" s="15">
        <v>74585394</v>
      </c>
      <c r="K385" s="15" t="s">
        <v>2350</v>
      </c>
      <c r="L385" s="15" t="s">
        <v>2355</v>
      </c>
      <c r="M385" s="15">
        <v>239900</v>
      </c>
      <c r="N385" s="9">
        <f t="shared" si="24"/>
        <v>0.9</v>
      </c>
      <c r="O385" s="8">
        <f t="shared" si="22"/>
        <v>23990</v>
      </c>
      <c r="P385" s="6" t="s">
        <v>15</v>
      </c>
    </row>
    <row r="386" spans="1:16" x14ac:dyDescent="0.25">
      <c r="A386" s="7" t="str">
        <f t="shared" si="23"/>
        <v>2022 ALL D90</v>
      </c>
      <c r="B386" s="7">
        <f t="shared" si="23"/>
        <v>46114</v>
      </c>
      <c r="C386" s="7">
        <f t="shared" si="25"/>
        <v>46120</v>
      </c>
      <c r="D386" s="6">
        <v>3280</v>
      </c>
      <c r="E386" s="6">
        <v>337</v>
      </c>
      <c r="F386" s="6">
        <v>4</v>
      </c>
      <c r="G386" s="15">
        <v>1</v>
      </c>
      <c r="H386" s="15"/>
      <c r="I386" s="15" t="s">
        <v>1505</v>
      </c>
      <c r="J386" s="15">
        <v>74585401</v>
      </c>
      <c r="K386" s="15" t="s">
        <v>2350</v>
      </c>
      <c r="L386" s="15" t="s">
        <v>2356</v>
      </c>
      <c r="M386" s="15">
        <v>239900</v>
      </c>
      <c r="N386" s="9">
        <f t="shared" si="24"/>
        <v>0.9</v>
      </c>
      <c r="O386" s="8">
        <f t="shared" si="22"/>
        <v>23990</v>
      </c>
      <c r="P386" s="6" t="s">
        <v>15</v>
      </c>
    </row>
    <row r="387" spans="1:16" x14ac:dyDescent="0.25">
      <c r="A387" s="7" t="str">
        <f t="shared" si="23"/>
        <v>2022 ALL D90</v>
      </c>
      <c r="B387" s="7">
        <f t="shared" si="23"/>
        <v>46114</v>
      </c>
      <c r="C387" s="7">
        <f t="shared" si="25"/>
        <v>46120</v>
      </c>
      <c r="D387" s="6">
        <v>3280</v>
      </c>
      <c r="E387" s="6">
        <v>337</v>
      </c>
      <c r="F387" s="6">
        <v>4</v>
      </c>
      <c r="G387" s="15">
        <v>1</v>
      </c>
      <c r="H387" s="15"/>
      <c r="I387" s="15" t="s">
        <v>1505</v>
      </c>
      <c r="J387" s="15">
        <v>74585438</v>
      </c>
      <c r="K387" s="15" t="s">
        <v>2364</v>
      </c>
      <c r="L387" s="15" t="s">
        <v>2365</v>
      </c>
      <c r="M387" s="15">
        <v>259900</v>
      </c>
      <c r="N387" s="9">
        <f t="shared" si="24"/>
        <v>0.9</v>
      </c>
      <c r="O387" s="8">
        <f t="shared" ref="O387:O450" si="26">M387-((90*M387)/100)</f>
        <v>25990</v>
      </c>
      <c r="P387" s="6" t="s">
        <v>15</v>
      </c>
    </row>
    <row r="388" spans="1:16" x14ac:dyDescent="0.25">
      <c r="A388" s="7" t="str">
        <f t="shared" ref="A388:C451" si="27">A387</f>
        <v>2022 ALL D90</v>
      </c>
      <c r="B388" s="7">
        <f t="shared" si="27"/>
        <v>46114</v>
      </c>
      <c r="C388" s="7">
        <f t="shared" si="25"/>
        <v>46120</v>
      </c>
      <c r="D388" s="6">
        <v>3280</v>
      </c>
      <c r="E388" s="6">
        <v>337</v>
      </c>
      <c r="F388" s="6">
        <v>4</v>
      </c>
      <c r="G388" s="15">
        <v>1</v>
      </c>
      <c r="H388" s="15"/>
      <c r="I388" s="15" t="s">
        <v>1505</v>
      </c>
      <c r="J388" s="15">
        <v>74585447</v>
      </c>
      <c r="K388" s="15" t="s">
        <v>2364</v>
      </c>
      <c r="L388" s="15" t="s">
        <v>2366</v>
      </c>
      <c r="M388" s="15">
        <v>259900</v>
      </c>
      <c r="N388" s="9">
        <f t="shared" ref="N388:N451" si="28">N387</f>
        <v>0.9</v>
      </c>
      <c r="O388" s="8">
        <f t="shared" si="26"/>
        <v>25990</v>
      </c>
      <c r="P388" s="6" t="s">
        <v>15</v>
      </c>
    </row>
    <row r="389" spans="1:16" x14ac:dyDescent="0.25">
      <c r="A389" s="7" t="str">
        <f t="shared" si="27"/>
        <v>2022 ALL D90</v>
      </c>
      <c r="B389" s="7">
        <f t="shared" si="27"/>
        <v>46114</v>
      </c>
      <c r="C389" s="7">
        <f t="shared" si="25"/>
        <v>46120</v>
      </c>
      <c r="D389" s="6">
        <v>3280</v>
      </c>
      <c r="E389" s="6">
        <v>337</v>
      </c>
      <c r="F389" s="6">
        <v>4</v>
      </c>
      <c r="G389" s="15">
        <v>1</v>
      </c>
      <c r="H389" s="15"/>
      <c r="I389" s="15" t="s">
        <v>1505</v>
      </c>
      <c r="J389" s="15">
        <v>74585456</v>
      </c>
      <c r="K389" s="15" t="s">
        <v>2364</v>
      </c>
      <c r="L389" s="15" t="s">
        <v>2367</v>
      </c>
      <c r="M389" s="15">
        <v>259900</v>
      </c>
      <c r="N389" s="9">
        <f t="shared" si="28"/>
        <v>0.9</v>
      </c>
      <c r="O389" s="8">
        <f t="shared" si="26"/>
        <v>25990</v>
      </c>
      <c r="P389" s="6" t="s">
        <v>15</v>
      </c>
    </row>
    <row r="390" spans="1:16" x14ac:dyDescent="0.25">
      <c r="A390" s="7" t="str">
        <f t="shared" si="27"/>
        <v>2022 ALL D90</v>
      </c>
      <c r="B390" s="7">
        <f t="shared" si="27"/>
        <v>46114</v>
      </c>
      <c r="C390" s="7">
        <f t="shared" si="25"/>
        <v>46120</v>
      </c>
      <c r="D390" s="6">
        <v>3280</v>
      </c>
      <c r="E390" s="6">
        <v>337</v>
      </c>
      <c r="F390" s="6">
        <v>4</v>
      </c>
      <c r="G390" s="15">
        <v>1</v>
      </c>
      <c r="H390" s="15"/>
      <c r="I390" s="15" t="s">
        <v>1505</v>
      </c>
      <c r="J390" s="15">
        <v>74585465</v>
      </c>
      <c r="K390" s="15" t="s">
        <v>2364</v>
      </c>
      <c r="L390" s="15" t="s">
        <v>2368</v>
      </c>
      <c r="M390" s="15">
        <v>269900</v>
      </c>
      <c r="N390" s="9">
        <f t="shared" si="28"/>
        <v>0.9</v>
      </c>
      <c r="O390" s="8">
        <f t="shared" si="26"/>
        <v>26990</v>
      </c>
      <c r="P390" s="6" t="s">
        <v>15</v>
      </c>
    </row>
    <row r="391" spans="1:16" x14ac:dyDescent="0.25">
      <c r="A391" s="7" t="str">
        <f t="shared" si="27"/>
        <v>2022 ALL D90</v>
      </c>
      <c r="B391" s="7">
        <f t="shared" si="27"/>
        <v>46114</v>
      </c>
      <c r="C391" s="7">
        <f t="shared" si="25"/>
        <v>46120</v>
      </c>
      <c r="D391" s="6">
        <v>3280</v>
      </c>
      <c r="E391" s="6">
        <v>337</v>
      </c>
      <c r="F391" s="6">
        <v>4</v>
      </c>
      <c r="G391" s="15">
        <v>1</v>
      </c>
      <c r="H391" s="15"/>
      <c r="I391" s="15" t="s">
        <v>1505</v>
      </c>
      <c r="J391" s="15">
        <v>74585474</v>
      </c>
      <c r="K391" s="15" t="s">
        <v>2364</v>
      </c>
      <c r="L391" s="15" t="s">
        <v>2369</v>
      </c>
      <c r="M391" s="15">
        <v>269900</v>
      </c>
      <c r="N391" s="9">
        <f t="shared" si="28"/>
        <v>0.9</v>
      </c>
      <c r="O391" s="8">
        <f t="shared" si="26"/>
        <v>26990</v>
      </c>
      <c r="P391" s="6" t="s">
        <v>15</v>
      </c>
    </row>
    <row r="392" spans="1:16" x14ac:dyDescent="0.25">
      <c r="A392" s="7" t="str">
        <f t="shared" si="27"/>
        <v>2022 ALL D90</v>
      </c>
      <c r="B392" s="7">
        <f t="shared" si="27"/>
        <v>46114</v>
      </c>
      <c r="C392" s="7">
        <f t="shared" si="25"/>
        <v>46120</v>
      </c>
      <c r="D392" s="6">
        <v>3280</v>
      </c>
      <c r="E392" s="6">
        <v>337</v>
      </c>
      <c r="F392" s="6">
        <v>4</v>
      </c>
      <c r="G392" s="15">
        <v>1</v>
      </c>
      <c r="H392" s="15"/>
      <c r="I392" s="15" t="s">
        <v>1505</v>
      </c>
      <c r="J392" s="15">
        <v>74585483</v>
      </c>
      <c r="K392" s="15" t="s">
        <v>2364</v>
      </c>
      <c r="L392" s="15" t="s">
        <v>2370</v>
      </c>
      <c r="M392" s="15">
        <v>269900</v>
      </c>
      <c r="N392" s="9">
        <f t="shared" si="28"/>
        <v>0.9</v>
      </c>
      <c r="O392" s="8">
        <f t="shared" si="26"/>
        <v>26990</v>
      </c>
      <c r="P392" s="6" t="s">
        <v>15</v>
      </c>
    </row>
    <row r="393" spans="1:16" x14ac:dyDescent="0.25">
      <c r="A393" s="7" t="str">
        <f t="shared" si="27"/>
        <v>2022 ALL D90</v>
      </c>
      <c r="B393" s="7">
        <f t="shared" si="27"/>
        <v>46114</v>
      </c>
      <c r="C393" s="7">
        <f t="shared" si="25"/>
        <v>46120</v>
      </c>
      <c r="D393" s="6">
        <v>3280</v>
      </c>
      <c r="E393" s="6">
        <v>337</v>
      </c>
      <c r="F393" s="6">
        <v>4</v>
      </c>
      <c r="G393" s="15">
        <v>1</v>
      </c>
      <c r="H393" s="15"/>
      <c r="I393" s="15" t="s">
        <v>1505</v>
      </c>
      <c r="J393" s="15">
        <v>74086101</v>
      </c>
      <c r="K393" s="15" t="s">
        <v>2481</v>
      </c>
      <c r="L393" s="15" t="s">
        <v>2482</v>
      </c>
      <c r="M393" s="15">
        <v>229900</v>
      </c>
      <c r="N393" s="9">
        <f t="shared" si="28"/>
        <v>0.9</v>
      </c>
      <c r="O393" s="8">
        <f t="shared" si="26"/>
        <v>22990</v>
      </c>
      <c r="P393" s="6" t="s">
        <v>15</v>
      </c>
    </row>
    <row r="394" spans="1:16" x14ac:dyDescent="0.25">
      <c r="A394" s="7" t="str">
        <f t="shared" si="27"/>
        <v>2022 ALL D90</v>
      </c>
      <c r="B394" s="7">
        <f t="shared" si="27"/>
        <v>46114</v>
      </c>
      <c r="C394" s="7">
        <f t="shared" si="25"/>
        <v>46120</v>
      </c>
      <c r="D394" s="6">
        <v>3280</v>
      </c>
      <c r="E394" s="6">
        <v>337</v>
      </c>
      <c r="F394" s="6">
        <v>4</v>
      </c>
      <c r="G394" s="15">
        <v>1</v>
      </c>
      <c r="H394" s="15"/>
      <c r="I394" s="15" t="s">
        <v>1505</v>
      </c>
      <c r="J394" s="15">
        <v>74086110</v>
      </c>
      <c r="K394" s="15" t="s">
        <v>2481</v>
      </c>
      <c r="L394" s="15" t="s">
        <v>2483</v>
      </c>
      <c r="M394" s="15">
        <v>229900</v>
      </c>
      <c r="N394" s="9">
        <f t="shared" si="28"/>
        <v>0.9</v>
      </c>
      <c r="O394" s="8">
        <f t="shared" si="26"/>
        <v>22990</v>
      </c>
      <c r="P394" s="6" t="s">
        <v>15</v>
      </c>
    </row>
    <row r="395" spans="1:16" x14ac:dyDescent="0.25">
      <c r="A395" s="7" t="str">
        <f t="shared" si="27"/>
        <v>2022 ALL D90</v>
      </c>
      <c r="B395" s="7">
        <f t="shared" si="27"/>
        <v>46114</v>
      </c>
      <c r="C395" s="7">
        <f t="shared" si="25"/>
        <v>46120</v>
      </c>
      <c r="D395" s="6">
        <v>3280</v>
      </c>
      <c r="E395" s="6">
        <v>337</v>
      </c>
      <c r="F395" s="6">
        <v>4</v>
      </c>
      <c r="G395" s="15">
        <v>1</v>
      </c>
      <c r="H395" s="15"/>
      <c r="I395" s="15" t="s">
        <v>1505</v>
      </c>
      <c r="J395" s="15">
        <v>74086129</v>
      </c>
      <c r="K395" s="15" t="s">
        <v>2481</v>
      </c>
      <c r="L395" s="15" t="s">
        <v>2484</v>
      </c>
      <c r="M395" s="15">
        <v>229900</v>
      </c>
      <c r="N395" s="9">
        <f t="shared" si="28"/>
        <v>0.9</v>
      </c>
      <c r="O395" s="8">
        <f t="shared" si="26"/>
        <v>22990</v>
      </c>
      <c r="P395" s="6" t="s">
        <v>15</v>
      </c>
    </row>
    <row r="396" spans="1:16" x14ac:dyDescent="0.25">
      <c r="A396" s="7" t="str">
        <f t="shared" si="27"/>
        <v>2022 ALL D90</v>
      </c>
      <c r="B396" s="7">
        <f t="shared" si="27"/>
        <v>46114</v>
      </c>
      <c r="C396" s="7">
        <f t="shared" si="25"/>
        <v>46120</v>
      </c>
      <c r="D396" s="6">
        <v>3280</v>
      </c>
      <c r="E396" s="6">
        <v>337</v>
      </c>
      <c r="F396" s="6">
        <v>4</v>
      </c>
      <c r="G396" s="15">
        <v>1</v>
      </c>
      <c r="H396" s="15"/>
      <c r="I396" s="15" t="s">
        <v>1505</v>
      </c>
      <c r="J396" s="15">
        <v>74086138</v>
      </c>
      <c r="K396" s="15" t="s">
        <v>2481</v>
      </c>
      <c r="L396" s="15" t="s">
        <v>2485</v>
      </c>
      <c r="M396" s="15">
        <v>239900</v>
      </c>
      <c r="N396" s="9">
        <f t="shared" si="28"/>
        <v>0.9</v>
      </c>
      <c r="O396" s="8">
        <f t="shared" si="26"/>
        <v>23990</v>
      </c>
      <c r="P396" s="6" t="s">
        <v>15</v>
      </c>
    </row>
    <row r="397" spans="1:16" x14ac:dyDescent="0.25">
      <c r="A397" s="7" t="str">
        <f t="shared" si="27"/>
        <v>2022 ALL D90</v>
      </c>
      <c r="B397" s="7">
        <f t="shared" si="27"/>
        <v>46114</v>
      </c>
      <c r="C397" s="7">
        <f t="shared" si="25"/>
        <v>46120</v>
      </c>
      <c r="D397" s="6">
        <v>3280</v>
      </c>
      <c r="E397" s="6">
        <v>337</v>
      </c>
      <c r="F397" s="6">
        <v>4</v>
      </c>
      <c r="G397" s="15">
        <v>1</v>
      </c>
      <c r="H397" s="15"/>
      <c r="I397" s="15" t="s">
        <v>1505</v>
      </c>
      <c r="J397" s="15">
        <v>74086147</v>
      </c>
      <c r="K397" s="15" t="s">
        <v>2481</v>
      </c>
      <c r="L397" s="15" t="s">
        <v>2486</v>
      </c>
      <c r="M397" s="15">
        <v>239900</v>
      </c>
      <c r="N397" s="9">
        <f t="shared" si="28"/>
        <v>0.9</v>
      </c>
      <c r="O397" s="8">
        <f t="shared" si="26"/>
        <v>23990</v>
      </c>
      <c r="P397" s="6" t="s">
        <v>15</v>
      </c>
    </row>
    <row r="398" spans="1:16" x14ac:dyDescent="0.25">
      <c r="A398" s="7" t="str">
        <f t="shared" si="27"/>
        <v>2022 ALL D90</v>
      </c>
      <c r="B398" s="7">
        <f t="shared" si="27"/>
        <v>46114</v>
      </c>
      <c r="C398" s="7">
        <f t="shared" si="25"/>
        <v>46120</v>
      </c>
      <c r="D398" s="6">
        <v>3280</v>
      </c>
      <c r="E398" s="6">
        <v>337</v>
      </c>
      <c r="F398" s="6">
        <v>4</v>
      </c>
      <c r="G398" s="15">
        <v>1</v>
      </c>
      <c r="H398" s="15"/>
      <c r="I398" s="15" t="s">
        <v>1505</v>
      </c>
      <c r="J398" s="15">
        <v>74086156</v>
      </c>
      <c r="K398" s="15" t="s">
        <v>2481</v>
      </c>
      <c r="L398" s="15" t="s">
        <v>2487</v>
      </c>
      <c r="M398" s="15">
        <v>239900</v>
      </c>
      <c r="N398" s="9">
        <f t="shared" si="28"/>
        <v>0.9</v>
      </c>
      <c r="O398" s="8">
        <f t="shared" si="26"/>
        <v>23990</v>
      </c>
      <c r="P398" s="6" t="s">
        <v>15</v>
      </c>
    </row>
    <row r="399" spans="1:16" x14ac:dyDescent="0.25">
      <c r="A399" s="7" t="str">
        <f t="shared" si="27"/>
        <v>2022 ALL D90</v>
      </c>
      <c r="B399" s="7">
        <f t="shared" si="27"/>
        <v>46114</v>
      </c>
      <c r="C399" s="7">
        <f t="shared" si="25"/>
        <v>46120</v>
      </c>
      <c r="D399" s="6">
        <v>3280</v>
      </c>
      <c r="E399" s="6">
        <v>337</v>
      </c>
      <c r="F399" s="6">
        <v>4</v>
      </c>
      <c r="G399" s="15">
        <v>1</v>
      </c>
      <c r="H399" s="15"/>
      <c r="I399" s="15" t="s">
        <v>1505</v>
      </c>
      <c r="J399" s="15">
        <v>74086245</v>
      </c>
      <c r="K399" s="15" t="s">
        <v>2462</v>
      </c>
      <c r="L399" s="15" t="s">
        <v>2463</v>
      </c>
      <c r="M399" s="15">
        <v>229900</v>
      </c>
      <c r="N399" s="9">
        <f t="shared" si="28"/>
        <v>0.9</v>
      </c>
      <c r="O399" s="8">
        <f t="shared" si="26"/>
        <v>22990</v>
      </c>
      <c r="P399" s="6" t="s">
        <v>15</v>
      </c>
    </row>
    <row r="400" spans="1:16" x14ac:dyDescent="0.25">
      <c r="A400" s="7" t="str">
        <f t="shared" si="27"/>
        <v>2022 ALL D90</v>
      </c>
      <c r="B400" s="7">
        <f t="shared" si="27"/>
        <v>46114</v>
      </c>
      <c r="C400" s="7">
        <f t="shared" si="25"/>
        <v>46120</v>
      </c>
      <c r="D400" s="6">
        <v>3280</v>
      </c>
      <c r="E400" s="6">
        <v>337</v>
      </c>
      <c r="F400" s="6">
        <v>4</v>
      </c>
      <c r="G400" s="15">
        <v>1</v>
      </c>
      <c r="H400" s="15"/>
      <c r="I400" s="15" t="s">
        <v>1505</v>
      </c>
      <c r="J400" s="15">
        <v>74086254</v>
      </c>
      <c r="K400" s="15" t="s">
        <v>2462</v>
      </c>
      <c r="L400" s="15" t="s">
        <v>2464</v>
      </c>
      <c r="M400" s="15">
        <v>229900</v>
      </c>
      <c r="N400" s="9">
        <f t="shared" si="28"/>
        <v>0.9</v>
      </c>
      <c r="O400" s="8">
        <f t="shared" si="26"/>
        <v>22990</v>
      </c>
      <c r="P400" s="6" t="s">
        <v>15</v>
      </c>
    </row>
    <row r="401" spans="1:16" x14ac:dyDescent="0.25">
      <c r="A401" s="7" t="str">
        <f t="shared" si="27"/>
        <v>2022 ALL D90</v>
      </c>
      <c r="B401" s="7">
        <f t="shared" si="27"/>
        <v>46114</v>
      </c>
      <c r="C401" s="7">
        <f t="shared" si="25"/>
        <v>46120</v>
      </c>
      <c r="D401" s="6">
        <v>3280</v>
      </c>
      <c r="E401" s="6">
        <v>337</v>
      </c>
      <c r="F401" s="6">
        <v>4</v>
      </c>
      <c r="G401" s="15">
        <v>1</v>
      </c>
      <c r="H401" s="15"/>
      <c r="I401" s="15" t="s">
        <v>1505</v>
      </c>
      <c r="J401" s="15">
        <v>74086263</v>
      </c>
      <c r="K401" s="15" t="s">
        <v>2462</v>
      </c>
      <c r="L401" s="15" t="s">
        <v>2465</v>
      </c>
      <c r="M401" s="15">
        <v>229900</v>
      </c>
      <c r="N401" s="9">
        <f t="shared" si="28"/>
        <v>0.9</v>
      </c>
      <c r="O401" s="8">
        <f t="shared" si="26"/>
        <v>22990</v>
      </c>
      <c r="P401" s="6" t="s">
        <v>15</v>
      </c>
    </row>
    <row r="402" spans="1:16" x14ac:dyDescent="0.25">
      <c r="A402" s="7" t="str">
        <f t="shared" si="27"/>
        <v>2022 ALL D90</v>
      </c>
      <c r="B402" s="7">
        <f t="shared" si="27"/>
        <v>46114</v>
      </c>
      <c r="C402" s="7">
        <f t="shared" si="25"/>
        <v>46120</v>
      </c>
      <c r="D402" s="6">
        <v>3280</v>
      </c>
      <c r="E402" s="6">
        <v>337</v>
      </c>
      <c r="F402" s="6">
        <v>4</v>
      </c>
      <c r="G402" s="15">
        <v>1</v>
      </c>
      <c r="H402" s="15"/>
      <c r="I402" s="15" t="s">
        <v>1505</v>
      </c>
      <c r="J402" s="15">
        <v>74086272</v>
      </c>
      <c r="K402" s="15" t="s">
        <v>2462</v>
      </c>
      <c r="L402" s="15" t="s">
        <v>2466</v>
      </c>
      <c r="M402" s="15">
        <v>239900</v>
      </c>
      <c r="N402" s="9">
        <f t="shared" si="28"/>
        <v>0.9</v>
      </c>
      <c r="O402" s="8">
        <f t="shared" si="26"/>
        <v>23990</v>
      </c>
      <c r="P402" s="6" t="s">
        <v>15</v>
      </c>
    </row>
    <row r="403" spans="1:16" x14ac:dyDescent="0.25">
      <c r="A403" s="7" t="str">
        <f t="shared" si="27"/>
        <v>2022 ALL D90</v>
      </c>
      <c r="B403" s="7">
        <f t="shared" si="27"/>
        <v>46114</v>
      </c>
      <c r="C403" s="7">
        <f t="shared" si="25"/>
        <v>46120</v>
      </c>
      <c r="D403" s="6">
        <v>3280</v>
      </c>
      <c r="E403" s="6">
        <v>337</v>
      </c>
      <c r="F403" s="6">
        <v>4</v>
      </c>
      <c r="G403" s="15">
        <v>1</v>
      </c>
      <c r="H403" s="15"/>
      <c r="I403" s="15" t="s">
        <v>1505</v>
      </c>
      <c r="J403" s="15">
        <v>74086281</v>
      </c>
      <c r="K403" s="15" t="s">
        <v>2462</v>
      </c>
      <c r="L403" s="15" t="s">
        <v>2467</v>
      </c>
      <c r="M403" s="15">
        <v>239900</v>
      </c>
      <c r="N403" s="9">
        <f t="shared" si="28"/>
        <v>0.9</v>
      </c>
      <c r="O403" s="8">
        <f t="shared" si="26"/>
        <v>23990</v>
      </c>
      <c r="P403" s="6" t="s">
        <v>15</v>
      </c>
    </row>
    <row r="404" spans="1:16" x14ac:dyDescent="0.25">
      <c r="A404" s="7" t="str">
        <f t="shared" si="27"/>
        <v>2022 ALL D90</v>
      </c>
      <c r="B404" s="7">
        <f t="shared" si="27"/>
        <v>46114</v>
      </c>
      <c r="C404" s="7">
        <f t="shared" si="25"/>
        <v>46120</v>
      </c>
      <c r="D404" s="6">
        <v>3280</v>
      </c>
      <c r="E404" s="6">
        <v>337</v>
      </c>
      <c r="F404" s="6">
        <v>4</v>
      </c>
      <c r="G404" s="15">
        <v>1</v>
      </c>
      <c r="H404" s="15"/>
      <c r="I404" s="15" t="s">
        <v>1505</v>
      </c>
      <c r="J404" s="15">
        <v>74086290</v>
      </c>
      <c r="K404" s="15" t="s">
        <v>2462</v>
      </c>
      <c r="L404" s="15" t="s">
        <v>2468</v>
      </c>
      <c r="M404" s="15">
        <v>239900</v>
      </c>
      <c r="N404" s="9">
        <f t="shared" si="28"/>
        <v>0.9</v>
      </c>
      <c r="O404" s="8">
        <f t="shared" si="26"/>
        <v>23990</v>
      </c>
      <c r="P404" s="6" t="s">
        <v>15</v>
      </c>
    </row>
    <row r="405" spans="1:16" x14ac:dyDescent="0.25">
      <c r="A405" s="7" t="str">
        <f t="shared" si="27"/>
        <v>2022 ALL D90</v>
      </c>
      <c r="B405" s="7">
        <f t="shared" si="27"/>
        <v>46114</v>
      </c>
      <c r="C405" s="7">
        <f t="shared" si="25"/>
        <v>46120</v>
      </c>
      <c r="D405" s="6">
        <v>3280</v>
      </c>
      <c r="E405" s="6">
        <v>337</v>
      </c>
      <c r="F405" s="6">
        <v>4</v>
      </c>
      <c r="G405" s="15">
        <v>1</v>
      </c>
      <c r="H405" s="15"/>
      <c r="I405" s="15" t="s">
        <v>1505</v>
      </c>
      <c r="J405" s="15">
        <v>74585769</v>
      </c>
      <c r="K405" s="15" t="s">
        <v>2469</v>
      </c>
      <c r="L405" s="15" t="s">
        <v>2470</v>
      </c>
      <c r="M405" s="15">
        <v>229900</v>
      </c>
      <c r="N405" s="9">
        <f t="shared" si="28"/>
        <v>0.9</v>
      </c>
      <c r="O405" s="8">
        <f t="shared" si="26"/>
        <v>22990</v>
      </c>
      <c r="P405" s="6" t="s">
        <v>15</v>
      </c>
    </row>
    <row r="406" spans="1:16" x14ac:dyDescent="0.25">
      <c r="A406" s="7" t="str">
        <f t="shared" si="27"/>
        <v>2022 ALL D90</v>
      </c>
      <c r="B406" s="7">
        <f t="shared" si="27"/>
        <v>46114</v>
      </c>
      <c r="C406" s="7">
        <f t="shared" si="25"/>
        <v>46120</v>
      </c>
      <c r="D406" s="6">
        <v>3280</v>
      </c>
      <c r="E406" s="6">
        <v>337</v>
      </c>
      <c r="F406" s="6">
        <v>4</v>
      </c>
      <c r="G406" s="15">
        <v>1</v>
      </c>
      <c r="H406" s="15"/>
      <c r="I406" s="15" t="s">
        <v>1505</v>
      </c>
      <c r="J406" s="15">
        <v>74585778</v>
      </c>
      <c r="K406" s="15" t="s">
        <v>2469</v>
      </c>
      <c r="L406" s="15" t="s">
        <v>2471</v>
      </c>
      <c r="M406" s="15">
        <v>229900</v>
      </c>
      <c r="N406" s="9">
        <f t="shared" si="28"/>
        <v>0.9</v>
      </c>
      <c r="O406" s="8">
        <f t="shared" si="26"/>
        <v>22990</v>
      </c>
      <c r="P406" s="6" t="s">
        <v>15</v>
      </c>
    </row>
    <row r="407" spans="1:16" x14ac:dyDescent="0.25">
      <c r="A407" s="7" t="str">
        <f t="shared" si="27"/>
        <v>2022 ALL D90</v>
      </c>
      <c r="B407" s="7">
        <f t="shared" si="27"/>
        <v>46114</v>
      </c>
      <c r="C407" s="7">
        <f t="shared" si="25"/>
        <v>46120</v>
      </c>
      <c r="D407" s="6">
        <v>3280</v>
      </c>
      <c r="E407" s="6">
        <v>337</v>
      </c>
      <c r="F407" s="6">
        <v>4</v>
      </c>
      <c r="G407" s="15">
        <v>1</v>
      </c>
      <c r="H407" s="15"/>
      <c r="I407" s="15" t="s">
        <v>1505</v>
      </c>
      <c r="J407" s="15">
        <v>74585787</v>
      </c>
      <c r="K407" s="15" t="s">
        <v>2469</v>
      </c>
      <c r="L407" s="15" t="s">
        <v>2472</v>
      </c>
      <c r="M407" s="15">
        <v>229900</v>
      </c>
      <c r="N407" s="9">
        <f t="shared" si="28"/>
        <v>0.9</v>
      </c>
      <c r="O407" s="8">
        <f t="shared" si="26"/>
        <v>22990</v>
      </c>
      <c r="P407" s="6" t="s">
        <v>15</v>
      </c>
    </row>
    <row r="408" spans="1:16" x14ac:dyDescent="0.25">
      <c r="A408" s="7" t="str">
        <f t="shared" si="27"/>
        <v>2022 ALL D90</v>
      </c>
      <c r="B408" s="7">
        <f t="shared" si="27"/>
        <v>46114</v>
      </c>
      <c r="C408" s="7">
        <f t="shared" si="25"/>
        <v>46120</v>
      </c>
      <c r="D408" s="6">
        <v>3280</v>
      </c>
      <c r="E408" s="6">
        <v>337</v>
      </c>
      <c r="F408" s="6">
        <v>4</v>
      </c>
      <c r="G408" s="15">
        <v>1</v>
      </c>
      <c r="H408" s="15"/>
      <c r="I408" s="15" t="s">
        <v>1505</v>
      </c>
      <c r="J408" s="15">
        <v>74585796</v>
      </c>
      <c r="K408" s="15" t="s">
        <v>2469</v>
      </c>
      <c r="L408" s="15" t="s">
        <v>2473</v>
      </c>
      <c r="M408" s="15">
        <v>239900</v>
      </c>
      <c r="N408" s="9">
        <f t="shared" si="28"/>
        <v>0.9</v>
      </c>
      <c r="O408" s="8">
        <f t="shared" si="26"/>
        <v>23990</v>
      </c>
      <c r="P408" s="6" t="s">
        <v>15</v>
      </c>
    </row>
    <row r="409" spans="1:16" x14ac:dyDescent="0.25">
      <c r="A409" s="7" t="str">
        <f t="shared" si="27"/>
        <v>2022 ALL D90</v>
      </c>
      <c r="B409" s="7">
        <f t="shared" si="27"/>
        <v>46114</v>
      </c>
      <c r="C409" s="7">
        <f t="shared" si="25"/>
        <v>46120</v>
      </c>
      <c r="D409" s="6">
        <v>3280</v>
      </c>
      <c r="E409" s="6">
        <v>337</v>
      </c>
      <c r="F409" s="6">
        <v>4</v>
      </c>
      <c r="G409" s="15">
        <v>1</v>
      </c>
      <c r="H409" s="15"/>
      <c r="I409" s="15" t="s">
        <v>1505</v>
      </c>
      <c r="J409" s="15">
        <v>74585803</v>
      </c>
      <c r="K409" s="15" t="s">
        <v>2469</v>
      </c>
      <c r="L409" s="15" t="s">
        <v>2474</v>
      </c>
      <c r="M409" s="15">
        <v>239900</v>
      </c>
      <c r="N409" s="9">
        <f t="shared" si="28"/>
        <v>0.9</v>
      </c>
      <c r="O409" s="8">
        <f t="shared" si="26"/>
        <v>23990</v>
      </c>
      <c r="P409" s="6" t="s">
        <v>15</v>
      </c>
    </row>
    <row r="410" spans="1:16" x14ac:dyDescent="0.25">
      <c r="A410" s="7" t="str">
        <f t="shared" si="27"/>
        <v>2022 ALL D90</v>
      </c>
      <c r="B410" s="7">
        <f t="shared" si="27"/>
        <v>46114</v>
      </c>
      <c r="C410" s="7">
        <f t="shared" si="25"/>
        <v>46120</v>
      </c>
      <c r="D410" s="6">
        <v>3280</v>
      </c>
      <c r="E410" s="6">
        <v>337</v>
      </c>
      <c r="F410" s="6">
        <v>4</v>
      </c>
      <c r="G410" s="15">
        <v>1</v>
      </c>
      <c r="H410" s="15"/>
      <c r="I410" s="15" t="s">
        <v>1505</v>
      </c>
      <c r="J410" s="15">
        <v>74585812</v>
      </c>
      <c r="K410" s="15" t="s">
        <v>2469</v>
      </c>
      <c r="L410" s="15" t="s">
        <v>2475</v>
      </c>
      <c r="M410" s="15">
        <v>239900</v>
      </c>
      <c r="N410" s="9">
        <f t="shared" si="28"/>
        <v>0.9</v>
      </c>
      <c r="O410" s="8">
        <f t="shared" si="26"/>
        <v>23990</v>
      </c>
      <c r="P410" s="6" t="s">
        <v>15</v>
      </c>
    </row>
    <row r="411" spans="1:16" x14ac:dyDescent="0.25">
      <c r="A411" s="7" t="str">
        <f t="shared" si="27"/>
        <v>2022 ALL D90</v>
      </c>
      <c r="B411" s="7">
        <f t="shared" si="27"/>
        <v>46114</v>
      </c>
      <c r="C411" s="7">
        <f t="shared" si="25"/>
        <v>46120</v>
      </c>
      <c r="D411" s="6">
        <v>3280</v>
      </c>
      <c r="E411" s="6">
        <v>337</v>
      </c>
      <c r="F411" s="6">
        <v>4</v>
      </c>
      <c r="G411" s="15">
        <v>1</v>
      </c>
      <c r="H411" s="15"/>
      <c r="I411" s="15" t="s">
        <v>1505</v>
      </c>
      <c r="J411" s="15">
        <v>74670372</v>
      </c>
      <c r="K411" s="15" t="s">
        <v>2476</v>
      </c>
      <c r="L411" s="15" t="s">
        <v>2477</v>
      </c>
      <c r="M411" s="15">
        <v>219900</v>
      </c>
      <c r="N411" s="9">
        <f t="shared" si="28"/>
        <v>0.9</v>
      </c>
      <c r="O411" s="8">
        <f t="shared" si="26"/>
        <v>21990</v>
      </c>
      <c r="P411" s="6" t="s">
        <v>15</v>
      </c>
    </row>
    <row r="412" spans="1:16" x14ac:dyDescent="0.25">
      <c r="A412" s="7" t="str">
        <f t="shared" si="27"/>
        <v>2022 ALL D90</v>
      </c>
      <c r="B412" s="7">
        <f t="shared" si="27"/>
        <v>46114</v>
      </c>
      <c r="C412" s="7">
        <f t="shared" si="25"/>
        <v>46120</v>
      </c>
      <c r="D412" s="6">
        <v>3280</v>
      </c>
      <c r="E412" s="6">
        <v>337</v>
      </c>
      <c r="F412" s="6">
        <v>4</v>
      </c>
      <c r="G412" s="15">
        <v>1</v>
      </c>
      <c r="H412" s="15"/>
      <c r="I412" s="15" t="s">
        <v>1505</v>
      </c>
      <c r="J412" s="15">
        <v>74670381</v>
      </c>
      <c r="K412" s="15" t="s">
        <v>2476</v>
      </c>
      <c r="L412" s="15" t="s">
        <v>2478</v>
      </c>
      <c r="M412" s="15">
        <v>219900</v>
      </c>
      <c r="N412" s="9">
        <f t="shared" si="28"/>
        <v>0.9</v>
      </c>
      <c r="O412" s="8">
        <f t="shared" si="26"/>
        <v>21990</v>
      </c>
      <c r="P412" s="6" t="s">
        <v>15</v>
      </c>
    </row>
    <row r="413" spans="1:16" x14ac:dyDescent="0.25">
      <c r="A413" s="7" t="str">
        <f t="shared" si="27"/>
        <v>2022 ALL D90</v>
      </c>
      <c r="B413" s="7">
        <f t="shared" si="27"/>
        <v>46114</v>
      </c>
      <c r="C413" s="7">
        <f t="shared" si="25"/>
        <v>46120</v>
      </c>
      <c r="D413" s="6">
        <v>3280</v>
      </c>
      <c r="E413" s="6">
        <v>337</v>
      </c>
      <c r="F413" s="6">
        <v>4</v>
      </c>
      <c r="G413" s="15">
        <v>1</v>
      </c>
      <c r="H413" s="15"/>
      <c r="I413" s="15" t="s">
        <v>1505</v>
      </c>
      <c r="J413" s="15">
        <v>74670390</v>
      </c>
      <c r="K413" s="15" t="s">
        <v>2476</v>
      </c>
      <c r="L413" s="15" t="s">
        <v>2479</v>
      </c>
      <c r="M413" s="15">
        <v>219900</v>
      </c>
      <c r="N413" s="9">
        <f t="shared" si="28"/>
        <v>0.9</v>
      </c>
      <c r="O413" s="8">
        <f t="shared" si="26"/>
        <v>21990</v>
      </c>
      <c r="P413" s="6" t="s">
        <v>15</v>
      </c>
    </row>
    <row r="414" spans="1:16" x14ac:dyDescent="0.25">
      <c r="A414" s="7" t="str">
        <f t="shared" si="27"/>
        <v>2022 ALL D90</v>
      </c>
      <c r="B414" s="7">
        <f t="shared" si="27"/>
        <v>46114</v>
      </c>
      <c r="C414" s="7">
        <f t="shared" si="25"/>
        <v>46120</v>
      </c>
      <c r="D414" s="6">
        <v>3280</v>
      </c>
      <c r="E414" s="6">
        <v>337</v>
      </c>
      <c r="F414" s="6">
        <v>4</v>
      </c>
      <c r="G414" s="15">
        <v>1</v>
      </c>
      <c r="H414" s="15"/>
      <c r="I414" s="15" t="s">
        <v>1505</v>
      </c>
      <c r="J414" s="15">
        <v>74670407</v>
      </c>
      <c r="K414" s="15" t="s">
        <v>2476</v>
      </c>
      <c r="L414" s="15" t="s">
        <v>2480</v>
      </c>
      <c r="M414" s="15">
        <v>229900</v>
      </c>
      <c r="N414" s="9">
        <f t="shared" si="28"/>
        <v>0.9</v>
      </c>
      <c r="O414" s="8">
        <f t="shared" si="26"/>
        <v>22990</v>
      </c>
      <c r="P414" s="6" t="s">
        <v>15</v>
      </c>
    </row>
    <row r="415" spans="1:16" x14ac:dyDescent="0.25">
      <c r="A415" s="7" t="str">
        <f t="shared" si="27"/>
        <v>2022 ALL D90</v>
      </c>
      <c r="B415" s="7">
        <f t="shared" si="27"/>
        <v>46114</v>
      </c>
      <c r="C415" s="7">
        <f t="shared" si="25"/>
        <v>46120</v>
      </c>
      <c r="D415" s="6">
        <v>3280</v>
      </c>
      <c r="E415" s="6">
        <v>337</v>
      </c>
      <c r="F415" s="6">
        <v>4</v>
      </c>
      <c r="G415" s="15">
        <v>1</v>
      </c>
      <c r="H415" s="15"/>
      <c r="I415" s="15" t="s">
        <v>1505</v>
      </c>
      <c r="J415" s="15">
        <v>75659937</v>
      </c>
      <c r="K415" s="15" t="s">
        <v>2378</v>
      </c>
      <c r="L415" s="15" t="s">
        <v>2379</v>
      </c>
      <c r="M415" s="16">
        <v>259900</v>
      </c>
      <c r="N415" s="9">
        <f t="shared" si="28"/>
        <v>0.9</v>
      </c>
      <c r="O415" s="8">
        <f t="shared" si="26"/>
        <v>25990</v>
      </c>
      <c r="P415" s="6" t="s">
        <v>15</v>
      </c>
    </row>
    <row r="416" spans="1:16" x14ac:dyDescent="0.25">
      <c r="A416" s="7" t="str">
        <f t="shared" si="27"/>
        <v>2022 ALL D90</v>
      </c>
      <c r="B416" s="7">
        <f t="shared" si="27"/>
        <v>46114</v>
      </c>
      <c r="C416" s="7">
        <f t="shared" si="25"/>
        <v>46120</v>
      </c>
      <c r="D416" s="6">
        <v>3280</v>
      </c>
      <c r="E416" s="6">
        <v>337</v>
      </c>
      <c r="F416" s="6">
        <v>4</v>
      </c>
      <c r="G416" s="15">
        <v>1</v>
      </c>
      <c r="H416" s="15"/>
      <c r="I416" s="15" t="s">
        <v>1505</v>
      </c>
      <c r="J416" s="15">
        <v>75659946</v>
      </c>
      <c r="K416" s="15" t="s">
        <v>2378</v>
      </c>
      <c r="L416" s="15" t="s">
        <v>2380</v>
      </c>
      <c r="M416" s="16">
        <v>259900</v>
      </c>
      <c r="N416" s="9">
        <f t="shared" si="28"/>
        <v>0.9</v>
      </c>
      <c r="O416" s="8">
        <f t="shared" si="26"/>
        <v>25990</v>
      </c>
      <c r="P416" s="6" t="s">
        <v>15</v>
      </c>
    </row>
    <row r="417" spans="1:16" x14ac:dyDescent="0.25">
      <c r="A417" s="7" t="str">
        <f t="shared" si="27"/>
        <v>2022 ALL D90</v>
      </c>
      <c r="B417" s="7">
        <f t="shared" si="27"/>
        <v>46114</v>
      </c>
      <c r="C417" s="7">
        <f t="shared" si="25"/>
        <v>46120</v>
      </c>
      <c r="D417" s="6">
        <v>3280</v>
      </c>
      <c r="E417" s="6">
        <v>337</v>
      </c>
      <c r="F417" s="6">
        <v>4</v>
      </c>
      <c r="G417" s="15">
        <v>1</v>
      </c>
      <c r="H417" s="15"/>
      <c r="I417" s="15" t="s">
        <v>1505</v>
      </c>
      <c r="J417" s="15">
        <v>75659955</v>
      </c>
      <c r="K417" s="15" t="s">
        <v>2378</v>
      </c>
      <c r="L417" s="15" t="s">
        <v>2381</v>
      </c>
      <c r="M417" s="16">
        <v>259900</v>
      </c>
      <c r="N417" s="9">
        <f t="shared" si="28"/>
        <v>0.9</v>
      </c>
      <c r="O417" s="8">
        <f t="shared" si="26"/>
        <v>25990</v>
      </c>
      <c r="P417" s="6" t="s">
        <v>15</v>
      </c>
    </row>
    <row r="418" spans="1:16" x14ac:dyDescent="0.25">
      <c r="A418" s="7" t="str">
        <f t="shared" si="27"/>
        <v>2022 ALL D90</v>
      </c>
      <c r="B418" s="7">
        <f t="shared" si="27"/>
        <v>46114</v>
      </c>
      <c r="C418" s="7">
        <f t="shared" si="25"/>
        <v>46120</v>
      </c>
      <c r="D418" s="6">
        <v>3280</v>
      </c>
      <c r="E418" s="6">
        <v>337</v>
      </c>
      <c r="F418" s="6">
        <v>4</v>
      </c>
      <c r="G418" s="15">
        <v>1</v>
      </c>
      <c r="H418" s="15"/>
      <c r="I418" s="15" t="s">
        <v>1505</v>
      </c>
      <c r="J418" s="15">
        <v>75659964</v>
      </c>
      <c r="K418" s="15" t="s">
        <v>2378</v>
      </c>
      <c r="L418" s="15" t="s">
        <v>2382</v>
      </c>
      <c r="M418" s="16">
        <v>269900</v>
      </c>
      <c r="N418" s="9">
        <f t="shared" si="28"/>
        <v>0.9</v>
      </c>
      <c r="O418" s="8">
        <f t="shared" si="26"/>
        <v>26990</v>
      </c>
      <c r="P418" s="6" t="s">
        <v>15</v>
      </c>
    </row>
    <row r="419" spans="1:16" x14ac:dyDescent="0.25">
      <c r="A419" s="7" t="str">
        <f t="shared" si="27"/>
        <v>2022 ALL D90</v>
      </c>
      <c r="B419" s="7">
        <f t="shared" si="27"/>
        <v>46114</v>
      </c>
      <c r="C419" s="7">
        <f t="shared" si="27"/>
        <v>46120</v>
      </c>
      <c r="D419" s="6">
        <v>3280</v>
      </c>
      <c r="E419" s="6">
        <v>337</v>
      </c>
      <c r="F419" s="6">
        <v>4</v>
      </c>
      <c r="G419" s="15">
        <v>1</v>
      </c>
      <c r="H419" s="15"/>
      <c r="I419" s="15" t="s">
        <v>1505</v>
      </c>
      <c r="J419" s="15">
        <v>75659973</v>
      </c>
      <c r="K419" s="15" t="s">
        <v>2378</v>
      </c>
      <c r="L419" s="15" t="s">
        <v>2383</v>
      </c>
      <c r="M419" s="16">
        <v>269900</v>
      </c>
      <c r="N419" s="9">
        <f t="shared" si="28"/>
        <v>0.9</v>
      </c>
      <c r="O419" s="8">
        <f t="shared" si="26"/>
        <v>26990</v>
      </c>
      <c r="P419" s="6" t="s">
        <v>15</v>
      </c>
    </row>
    <row r="420" spans="1:16" x14ac:dyDescent="0.25">
      <c r="A420" s="7" t="str">
        <f t="shared" si="27"/>
        <v>2022 ALL D90</v>
      </c>
      <c r="B420" s="7">
        <f t="shared" si="27"/>
        <v>46114</v>
      </c>
      <c r="C420" s="7">
        <f t="shared" si="27"/>
        <v>46120</v>
      </c>
      <c r="D420" s="6">
        <v>3280</v>
      </c>
      <c r="E420" s="6">
        <v>337</v>
      </c>
      <c r="F420" s="6">
        <v>4</v>
      </c>
      <c r="G420" s="15">
        <v>1</v>
      </c>
      <c r="H420" s="15"/>
      <c r="I420" s="15" t="s">
        <v>1505</v>
      </c>
      <c r="J420" s="15">
        <v>75659982</v>
      </c>
      <c r="K420" s="15" t="s">
        <v>2378</v>
      </c>
      <c r="L420" s="15" t="s">
        <v>2384</v>
      </c>
      <c r="M420" s="16">
        <v>269900</v>
      </c>
      <c r="N420" s="9">
        <f t="shared" si="28"/>
        <v>0.9</v>
      </c>
      <c r="O420" s="8">
        <f t="shared" si="26"/>
        <v>26990</v>
      </c>
      <c r="P420" s="6" t="s">
        <v>15</v>
      </c>
    </row>
    <row r="421" spans="1:16" x14ac:dyDescent="0.25">
      <c r="A421" s="7" t="str">
        <f t="shared" si="27"/>
        <v>2022 ALL D90</v>
      </c>
      <c r="B421" s="7">
        <f t="shared" si="27"/>
        <v>46114</v>
      </c>
      <c r="C421" s="7">
        <f t="shared" si="27"/>
        <v>46120</v>
      </c>
      <c r="D421" s="6">
        <v>3280</v>
      </c>
      <c r="E421" s="6">
        <v>337</v>
      </c>
      <c r="F421" s="6">
        <v>4</v>
      </c>
      <c r="G421" s="15">
        <v>1</v>
      </c>
      <c r="H421" s="15"/>
      <c r="I421" s="15" t="s">
        <v>1505</v>
      </c>
      <c r="J421" s="15">
        <v>75766991</v>
      </c>
      <c r="K421" s="15" t="s">
        <v>2371</v>
      </c>
      <c r="L421" s="15" t="s">
        <v>2372</v>
      </c>
      <c r="M421" s="16">
        <v>219900</v>
      </c>
      <c r="N421" s="9">
        <f t="shared" si="28"/>
        <v>0.9</v>
      </c>
      <c r="O421" s="8">
        <f t="shared" si="26"/>
        <v>21990</v>
      </c>
      <c r="P421" s="6" t="s">
        <v>15</v>
      </c>
    </row>
    <row r="422" spans="1:16" x14ac:dyDescent="0.25">
      <c r="A422" s="7" t="str">
        <f t="shared" si="27"/>
        <v>2022 ALL D90</v>
      </c>
      <c r="B422" s="7">
        <f t="shared" si="27"/>
        <v>46114</v>
      </c>
      <c r="C422" s="7">
        <f t="shared" si="27"/>
        <v>46120</v>
      </c>
      <c r="D422" s="6">
        <v>3280</v>
      </c>
      <c r="E422" s="6">
        <v>337</v>
      </c>
      <c r="F422" s="6">
        <v>4</v>
      </c>
      <c r="G422" s="15">
        <v>1</v>
      </c>
      <c r="H422" s="15"/>
      <c r="I422" s="15" t="s">
        <v>1505</v>
      </c>
      <c r="J422" s="15">
        <v>75767007</v>
      </c>
      <c r="K422" s="15" t="s">
        <v>2371</v>
      </c>
      <c r="L422" s="15" t="s">
        <v>2373</v>
      </c>
      <c r="M422" s="16">
        <v>219900</v>
      </c>
      <c r="N422" s="9">
        <f t="shared" si="28"/>
        <v>0.9</v>
      </c>
      <c r="O422" s="8">
        <f t="shared" si="26"/>
        <v>21990</v>
      </c>
      <c r="P422" s="6" t="s">
        <v>15</v>
      </c>
    </row>
    <row r="423" spans="1:16" x14ac:dyDescent="0.25">
      <c r="A423" s="7" t="str">
        <f t="shared" si="27"/>
        <v>2022 ALL D90</v>
      </c>
      <c r="B423" s="7">
        <f t="shared" si="27"/>
        <v>46114</v>
      </c>
      <c r="C423" s="7">
        <f t="shared" si="27"/>
        <v>46120</v>
      </c>
      <c r="D423" s="6">
        <v>3280</v>
      </c>
      <c r="E423" s="6">
        <v>337</v>
      </c>
      <c r="F423" s="6">
        <v>4</v>
      </c>
      <c r="G423" s="15">
        <v>1</v>
      </c>
      <c r="H423" s="15"/>
      <c r="I423" s="15" t="s">
        <v>1505</v>
      </c>
      <c r="J423" s="15">
        <v>75767016</v>
      </c>
      <c r="K423" s="15" t="s">
        <v>2371</v>
      </c>
      <c r="L423" s="15" t="s">
        <v>2374</v>
      </c>
      <c r="M423" s="16">
        <v>219900</v>
      </c>
      <c r="N423" s="9">
        <f t="shared" si="28"/>
        <v>0.9</v>
      </c>
      <c r="O423" s="8">
        <f t="shared" si="26"/>
        <v>21990</v>
      </c>
      <c r="P423" s="6" t="s">
        <v>15</v>
      </c>
    </row>
    <row r="424" spans="1:16" x14ac:dyDescent="0.25">
      <c r="A424" s="7" t="str">
        <f t="shared" si="27"/>
        <v>2022 ALL D90</v>
      </c>
      <c r="B424" s="7">
        <f t="shared" si="27"/>
        <v>46114</v>
      </c>
      <c r="C424" s="7">
        <f t="shared" si="27"/>
        <v>46120</v>
      </c>
      <c r="D424" s="6">
        <v>3280</v>
      </c>
      <c r="E424" s="6">
        <v>337</v>
      </c>
      <c r="F424" s="6">
        <v>4</v>
      </c>
      <c r="G424" s="15">
        <v>1</v>
      </c>
      <c r="H424" s="15"/>
      <c r="I424" s="15" t="s">
        <v>1505</v>
      </c>
      <c r="J424" s="15">
        <v>75767025</v>
      </c>
      <c r="K424" s="15" t="s">
        <v>2371</v>
      </c>
      <c r="L424" s="15" t="s">
        <v>2375</v>
      </c>
      <c r="M424" s="16">
        <v>229900</v>
      </c>
      <c r="N424" s="9">
        <f t="shared" si="28"/>
        <v>0.9</v>
      </c>
      <c r="O424" s="8">
        <f t="shared" si="26"/>
        <v>22990</v>
      </c>
      <c r="P424" s="6" t="s">
        <v>15</v>
      </c>
    </row>
    <row r="425" spans="1:16" x14ac:dyDescent="0.25">
      <c r="A425" s="7" t="str">
        <f t="shared" si="27"/>
        <v>2022 ALL D90</v>
      </c>
      <c r="B425" s="7">
        <f t="shared" si="27"/>
        <v>46114</v>
      </c>
      <c r="C425" s="7">
        <f t="shared" si="27"/>
        <v>46120</v>
      </c>
      <c r="D425" s="6">
        <v>3280</v>
      </c>
      <c r="E425" s="6">
        <v>337</v>
      </c>
      <c r="F425" s="6">
        <v>4</v>
      </c>
      <c r="G425" s="15">
        <v>1</v>
      </c>
      <c r="H425" s="15"/>
      <c r="I425" s="15" t="s">
        <v>1505</v>
      </c>
      <c r="J425" s="15">
        <v>75767034</v>
      </c>
      <c r="K425" s="15" t="s">
        <v>2371</v>
      </c>
      <c r="L425" s="15" t="s">
        <v>2376</v>
      </c>
      <c r="M425" s="16">
        <v>229900</v>
      </c>
      <c r="N425" s="9">
        <f t="shared" si="28"/>
        <v>0.9</v>
      </c>
      <c r="O425" s="8">
        <f t="shared" si="26"/>
        <v>22990</v>
      </c>
      <c r="P425" s="6" t="s">
        <v>15</v>
      </c>
    </row>
    <row r="426" spans="1:16" x14ac:dyDescent="0.25">
      <c r="A426" s="7" t="str">
        <f t="shared" si="27"/>
        <v>2022 ALL D90</v>
      </c>
      <c r="B426" s="7">
        <f t="shared" si="27"/>
        <v>46114</v>
      </c>
      <c r="C426" s="7">
        <f t="shared" si="27"/>
        <v>46120</v>
      </c>
      <c r="D426" s="6">
        <v>3280</v>
      </c>
      <c r="E426" s="6">
        <v>337</v>
      </c>
      <c r="F426" s="6">
        <v>4</v>
      </c>
      <c r="G426" s="15">
        <v>1</v>
      </c>
      <c r="H426" s="15"/>
      <c r="I426" s="15" t="s">
        <v>1505</v>
      </c>
      <c r="J426" s="15">
        <v>75767043</v>
      </c>
      <c r="K426" s="15" t="s">
        <v>2371</v>
      </c>
      <c r="L426" s="15" t="s">
        <v>2377</v>
      </c>
      <c r="M426" s="16">
        <v>229900</v>
      </c>
      <c r="N426" s="9">
        <f t="shared" si="28"/>
        <v>0.9</v>
      </c>
      <c r="O426" s="8">
        <f t="shared" si="26"/>
        <v>22990</v>
      </c>
      <c r="P426" s="6" t="s">
        <v>15</v>
      </c>
    </row>
    <row r="427" spans="1:16" x14ac:dyDescent="0.25">
      <c r="A427" s="7" t="str">
        <f t="shared" si="27"/>
        <v>2022 ALL D90</v>
      </c>
      <c r="B427" s="7">
        <f t="shared" si="27"/>
        <v>46114</v>
      </c>
      <c r="C427" s="7">
        <f t="shared" si="27"/>
        <v>46120</v>
      </c>
      <c r="D427" s="6">
        <v>3280</v>
      </c>
      <c r="E427" s="6">
        <v>337</v>
      </c>
      <c r="F427" s="6">
        <v>4</v>
      </c>
      <c r="G427" s="15">
        <v>1</v>
      </c>
      <c r="H427" s="15"/>
      <c r="I427" s="15" t="s">
        <v>1505</v>
      </c>
      <c r="J427" s="15">
        <v>75660078</v>
      </c>
      <c r="K427" s="15" t="s">
        <v>2502</v>
      </c>
      <c r="L427" s="15" t="s">
        <v>2503</v>
      </c>
      <c r="M427" s="16">
        <v>229900</v>
      </c>
      <c r="N427" s="9">
        <f t="shared" si="28"/>
        <v>0.9</v>
      </c>
      <c r="O427" s="8">
        <f t="shared" si="26"/>
        <v>22990</v>
      </c>
      <c r="P427" s="6" t="s">
        <v>15</v>
      </c>
    </row>
    <row r="428" spans="1:16" x14ac:dyDescent="0.25">
      <c r="A428" s="7" t="str">
        <f t="shared" si="27"/>
        <v>2022 ALL D90</v>
      </c>
      <c r="B428" s="7">
        <f t="shared" si="27"/>
        <v>46114</v>
      </c>
      <c r="C428" s="7">
        <f t="shared" si="27"/>
        <v>46120</v>
      </c>
      <c r="D428" s="6">
        <v>3280</v>
      </c>
      <c r="E428" s="6">
        <v>337</v>
      </c>
      <c r="F428" s="6">
        <v>4</v>
      </c>
      <c r="G428" s="15">
        <v>1</v>
      </c>
      <c r="H428" s="15"/>
      <c r="I428" s="15" t="s">
        <v>1505</v>
      </c>
      <c r="J428" s="15">
        <v>75660087</v>
      </c>
      <c r="K428" s="15" t="s">
        <v>2502</v>
      </c>
      <c r="L428" s="15" t="s">
        <v>2504</v>
      </c>
      <c r="M428" s="16">
        <v>229900</v>
      </c>
      <c r="N428" s="9">
        <f t="shared" si="28"/>
        <v>0.9</v>
      </c>
      <c r="O428" s="8">
        <f t="shared" si="26"/>
        <v>22990</v>
      </c>
      <c r="P428" s="6" t="s">
        <v>15</v>
      </c>
    </row>
    <row r="429" spans="1:16" x14ac:dyDescent="0.25">
      <c r="A429" s="7" t="str">
        <f t="shared" si="27"/>
        <v>2022 ALL D90</v>
      </c>
      <c r="B429" s="7">
        <f t="shared" si="27"/>
        <v>46114</v>
      </c>
      <c r="C429" s="7">
        <f t="shared" si="27"/>
        <v>46120</v>
      </c>
      <c r="D429" s="6">
        <v>3280</v>
      </c>
      <c r="E429" s="6">
        <v>337</v>
      </c>
      <c r="F429" s="6">
        <v>4</v>
      </c>
      <c r="G429" s="15">
        <v>1</v>
      </c>
      <c r="H429" s="15"/>
      <c r="I429" s="15" t="s">
        <v>1505</v>
      </c>
      <c r="J429" s="15">
        <v>75660096</v>
      </c>
      <c r="K429" s="15" t="s">
        <v>2502</v>
      </c>
      <c r="L429" s="15" t="s">
        <v>2505</v>
      </c>
      <c r="M429" s="16">
        <v>229900</v>
      </c>
      <c r="N429" s="9">
        <f t="shared" si="28"/>
        <v>0.9</v>
      </c>
      <c r="O429" s="8">
        <f t="shared" si="26"/>
        <v>22990</v>
      </c>
      <c r="P429" s="6" t="s">
        <v>15</v>
      </c>
    </row>
    <row r="430" spans="1:16" x14ac:dyDescent="0.25">
      <c r="A430" s="7" t="str">
        <f t="shared" si="27"/>
        <v>2022 ALL D90</v>
      </c>
      <c r="B430" s="7">
        <f t="shared" si="27"/>
        <v>46114</v>
      </c>
      <c r="C430" s="7">
        <f t="shared" si="27"/>
        <v>46120</v>
      </c>
      <c r="D430" s="6">
        <v>3280</v>
      </c>
      <c r="E430" s="6">
        <v>337</v>
      </c>
      <c r="F430" s="6">
        <v>4</v>
      </c>
      <c r="G430" s="15">
        <v>1</v>
      </c>
      <c r="H430" s="15"/>
      <c r="I430" s="15" t="s">
        <v>1505</v>
      </c>
      <c r="J430" s="15">
        <v>75660103</v>
      </c>
      <c r="K430" s="15" t="s">
        <v>2502</v>
      </c>
      <c r="L430" s="15" t="s">
        <v>2506</v>
      </c>
      <c r="M430" s="16">
        <v>239900</v>
      </c>
      <c r="N430" s="9">
        <f t="shared" si="28"/>
        <v>0.9</v>
      </c>
      <c r="O430" s="8">
        <f t="shared" si="26"/>
        <v>23990</v>
      </c>
      <c r="P430" s="6" t="s">
        <v>15</v>
      </c>
    </row>
    <row r="431" spans="1:16" x14ac:dyDescent="0.25">
      <c r="A431" s="7" t="str">
        <f t="shared" si="27"/>
        <v>2022 ALL D90</v>
      </c>
      <c r="B431" s="7">
        <f t="shared" si="27"/>
        <v>46114</v>
      </c>
      <c r="C431" s="7">
        <f t="shared" si="27"/>
        <v>46120</v>
      </c>
      <c r="D431" s="6">
        <v>3280</v>
      </c>
      <c r="E431" s="6">
        <v>337</v>
      </c>
      <c r="F431" s="6">
        <v>4</v>
      </c>
      <c r="G431" s="15">
        <v>1</v>
      </c>
      <c r="H431" s="15"/>
      <c r="I431" s="15" t="s">
        <v>1505</v>
      </c>
      <c r="J431" s="15">
        <v>75660112</v>
      </c>
      <c r="K431" s="15" t="s">
        <v>2502</v>
      </c>
      <c r="L431" s="15" t="s">
        <v>2507</v>
      </c>
      <c r="M431" s="16">
        <v>239900</v>
      </c>
      <c r="N431" s="9">
        <f t="shared" si="28"/>
        <v>0.9</v>
      </c>
      <c r="O431" s="8">
        <f t="shared" si="26"/>
        <v>23990</v>
      </c>
      <c r="P431" s="6" t="s">
        <v>15</v>
      </c>
    </row>
    <row r="432" spans="1:16" x14ac:dyDescent="0.25">
      <c r="A432" s="7" t="str">
        <f t="shared" si="27"/>
        <v>2022 ALL D90</v>
      </c>
      <c r="B432" s="7">
        <f t="shared" si="27"/>
        <v>46114</v>
      </c>
      <c r="C432" s="7">
        <f t="shared" si="27"/>
        <v>46120</v>
      </c>
      <c r="D432" s="6">
        <v>3280</v>
      </c>
      <c r="E432" s="6">
        <v>337</v>
      </c>
      <c r="F432" s="6">
        <v>4</v>
      </c>
      <c r="G432" s="15">
        <v>1</v>
      </c>
      <c r="H432" s="15"/>
      <c r="I432" s="15" t="s">
        <v>1505</v>
      </c>
      <c r="J432" s="15">
        <v>74585643</v>
      </c>
      <c r="K432" s="15" t="s">
        <v>2488</v>
      </c>
      <c r="L432" s="15" t="s">
        <v>2489</v>
      </c>
      <c r="M432" s="16">
        <v>229900</v>
      </c>
      <c r="N432" s="9">
        <f t="shared" si="28"/>
        <v>0.9</v>
      </c>
      <c r="O432" s="8">
        <f t="shared" si="26"/>
        <v>22990</v>
      </c>
      <c r="P432" s="6" t="s">
        <v>15</v>
      </c>
    </row>
    <row r="433" spans="1:16" x14ac:dyDescent="0.25">
      <c r="A433" s="7" t="str">
        <f t="shared" si="27"/>
        <v>2022 ALL D90</v>
      </c>
      <c r="B433" s="7">
        <f t="shared" si="27"/>
        <v>46114</v>
      </c>
      <c r="C433" s="7">
        <f t="shared" si="27"/>
        <v>46120</v>
      </c>
      <c r="D433" s="6">
        <v>3280</v>
      </c>
      <c r="E433" s="6">
        <v>337</v>
      </c>
      <c r="F433" s="6">
        <v>4</v>
      </c>
      <c r="G433" s="15">
        <v>1</v>
      </c>
      <c r="H433" s="15"/>
      <c r="I433" s="15" t="s">
        <v>1505</v>
      </c>
      <c r="J433" s="15">
        <v>74585652</v>
      </c>
      <c r="K433" s="15" t="s">
        <v>2488</v>
      </c>
      <c r="L433" s="15" t="s">
        <v>2490</v>
      </c>
      <c r="M433" s="16">
        <v>229900</v>
      </c>
      <c r="N433" s="9">
        <f t="shared" si="28"/>
        <v>0.9</v>
      </c>
      <c r="O433" s="8">
        <f t="shared" si="26"/>
        <v>22990</v>
      </c>
      <c r="P433" s="6" t="s">
        <v>15</v>
      </c>
    </row>
    <row r="434" spans="1:16" x14ac:dyDescent="0.25">
      <c r="A434" s="7" t="str">
        <f t="shared" si="27"/>
        <v>2022 ALL D90</v>
      </c>
      <c r="B434" s="7">
        <f t="shared" si="27"/>
        <v>46114</v>
      </c>
      <c r="C434" s="7">
        <f t="shared" si="27"/>
        <v>46120</v>
      </c>
      <c r="D434" s="6">
        <v>3280</v>
      </c>
      <c r="E434" s="6">
        <v>337</v>
      </c>
      <c r="F434" s="6">
        <v>4</v>
      </c>
      <c r="G434" s="15">
        <v>1</v>
      </c>
      <c r="H434" s="15"/>
      <c r="I434" s="15" t="s">
        <v>1505</v>
      </c>
      <c r="J434" s="15">
        <v>74585661</v>
      </c>
      <c r="K434" s="15" t="s">
        <v>2488</v>
      </c>
      <c r="L434" s="15" t="s">
        <v>2491</v>
      </c>
      <c r="M434" s="16">
        <v>229900</v>
      </c>
      <c r="N434" s="9">
        <f t="shared" si="28"/>
        <v>0.9</v>
      </c>
      <c r="O434" s="8">
        <f t="shared" si="26"/>
        <v>22990</v>
      </c>
      <c r="P434" s="6" t="s">
        <v>15</v>
      </c>
    </row>
    <row r="435" spans="1:16" x14ac:dyDescent="0.25">
      <c r="A435" s="7" t="str">
        <f t="shared" si="27"/>
        <v>2022 ALL D90</v>
      </c>
      <c r="B435" s="7">
        <f t="shared" ref="B435:B498" si="29">B434</f>
        <v>46114</v>
      </c>
      <c r="C435" s="7">
        <f t="shared" ref="C435:C498" si="30">C434</f>
        <v>46120</v>
      </c>
      <c r="D435" s="6">
        <v>3280</v>
      </c>
      <c r="E435" s="6">
        <v>337</v>
      </c>
      <c r="F435" s="6">
        <v>4</v>
      </c>
      <c r="G435" s="15">
        <v>1</v>
      </c>
      <c r="H435" s="15"/>
      <c r="I435" s="15" t="s">
        <v>1505</v>
      </c>
      <c r="J435" s="15">
        <v>74585670</v>
      </c>
      <c r="K435" s="15" t="s">
        <v>2488</v>
      </c>
      <c r="L435" s="15" t="s">
        <v>2492</v>
      </c>
      <c r="M435" s="16">
        <v>239900</v>
      </c>
      <c r="N435" s="9">
        <f t="shared" si="28"/>
        <v>0.9</v>
      </c>
      <c r="O435" s="8">
        <f t="shared" si="26"/>
        <v>23990</v>
      </c>
      <c r="P435" s="6" t="s">
        <v>15</v>
      </c>
    </row>
    <row r="436" spans="1:16" x14ac:dyDescent="0.25">
      <c r="A436" s="7" t="str">
        <f t="shared" si="27"/>
        <v>2022 ALL D90</v>
      </c>
      <c r="B436" s="7">
        <f t="shared" si="29"/>
        <v>46114</v>
      </c>
      <c r="C436" s="7">
        <f t="shared" si="30"/>
        <v>46120</v>
      </c>
      <c r="D436" s="6">
        <v>3280</v>
      </c>
      <c r="E436" s="6">
        <v>337</v>
      </c>
      <c r="F436" s="6">
        <v>4</v>
      </c>
      <c r="G436" s="15">
        <v>1</v>
      </c>
      <c r="H436" s="15"/>
      <c r="I436" s="15" t="s">
        <v>1505</v>
      </c>
      <c r="J436" s="15">
        <v>74585689</v>
      </c>
      <c r="K436" s="15" t="s">
        <v>2488</v>
      </c>
      <c r="L436" s="15" t="s">
        <v>2493</v>
      </c>
      <c r="M436" s="16">
        <v>239900</v>
      </c>
      <c r="N436" s="9">
        <f t="shared" si="28"/>
        <v>0.9</v>
      </c>
      <c r="O436" s="8">
        <f t="shared" si="26"/>
        <v>23990</v>
      </c>
      <c r="P436" s="6" t="s">
        <v>15</v>
      </c>
    </row>
    <row r="437" spans="1:16" x14ac:dyDescent="0.25">
      <c r="A437" s="7" t="str">
        <f t="shared" si="27"/>
        <v>2022 ALL D90</v>
      </c>
      <c r="B437" s="7">
        <f t="shared" si="29"/>
        <v>46114</v>
      </c>
      <c r="C437" s="7">
        <f t="shared" si="30"/>
        <v>46120</v>
      </c>
      <c r="D437" s="6">
        <v>3280</v>
      </c>
      <c r="E437" s="6">
        <v>337</v>
      </c>
      <c r="F437" s="6">
        <v>4</v>
      </c>
      <c r="G437" s="15">
        <v>1</v>
      </c>
      <c r="H437" s="15"/>
      <c r="I437" s="15" t="s">
        <v>1505</v>
      </c>
      <c r="J437" s="15">
        <v>74585698</v>
      </c>
      <c r="K437" s="15" t="s">
        <v>2488</v>
      </c>
      <c r="L437" s="15" t="s">
        <v>2494</v>
      </c>
      <c r="M437" s="16">
        <v>239900</v>
      </c>
      <c r="N437" s="9">
        <f t="shared" si="28"/>
        <v>0.9</v>
      </c>
      <c r="O437" s="8">
        <f t="shared" si="26"/>
        <v>23990</v>
      </c>
      <c r="P437" s="6" t="s">
        <v>15</v>
      </c>
    </row>
    <row r="438" spans="1:16" x14ac:dyDescent="0.25">
      <c r="A438" s="7" t="str">
        <f t="shared" si="27"/>
        <v>2022 ALL D90</v>
      </c>
      <c r="B438" s="7">
        <f t="shared" si="29"/>
        <v>46114</v>
      </c>
      <c r="C438" s="7">
        <f t="shared" si="30"/>
        <v>46120</v>
      </c>
      <c r="D438" s="6">
        <v>3280</v>
      </c>
      <c r="E438" s="6">
        <v>337</v>
      </c>
      <c r="F438" s="6">
        <v>4</v>
      </c>
      <c r="G438" s="15">
        <v>1</v>
      </c>
      <c r="H438" s="15"/>
      <c r="I438" s="15" t="s">
        <v>1505</v>
      </c>
      <c r="J438" s="15">
        <v>74585705</v>
      </c>
      <c r="K438" s="15" t="s">
        <v>2508</v>
      </c>
      <c r="L438" s="15" t="s">
        <v>2509</v>
      </c>
      <c r="M438" s="16">
        <v>229900</v>
      </c>
      <c r="N438" s="9">
        <f t="shared" si="28"/>
        <v>0.9</v>
      </c>
      <c r="O438" s="8">
        <f t="shared" si="26"/>
        <v>22990</v>
      </c>
      <c r="P438" s="6" t="s">
        <v>15</v>
      </c>
    </row>
    <row r="439" spans="1:16" x14ac:dyDescent="0.25">
      <c r="A439" s="7" t="str">
        <f t="shared" si="27"/>
        <v>2022 ALL D90</v>
      </c>
      <c r="B439" s="7">
        <f t="shared" si="29"/>
        <v>46114</v>
      </c>
      <c r="C439" s="7">
        <f t="shared" si="30"/>
        <v>46120</v>
      </c>
      <c r="D439" s="6">
        <v>3280</v>
      </c>
      <c r="E439" s="6">
        <v>337</v>
      </c>
      <c r="F439" s="6">
        <v>4</v>
      </c>
      <c r="G439" s="15">
        <v>1</v>
      </c>
      <c r="H439" s="15"/>
      <c r="I439" s="15" t="s">
        <v>1505</v>
      </c>
      <c r="J439" s="15">
        <v>74585714</v>
      </c>
      <c r="K439" s="15" t="s">
        <v>2508</v>
      </c>
      <c r="L439" s="15" t="s">
        <v>2510</v>
      </c>
      <c r="M439" s="16">
        <v>229900</v>
      </c>
      <c r="N439" s="9">
        <f t="shared" si="28"/>
        <v>0.9</v>
      </c>
      <c r="O439" s="8">
        <f t="shared" si="26"/>
        <v>22990</v>
      </c>
      <c r="P439" s="6" t="s">
        <v>15</v>
      </c>
    </row>
    <row r="440" spans="1:16" x14ac:dyDescent="0.25">
      <c r="A440" s="7" t="str">
        <f t="shared" si="27"/>
        <v>2022 ALL D90</v>
      </c>
      <c r="B440" s="7">
        <f t="shared" si="29"/>
        <v>46114</v>
      </c>
      <c r="C440" s="7">
        <f t="shared" si="30"/>
        <v>46120</v>
      </c>
      <c r="D440" s="6">
        <v>3280</v>
      </c>
      <c r="E440" s="6">
        <v>337</v>
      </c>
      <c r="F440" s="6">
        <v>4</v>
      </c>
      <c r="G440" s="15">
        <v>1</v>
      </c>
      <c r="H440" s="15"/>
      <c r="I440" s="15" t="s">
        <v>1505</v>
      </c>
      <c r="J440" s="15">
        <v>74585723</v>
      </c>
      <c r="K440" s="15" t="s">
        <v>2508</v>
      </c>
      <c r="L440" s="15" t="s">
        <v>2511</v>
      </c>
      <c r="M440" s="16">
        <v>229900</v>
      </c>
      <c r="N440" s="9">
        <f t="shared" si="28"/>
        <v>0.9</v>
      </c>
      <c r="O440" s="8">
        <f t="shared" si="26"/>
        <v>22990</v>
      </c>
      <c r="P440" s="6" t="s">
        <v>15</v>
      </c>
    </row>
    <row r="441" spans="1:16" x14ac:dyDescent="0.25">
      <c r="A441" s="7" t="str">
        <f t="shared" si="27"/>
        <v>2022 ALL D90</v>
      </c>
      <c r="B441" s="7">
        <f t="shared" si="29"/>
        <v>46114</v>
      </c>
      <c r="C441" s="7">
        <f t="shared" si="30"/>
        <v>46120</v>
      </c>
      <c r="D441" s="6">
        <v>3280</v>
      </c>
      <c r="E441" s="6">
        <v>337</v>
      </c>
      <c r="F441" s="6">
        <v>4</v>
      </c>
      <c r="G441" s="15">
        <v>1</v>
      </c>
      <c r="H441" s="15"/>
      <c r="I441" s="15" t="s">
        <v>1505</v>
      </c>
      <c r="J441" s="15">
        <v>74585732</v>
      </c>
      <c r="K441" s="15" t="s">
        <v>2508</v>
      </c>
      <c r="L441" s="15" t="s">
        <v>2512</v>
      </c>
      <c r="M441" s="16">
        <v>239900</v>
      </c>
      <c r="N441" s="9">
        <f t="shared" si="28"/>
        <v>0.9</v>
      </c>
      <c r="O441" s="8">
        <f t="shared" si="26"/>
        <v>23990</v>
      </c>
      <c r="P441" s="6" t="s">
        <v>15</v>
      </c>
    </row>
    <row r="442" spans="1:16" x14ac:dyDescent="0.25">
      <c r="A442" s="7" t="str">
        <f t="shared" si="27"/>
        <v>2022 ALL D90</v>
      </c>
      <c r="B442" s="7">
        <f t="shared" si="29"/>
        <v>46114</v>
      </c>
      <c r="C442" s="7">
        <f t="shared" si="30"/>
        <v>46120</v>
      </c>
      <c r="D442" s="6">
        <v>3280</v>
      </c>
      <c r="E442" s="6">
        <v>337</v>
      </c>
      <c r="F442" s="6">
        <v>4</v>
      </c>
      <c r="G442" s="15">
        <v>1</v>
      </c>
      <c r="H442" s="15"/>
      <c r="I442" s="15" t="s">
        <v>1505</v>
      </c>
      <c r="J442" s="15">
        <v>74585741</v>
      </c>
      <c r="K442" s="15" t="s">
        <v>2508</v>
      </c>
      <c r="L442" s="15" t="s">
        <v>2513</v>
      </c>
      <c r="M442" s="16">
        <v>239900</v>
      </c>
      <c r="N442" s="9">
        <f t="shared" si="28"/>
        <v>0.9</v>
      </c>
      <c r="O442" s="8">
        <f t="shared" si="26"/>
        <v>23990</v>
      </c>
      <c r="P442" s="6" t="s">
        <v>15</v>
      </c>
    </row>
    <row r="443" spans="1:16" x14ac:dyDescent="0.25">
      <c r="A443" s="7" t="str">
        <f t="shared" si="27"/>
        <v>2022 ALL D90</v>
      </c>
      <c r="B443" s="7">
        <f t="shared" si="29"/>
        <v>46114</v>
      </c>
      <c r="C443" s="7">
        <f t="shared" si="30"/>
        <v>46120</v>
      </c>
      <c r="D443" s="6">
        <v>3280</v>
      </c>
      <c r="E443" s="6">
        <v>337</v>
      </c>
      <c r="F443" s="6">
        <v>4</v>
      </c>
      <c r="G443" s="15">
        <v>1</v>
      </c>
      <c r="H443" s="15"/>
      <c r="I443" s="15" t="s">
        <v>1505</v>
      </c>
      <c r="J443" s="15">
        <v>74585750</v>
      </c>
      <c r="K443" s="15" t="s">
        <v>2508</v>
      </c>
      <c r="L443" s="15" t="s">
        <v>2514</v>
      </c>
      <c r="M443" s="16">
        <v>239900</v>
      </c>
      <c r="N443" s="9">
        <f t="shared" si="28"/>
        <v>0.9</v>
      </c>
      <c r="O443" s="8">
        <f t="shared" si="26"/>
        <v>23990</v>
      </c>
      <c r="P443" s="6" t="s">
        <v>15</v>
      </c>
    </row>
    <row r="444" spans="1:16" x14ac:dyDescent="0.25">
      <c r="A444" s="7" t="str">
        <f t="shared" si="27"/>
        <v>2022 ALL D90</v>
      </c>
      <c r="B444" s="7">
        <f t="shared" si="29"/>
        <v>46114</v>
      </c>
      <c r="C444" s="7">
        <f t="shared" si="30"/>
        <v>46120</v>
      </c>
      <c r="D444" s="6">
        <v>3280</v>
      </c>
      <c r="E444" s="6">
        <v>337</v>
      </c>
      <c r="F444" s="6">
        <v>4</v>
      </c>
      <c r="G444" s="15">
        <v>1</v>
      </c>
      <c r="H444" s="15"/>
      <c r="I444" s="15" t="s">
        <v>1505</v>
      </c>
      <c r="J444" s="15">
        <v>75660210</v>
      </c>
      <c r="K444" s="15" t="s">
        <v>2515</v>
      </c>
      <c r="L444" s="15" t="s">
        <v>2516</v>
      </c>
      <c r="M444" s="16">
        <v>229900</v>
      </c>
      <c r="N444" s="9">
        <f t="shared" si="28"/>
        <v>0.9</v>
      </c>
      <c r="O444" s="8">
        <f t="shared" si="26"/>
        <v>22990</v>
      </c>
      <c r="P444" s="6" t="s">
        <v>15</v>
      </c>
    </row>
    <row r="445" spans="1:16" x14ac:dyDescent="0.25">
      <c r="A445" s="7" t="str">
        <f t="shared" si="27"/>
        <v>2022 ALL D90</v>
      </c>
      <c r="B445" s="7">
        <f t="shared" si="29"/>
        <v>46114</v>
      </c>
      <c r="C445" s="7">
        <f t="shared" si="30"/>
        <v>46120</v>
      </c>
      <c r="D445" s="6">
        <v>3280</v>
      </c>
      <c r="E445" s="6">
        <v>337</v>
      </c>
      <c r="F445" s="6">
        <v>4</v>
      </c>
      <c r="G445" s="15">
        <v>1</v>
      </c>
      <c r="H445" s="15"/>
      <c r="I445" s="15" t="s">
        <v>1505</v>
      </c>
      <c r="J445" s="15">
        <v>75660229</v>
      </c>
      <c r="K445" s="15" t="s">
        <v>2515</v>
      </c>
      <c r="L445" s="15" t="s">
        <v>2517</v>
      </c>
      <c r="M445" s="16">
        <v>229900</v>
      </c>
      <c r="N445" s="9">
        <f t="shared" si="28"/>
        <v>0.9</v>
      </c>
      <c r="O445" s="8">
        <f t="shared" si="26"/>
        <v>22990</v>
      </c>
      <c r="P445" s="6" t="s">
        <v>15</v>
      </c>
    </row>
    <row r="446" spans="1:16" x14ac:dyDescent="0.25">
      <c r="A446" s="7" t="str">
        <f t="shared" si="27"/>
        <v>2022 ALL D90</v>
      </c>
      <c r="B446" s="7">
        <f t="shared" si="29"/>
        <v>46114</v>
      </c>
      <c r="C446" s="7">
        <f t="shared" si="30"/>
        <v>46120</v>
      </c>
      <c r="D446" s="6">
        <v>3280</v>
      </c>
      <c r="E446" s="6">
        <v>337</v>
      </c>
      <c r="F446" s="6">
        <v>4</v>
      </c>
      <c r="G446" s="15">
        <v>1</v>
      </c>
      <c r="H446" s="15"/>
      <c r="I446" s="15" t="s">
        <v>1505</v>
      </c>
      <c r="J446" s="15">
        <v>75660238</v>
      </c>
      <c r="K446" s="15" t="s">
        <v>2515</v>
      </c>
      <c r="L446" s="15" t="s">
        <v>2518</v>
      </c>
      <c r="M446" s="16">
        <v>229900</v>
      </c>
      <c r="N446" s="9">
        <f t="shared" si="28"/>
        <v>0.9</v>
      </c>
      <c r="O446" s="8">
        <f t="shared" si="26"/>
        <v>22990</v>
      </c>
      <c r="P446" s="6" t="s">
        <v>15</v>
      </c>
    </row>
    <row r="447" spans="1:16" x14ac:dyDescent="0.25">
      <c r="A447" s="7" t="str">
        <f t="shared" si="27"/>
        <v>2022 ALL D90</v>
      </c>
      <c r="B447" s="7">
        <f t="shared" si="29"/>
        <v>46114</v>
      </c>
      <c r="C447" s="7">
        <f t="shared" si="30"/>
        <v>46120</v>
      </c>
      <c r="D447" s="6">
        <v>3280</v>
      </c>
      <c r="E447" s="6">
        <v>337</v>
      </c>
      <c r="F447" s="6">
        <v>4</v>
      </c>
      <c r="G447" s="15">
        <v>1</v>
      </c>
      <c r="H447" s="15"/>
      <c r="I447" s="15" t="s">
        <v>1505</v>
      </c>
      <c r="J447" s="15">
        <v>75660247</v>
      </c>
      <c r="K447" s="15" t="s">
        <v>2515</v>
      </c>
      <c r="L447" s="15" t="s">
        <v>2519</v>
      </c>
      <c r="M447" s="16">
        <v>239900</v>
      </c>
      <c r="N447" s="9">
        <f t="shared" si="28"/>
        <v>0.9</v>
      </c>
      <c r="O447" s="8">
        <f t="shared" si="26"/>
        <v>23990</v>
      </c>
      <c r="P447" s="6" t="s">
        <v>15</v>
      </c>
    </row>
    <row r="448" spans="1:16" x14ac:dyDescent="0.25">
      <c r="A448" s="7" t="str">
        <f t="shared" si="27"/>
        <v>2022 ALL D90</v>
      </c>
      <c r="B448" s="7">
        <f t="shared" si="29"/>
        <v>46114</v>
      </c>
      <c r="C448" s="7">
        <f t="shared" si="30"/>
        <v>46120</v>
      </c>
      <c r="D448" s="6">
        <v>3280</v>
      </c>
      <c r="E448" s="6">
        <v>337</v>
      </c>
      <c r="F448" s="6">
        <v>4</v>
      </c>
      <c r="G448" s="15">
        <v>1</v>
      </c>
      <c r="H448" s="15"/>
      <c r="I448" s="15" t="s">
        <v>1505</v>
      </c>
      <c r="J448" s="15">
        <v>75660256</v>
      </c>
      <c r="K448" s="15" t="s">
        <v>2515</v>
      </c>
      <c r="L448" s="15" t="s">
        <v>2520</v>
      </c>
      <c r="M448" s="16">
        <v>239900</v>
      </c>
      <c r="N448" s="9">
        <f t="shared" si="28"/>
        <v>0.9</v>
      </c>
      <c r="O448" s="8">
        <f t="shared" si="26"/>
        <v>23990</v>
      </c>
      <c r="P448" s="6" t="s">
        <v>15</v>
      </c>
    </row>
    <row r="449" spans="1:16" x14ac:dyDescent="0.25">
      <c r="A449" s="7" t="str">
        <f t="shared" si="27"/>
        <v>2022 ALL D90</v>
      </c>
      <c r="B449" s="7">
        <f t="shared" si="29"/>
        <v>46114</v>
      </c>
      <c r="C449" s="7">
        <f t="shared" si="30"/>
        <v>46120</v>
      </c>
      <c r="D449" s="6">
        <v>3280</v>
      </c>
      <c r="E449" s="6">
        <v>337</v>
      </c>
      <c r="F449" s="6">
        <v>4</v>
      </c>
      <c r="G449" s="15">
        <v>1</v>
      </c>
      <c r="H449" s="15"/>
      <c r="I449" s="15" t="s">
        <v>1505</v>
      </c>
      <c r="J449" s="15">
        <v>75661095</v>
      </c>
      <c r="K449" s="15" t="s">
        <v>2495</v>
      </c>
      <c r="L449" s="15" t="s">
        <v>2496</v>
      </c>
      <c r="M449" s="16">
        <v>239900</v>
      </c>
      <c r="N449" s="9">
        <f t="shared" si="28"/>
        <v>0.9</v>
      </c>
      <c r="O449" s="8">
        <f t="shared" si="26"/>
        <v>23990</v>
      </c>
      <c r="P449" s="6" t="s">
        <v>15</v>
      </c>
    </row>
    <row r="450" spans="1:16" x14ac:dyDescent="0.25">
      <c r="A450" s="7" t="str">
        <f t="shared" si="27"/>
        <v>2022 ALL D90</v>
      </c>
      <c r="B450" s="7">
        <f t="shared" si="29"/>
        <v>46114</v>
      </c>
      <c r="C450" s="7">
        <f t="shared" si="30"/>
        <v>46120</v>
      </c>
      <c r="D450" s="6">
        <v>3280</v>
      </c>
      <c r="E450" s="6">
        <v>337</v>
      </c>
      <c r="F450" s="6">
        <v>4</v>
      </c>
      <c r="G450" s="15">
        <v>1</v>
      </c>
      <c r="H450" s="15"/>
      <c r="I450" s="15" t="s">
        <v>1505</v>
      </c>
      <c r="J450" s="15">
        <v>75661102</v>
      </c>
      <c r="K450" s="15" t="s">
        <v>2495</v>
      </c>
      <c r="L450" s="15" t="s">
        <v>2497</v>
      </c>
      <c r="M450" s="16">
        <v>239900</v>
      </c>
      <c r="N450" s="9">
        <f t="shared" si="28"/>
        <v>0.9</v>
      </c>
      <c r="O450" s="8">
        <f t="shared" si="26"/>
        <v>23990</v>
      </c>
      <c r="P450" s="6" t="s">
        <v>15</v>
      </c>
    </row>
    <row r="451" spans="1:16" x14ac:dyDescent="0.25">
      <c r="A451" s="7" t="str">
        <f t="shared" si="27"/>
        <v>2022 ALL D90</v>
      </c>
      <c r="B451" s="7">
        <f t="shared" si="29"/>
        <v>46114</v>
      </c>
      <c r="C451" s="7">
        <f t="shared" si="30"/>
        <v>46120</v>
      </c>
      <c r="D451" s="6">
        <v>3280</v>
      </c>
      <c r="E451" s="6">
        <v>337</v>
      </c>
      <c r="F451" s="6">
        <v>4</v>
      </c>
      <c r="G451" s="15">
        <v>1</v>
      </c>
      <c r="H451" s="15"/>
      <c r="I451" s="15" t="s">
        <v>1505</v>
      </c>
      <c r="J451" s="15">
        <v>75661111</v>
      </c>
      <c r="K451" s="15" t="s">
        <v>2495</v>
      </c>
      <c r="L451" s="15" t="s">
        <v>2498</v>
      </c>
      <c r="M451" s="16">
        <v>239900</v>
      </c>
      <c r="N451" s="9">
        <f t="shared" si="28"/>
        <v>0.9</v>
      </c>
      <c r="O451" s="8">
        <f t="shared" ref="O451:O514" si="31">M451-((90*M451)/100)</f>
        <v>23990</v>
      </c>
      <c r="P451" s="6" t="s">
        <v>15</v>
      </c>
    </row>
    <row r="452" spans="1:16" x14ac:dyDescent="0.25">
      <c r="A452" s="7" t="str">
        <f t="shared" ref="A452:C515" si="32">A451</f>
        <v>2022 ALL D90</v>
      </c>
      <c r="B452" s="7">
        <f t="shared" si="29"/>
        <v>46114</v>
      </c>
      <c r="C452" s="7">
        <f t="shared" si="30"/>
        <v>46120</v>
      </c>
      <c r="D452" s="6">
        <v>3280</v>
      </c>
      <c r="E452" s="6">
        <v>337</v>
      </c>
      <c r="F452" s="6">
        <v>4</v>
      </c>
      <c r="G452" s="15">
        <v>1</v>
      </c>
      <c r="H452" s="15"/>
      <c r="I452" s="15" t="s">
        <v>1505</v>
      </c>
      <c r="J452" s="15">
        <v>75661120</v>
      </c>
      <c r="K452" s="15" t="s">
        <v>2495</v>
      </c>
      <c r="L452" s="15" t="s">
        <v>2499</v>
      </c>
      <c r="M452" s="16">
        <v>249900</v>
      </c>
      <c r="N452" s="9">
        <f t="shared" ref="N452:N515" si="33">N451</f>
        <v>0.9</v>
      </c>
      <c r="O452" s="8">
        <f t="shared" si="31"/>
        <v>24990</v>
      </c>
      <c r="P452" s="6" t="s">
        <v>15</v>
      </c>
    </row>
    <row r="453" spans="1:16" x14ac:dyDescent="0.25">
      <c r="A453" s="7" t="str">
        <f t="shared" si="32"/>
        <v>2022 ALL D90</v>
      </c>
      <c r="B453" s="7">
        <f t="shared" si="29"/>
        <v>46114</v>
      </c>
      <c r="C453" s="7">
        <f t="shared" si="30"/>
        <v>46120</v>
      </c>
      <c r="D453" s="6">
        <v>3280</v>
      </c>
      <c r="E453" s="6">
        <v>337</v>
      </c>
      <c r="F453" s="6">
        <v>4</v>
      </c>
      <c r="G453" s="15">
        <v>1</v>
      </c>
      <c r="H453" s="15"/>
      <c r="I453" s="15" t="s">
        <v>1505</v>
      </c>
      <c r="J453" s="15">
        <v>75661139</v>
      </c>
      <c r="K453" s="15" t="s">
        <v>2495</v>
      </c>
      <c r="L453" s="15" t="s">
        <v>2500</v>
      </c>
      <c r="M453" s="16">
        <v>249900</v>
      </c>
      <c r="N453" s="9">
        <f t="shared" si="33"/>
        <v>0.9</v>
      </c>
      <c r="O453" s="8">
        <f t="shared" si="31"/>
        <v>24990</v>
      </c>
      <c r="P453" s="6" t="s">
        <v>15</v>
      </c>
    </row>
    <row r="454" spans="1:16" x14ac:dyDescent="0.25">
      <c r="A454" s="7" t="str">
        <f t="shared" si="32"/>
        <v>2022 ALL D90</v>
      </c>
      <c r="B454" s="7">
        <f t="shared" si="29"/>
        <v>46114</v>
      </c>
      <c r="C454" s="7">
        <f t="shared" si="30"/>
        <v>46120</v>
      </c>
      <c r="D454" s="6">
        <v>3280</v>
      </c>
      <c r="E454" s="6">
        <v>337</v>
      </c>
      <c r="F454" s="6">
        <v>4</v>
      </c>
      <c r="G454" s="15">
        <v>1</v>
      </c>
      <c r="H454" s="15"/>
      <c r="I454" s="15" t="s">
        <v>1505</v>
      </c>
      <c r="J454" s="15">
        <v>75661148</v>
      </c>
      <c r="K454" s="15" t="s">
        <v>2495</v>
      </c>
      <c r="L454" s="15" t="s">
        <v>2501</v>
      </c>
      <c r="M454" s="16">
        <v>249900</v>
      </c>
      <c r="N454" s="9">
        <f t="shared" si="33"/>
        <v>0.9</v>
      </c>
      <c r="O454" s="8">
        <f t="shared" si="31"/>
        <v>24990</v>
      </c>
      <c r="P454" s="6" t="s">
        <v>15</v>
      </c>
    </row>
    <row r="455" spans="1:16" x14ac:dyDescent="0.25">
      <c r="A455" s="7" t="str">
        <f t="shared" si="32"/>
        <v>2022 ALL D90</v>
      </c>
      <c r="B455" s="7">
        <f t="shared" si="29"/>
        <v>46114</v>
      </c>
      <c r="C455" s="7">
        <f t="shared" si="30"/>
        <v>46120</v>
      </c>
      <c r="D455" s="6">
        <v>3280</v>
      </c>
      <c r="E455" s="6">
        <v>337</v>
      </c>
      <c r="F455" s="6">
        <v>4</v>
      </c>
      <c r="G455" s="15">
        <v>1</v>
      </c>
      <c r="H455" s="15"/>
      <c r="I455" s="15" t="s">
        <v>1505</v>
      </c>
      <c r="J455" s="15">
        <v>76028063</v>
      </c>
      <c r="K455" s="15" t="s">
        <v>2399</v>
      </c>
      <c r="L455" s="15" t="s">
        <v>2400</v>
      </c>
      <c r="M455" s="16">
        <v>259900</v>
      </c>
      <c r="N455" s="9">
        <f t="shared" si="33"/>
        <v>0.9</v>
      </c>
      <c r="O455" s="8">
        <f t="shared" si="31"/>
        <v>25990</v>
      </c>
      <c r="P455" s="6" t="s">
        <v>15</v>
      </c>
    </row>
    <row r="456" spans="1:16" x14ac:dyDescent="0.25">
      <c r="A456" s="7" t="str">
        <f t="shared" si="32"/>
        <v>2022 ALL D90</v>
      </c>
      <c r="B456" s="7">
        <f t="shared" si="29"/>
        <v>46114</v>
      </c>
      <c r="C456" s="7">
        <f t="shared" si="30"/>
        <v>46120</v>
      </c>
      <c r="D456" s="6">
        <v>3280</v>
      </c>
      <c r="E456" s="6">
        <v>337</v>
      </c>
      <c r="F456" s="6">
        <v>4</v>
      </c>
      <c r="G456" s="15">
        <v>1</v>
      </c>
      <c r="H456" s="15"/>
      <c r="I456" s="15" t="s">
        <v>1505</v>
      </c>
      <c r="J456" s="15">
        <v>76028072</v>
      </c>
      <c r="K456" s="15" t="s">
        <v>2399</v>
      </c>
      <c r="L456" s="15" t="s">
        <v>2401</v>
      </c>
      <c r="M456" s="16">
        <v>259900</v>
      </c>
      <c r="N456" s="9">
        <f t="shared" si="33"/>
        <v>0.9</v>
      </c>
      <c r="O456" s="8">
        <f t="shared" si="31"/>
        <v>25990</v>
      </c>
      <c r="P456" s="6" t="s">
        <v>15</v>
      </c>
    </row>
    <row r="457" spans="1:16" x14ac:dyDescent="0.25">
      <c r="A457" s="7" t="str">
        <f t="shared" si="32"/>
        <v>2022 ALL D90</v>
      </c>
      <c r="B457" s="7">
        <f t="shared" si="29"/>
        <v>46114</v>
      </c>
      <c r="C457" s="7">
        <f t="shared" si="30"/>
        <v>46120</v>
      </c>
      <c r="D457" s="6">
        <v>3280</v>
      </c>
      <c r="E457" s="6">
        <v>337</v>
      </c>
      <c r="F457" s="6">
        <v>4</v>
      </c>
      <c r="G457" s="15">
        <v>1</v>
      </c>
      <c r="H457" s="15"/>
      <c r="I457" s="15" t="s">
        <v>1505</v>
      </c>
      <c r="J457" s="15">
        <v>76028081</v>
      </c>
      <c r="K457" s="15" t="s">
        <v>2399</v>
      </c>
      <c r="L457" s="15" t="s">
        <v>2402</v>
      </c>
      <c r="M457" s="16">
        <v>259900</v>
      </c>
      <c r="N457" s="9">
        <f t="shared" si="33"/>
        <v>0.9</v>
      </c>
      <c r="O457" s="8">
        <f t="shared" si="31"/>
        <v>25990</v>
      </c>
      <c r="P457" s="6" t="s">
        <v>15</v>
      </c>
    </row>
    <row r="458" spans="1:16" x14ac:dyDescent="0.25">
      <c r="A458" s="7" t="str">
        <f t="shared" si="32"/>
        <v>2022 ALL D90</v>
      </c>
      <c r="B458" s="7">
        <f t="shared" si="29"/>
        <v>46114</v>
      </c>
      <c r="C458" s="7">
        <f t="shared" si="30"/>
        <v>46120</v>
      </c>
      <c r="D458" s="6">
        <v>3280</v>
      </c>
      <c r="E458" s="6">
        <v>337</v>
      </c>
      <c r="F458" s="6">
        <v>4</v>
      </c>
      <c r="G458" s="15">
        <v>1</v>
      </c>
      <c r="H458" s="15"/>
      <c r="I458" s="15" t="s">
        <v>1505</v>
      </c>
      <c r="J458" s="15">
        <v>76028090</v>
      </c>
      <c r="K458" s="15" t="s">
        <v>2399</v>
      </c>
      <c r="L458" s="15" t="s">
        <v>2403</v>
      </c>
      <c r="M458" s="16">
        <v>269900</v>
      </c>
      <c r="N458" s="9">
        <f t="shared" si="33"/>
        <v>0.9</v>
      </c>
      <c r="O458" s="8">
        <f t="shared" si="31"/>
        <v>26990</v>
      </c>
      <c r="P458" s="6" t="s">
        <v>15</v>
      </c>
    </row>
    <row r="459" spans="1:16" x14ac:dyDescent="0.25">
      <c r="A459" s="7" t="str">
        <f t="shared" si="32"/>
        <v>2022 ALL D90</v>
      </c>
      <c r="B459" s="7">
        <f t="shared" si="29"/>
        <v>46114</v>
      </c>
      <c r="C459" s="7">
        <f t="shared" si="30"/>
        <v>46120</v>
      </c>
      <c r="D459" s="6">
        <v>3280</v>
      </c>
      <c r="E459" s="6">
        <v>337</v>
      </c>
      <c r="F459" s="6">
        <v>4</v>
      </c>
      <c r="G459" s="15">
        <v>1</v>
      </c>
      <c r="H459" s="15"/>
      <c r="I459" s="15" t="s">
        <v>1505</v>
      </c>
      <c r="J459" s="15">
        <v>76028107</v>
      </c>
      <c r="K459" s="15" t="s">
        <v>2399</v>
      </c>
      <c r="L459" s="15" t="s">
        <v>2404</v>
      </c>
      <c r="M459" s="16">
        <v>269900</v>
      </c>
      <c r="N459" s="9">
        <f t="shared" si="33"/>
        <v>0.9</v>
      </c>
      <c r="O459" s="8">
        <f t="shared" si="31"/>
        <v>26990</v>
      </c>
      <c r="P459" s="6" t="s">
        <v>15</v>
      </c>
    </row>
    <row r="460" spans="1:16" x14ac:dyDescent="0.25">
      <c r="A460" s="7" t="str">
        <f t="shared" si="32"/>
        <v>2022 ALL D90</v>
      </c>
      <c r="B460" s="7">
        <f t="shared" si="29"/>
        <v>46114</v>
      </c>
      <c r="C460" s="7">
        <f t="shared" si="30"/>
        <v>46120</v>
      </c>
      <c r="D460" s="6">
        <v>3280</v>
      </c>
      <c r="E460" s="6">
        <v>337</v>
      </c>
      <c r="F460" s="6">
        <v>4</v>
      </c>
      <c r="G460" s="15">
        <v>1</v>
      </c>
      <c r="H460" s="15"/>
      <c r="I460" s="15" t="s">
        <v>1505</v>
      </c>
      <c r="J460" s="15">
        <v>76028116</v>
      </c>
      <c r="K460" s="15" t="s">
        <v>2399</v>
      </c>
      <c r="L460" s="15" t="s">
        <v>2405</v>
      </c>
      <c r="M460" s="16">
        <v>269900</v>
      </c>
      <c r="N460" s="9">
        <f t="shared" si="33"/>
        <v>0.9</v>
      </c>
      <c r="O460" s="8">
        <f t="shared" si="31"/>
        <v>26990</v>
      </c>
      <c r="P460" s="6" t="s">
        <v>15</v>
      </c>
    </row>
    <row r="461" spans="1:16" x14ac:dyDescent="0.25">
      <c r="A461" s="7" t="str">
        <f t="shared" si="32"/>
        <v>2022 ALL D90</v>
      </c>
      <c r="B461" s="7">
        <f t="shared" si="29"/>
        <v>46114</v>
      </c>
      <c r="C461" s="7">
        <f t="shared" si="30"/>
        <v>46120</v>
      </c>
      <c r="D461" s="6">
        <v>3280</v>
      </c>
      <c r="E461" s="6">
        <v>337</v>
      </c>
      <c r="F461" s="6">
        <v>4</v>
      </c>
      <c r="G461" s="15">
        <v>1</v>
      </c>
      <c r="H461" s="15"/>
      <c r="I461" s="15" t="s">
        <v>1505</v>
      </c>
      <c r="J461" s="15">
        <v>76439271</v>
      </c>
      <c r="K461" s="15" t="s">
        <v>2406</v>
      </c>
      <c r="L461" s="15" t="s">
        <v>2407</v>
      </c>
      <c r="M461" s="16">
        <v>259900</v>
      </c>
      <c r="N461" s="9">
        <f t="shared" si="33"/>
        <v>0.9</v>
      </c>
      <c r="O461" s="8">
        <f t="shared" si="31"/>
        <v>25990</v>
      </c>
      <c r="P461" s="6" t="s">
        <v>15</v>
      </c>
    </row>
    <row r="462" spans="1:16" x14ac:dyDescent="0.25">
      <c r="A462" s="7" t="str">
        <f t="shared" si="32"/>
        <v>2022 ALL D90</v>
      </c>
      <c r="B462" s="7">
        <f t="shared" si="29"/>
        <v>46114</v>
      </c>
      <c r="C462" s="7">
        <f t="shared" si="30"/>
        <v>46120</v>
      </c>
      <c r="D462" s="6">
        <v>3280</v>
      </c>
      <c r="E462" s="6">
        <v>337</v>
      </c>
      <c r="F462" s="6">
        <v>4</v>
      </c>
      <c r="G462" s="15">
        <v>1</v>
      </c>
      <c r="H462" s="15"/>
      <c r="I462" s="15" t="s">
        <v>1505</v>
      </c>
      <c r="J462" s="15">
        <v>76439280</v>
      </c>
      <c r="K462" s="15" t="s">
        <v>2406</v>
      </c>
      <c r="L462" s="15" t="s">
        <v>2408</v>
      </c>
      <c r="M462" s="16">
        <v>259900</v>
      </c>
      <c r="N462" s="9">
        <f t="shared" si="33"/>
        <v>0.9</v>
      </c>
      <c r="O462" s="8">
        <f t="shared" si="31"/>
        <v>25990</v>
      </c>
      <c r="P462" s="6" t="s">
        <v>15</v>
      </c>
    </row>
    <row r="463" spans="1:16" x14ac:dyDescent="0.25">
      <c r="A463" s="7" t="str">
        <f t="shared" si="32"/>
        <v>2022 ALL D90</v>
      </c>
      <c r="B463" s="7">
        <f t="shared" si="29"/>
        <v>46114</v>
      </c>
      <c r="C463" s="7">
        <f t="shared" si="30"/>
        <v>46120</v>
      </c>
      <c r="D463" s="6">
        <v>3280</v>
      </c>
      <c r="E463" s="6">
        <v>337</v>
      </c>
      <c r="F463" s="6">
        <v>4</v>
      </c>
      <c r="G463" s="15">
        <v>1</v>
      </c>
      <c r="H463" s="15"/>
      <c r="I463" s="15" t="s">
        <v>1505</v>
      </c>
      <c r="J463" s="15">
        <v>76439299</v>
      </c>
      <c r="K463" s="15" t="s">
        <v>2406</v>
      </c>
      <c r="L463" s="15" t="s">
        <v>2409</v>
      </c>
      <c r="M463" s="16">
        <v>259900</v>
      </c>
      <c r="N463" s="9">
        <f t="shared" si="33"/>
        <v>0.9</v>
      </c>
      <c r="O463" s="8">
        <f t="shared" si="31"/>
        <v>25990</v>
      </c>
      <c r="P463" s="6" t="s">
        <v>15</v>
      </c>
    </row>
    <row r="464" spans="1:16" x14ac:dyDescent="0.25">
      <c r="A464" s="7" t="str">
        <f t="shared" si="32"/>
        <v>2022 ALL D90</v>
      </c>
      <c r="B464" s="7">
        <f t="shared" si="29"/>
        <v>46114</v>
      </c>
      <c r="C464" s="7">
        <f t="shared" si="30"/>
        <v>46120</v>
      </c>
      <c r="D464" s="6">
        <v>3280</v>
      </c>
      <c r="E464" s="6">
        <v>337</v>
      </c>
      <c r="F464" s="6">
        <v>4</v>
      </c>
      <c r="G464" s="15">
        <v>1</v>
      </c>
      <c r="H464" s="15"/>
      <c r="I464" s="15" t="s">
        <v>1505</v>
      </c>
      <c r="J464" s="15">
        <v>76439306</v>
      </c>
      <c r="K464" s="15" t="s">
        <v>2406</v>
      </c>
      <c r="L464" s="15" t="s">
        <v>2410</v>
      </c>
      <c r="M464" s="16">
        <v>269900</v>
      </c>
      <c r="N464" s="9">
        <f t="shared" si="33"/>
        <v>0.9</v>
      </c>
      <c r="O464" s="8">
        <f t="shared" si="31"/>
        <v>26990</v>
      </c>
      <c r="P464" s="6" t="s">
        <v>15</v>
      </c>
    </row>
    <row r="465" spans="1:16" x14ac:dyDescent="0.25">
      <c r="A465" s="7" t="str">
        <f t="shared" si="32"/>
        <v>2022 ALL D90</v>
      </c>
      <c r="B465" s="7">
        <f t="shared" si="29"/>
        <v>46114</v>
      </c>
      <c r="C465" s="7">
        <f t="shared" si="30"/>
        <v>46120</v>
      </c>
      <c r="D465" s="6">
        <v>3280</v>
      </c>
      <c r="E465" s="6">
        <v>337</v>
      </c>
      <c r="F465" s="6">
        <v>4</v>
      </c>
      <c r="G465" s="15">
        <v>1</v>
      </c>
      <c r="H465" s="15"/>
      <c r="I465" s="15" t="s">
        <v>1505</v>
      </c>
      <c r="J465" s="15">
        <v>76439315</v>
      </c>
      <c r="K465" s="15" t="s">
        <v>2406</v>
      </c>
      <c r="L465" s="15" t="s">
        <v>2411</v>
      </c>
      <c r="M465" s="16">
        <v>269900</v>
      </c>
      <c r="N465" s="9">
        <f t="shared" si="33"/>
        <v>0.9</v>
      </c>
      <c r="O465" s="8">
        <f t="shared" si="31"/>
        <v>26990</v>
      </c>
      <c r="P465" s="6" t="s">
        <v>15</v>
      </c>
    </row>
    <row r="466" spans="1:16" x14ac:dyDescent="0.25">
      <c r="A466" s="7" t="str">
        <f t="shared" si="32"/>
        <v>2022 ALL D90</v>
      </c>
      <c r="B466" s="7">
        <f t="shared" si="29"/>
        <v>46114</v>
      </c>
      <c r="C466" s="7">
        <f t="shared" si="30"/>
        <v>46120</v>
      </c>
      <c r="D466" s="6">
        <v>3280</v>
      </c>
      <c r="E466" s="6">
        <v>337</v>
      </c>
      <c r="F466" s="6">
        <v>4</v>
      </c>
      <c r="G466" s="15">
        <v>1</v>
      </c>
      <c r="H466" s="15"/>
      <c r="I466" s="15" t="s">
        <v>1505</v>
      </c>
      <c r="J466" s="15">
        <v>76439324</v>
      </c>
      <c r="K466" s="15" t="s">
        <v>2406</v>
      </c>
      <c r="L466" s="15" t="s">
        <v>2412</v>
      </c>
      <c r="M466" s="16">
        <v>269900</v>
      </c>
      <c r="N466" s="9">
        <f t="shared" si="33"/>
        <v>0.9</v>
      </c>
      <c r="O466" s="8">
        <f t="shared" si="31"/>
        <v>26990</v>
      </c>
      <c r="P466" s="6" t="s">
        <v>15</v>
      </c>
    </row>
    <row r="467" spans="1:16" x14ac:dyDescent="0.25">
      <c r="A467" s="7" t="str">
        <f t="shared" si="32"/>
        <v>2022 ALL D90</v>
      </c>
      <c r="B467" s="7">
        <f t="shared" si="29"/>
        <v>46114</v>
      </c>
      <c r="C467" s="7">
        <f t="shared" si="30"/>
        <v>46120</v>
      </c>
      <c r="D467" s="6">
        <v>3280</v>
      </c>
      <c r="E467" s="6">
        <v>337</v>
      </c>
      <c r="F467" s="6">
        <v>4</v>
      </c>
      <c r="G467" s="15">
        <v>1</v>
      </c>
      <c r="H467" s="15"/>
      <c r="I467" s="15" t="s">
        <v>1505</v>
      </c>
      <c r="J467" s="15">
        <v>76460425</v>
      </c>
      <c r="K467" s="15" t="s">
        <v>2413</v>
      </c>
      <c r="L467" s="15" t="s">
        <v>2414</v>
      </c>
      <c r="M467" s="16">
        <v>259900</v>
      </c>
      <c r="N467" s="9">
        <f t="shared" si="33"/>
        <v>0.9</v>
      </c>
      <c r="O467" s="8">
        <f t="shared" si="31"/>
        <v>25990</v>
      </c>
      <c r="P467" s="6" t="s">
        <v>15</v>
      </c>
    </row>
    <row r="468" spans="1:16" x14ac:dyDescent="0.25">
      <c r="A468" s="7" t="str">
        <f t="shared" si="32"/>
        <v>2022 ALL D90</v>
      </c>
      <c r="B468" s="7">
        <f t="shared" si="29"/>
        <v>46114</v>
      </c>
      <c r="C468" s="7">
        <f t="shared" si="30"/>
        <v>46120</v>
      </c>
      <c r="D468" s="6">
        <v>3280</v>
      </c>
      <c r="E468" s="6">
        <v>337</v>
      </c>
      <c r="F468" s="6">
        <v>4</v>
      </c>
      <c r="G468" s="15">
        <v>1</v>
      </c>
      <c r="H468" s="15"/>
      <c r="I468" s="15" t="s">
        <v>1505</v>
      </c>
      <c r="J468" s="15">
        <v>76460434</v>
      </c>
      <c r="K468" s="15" t="s">
        <v>2413</v>
      </c>
      <c r="L468" s="15" t="s">
        <v>2415</v>
      </c>
      <c r="M468" s="16">
        <v>259900</v>
      </c>
      <c r="N468" s="9">
        <f t="shared" si="33"/>
        <v>0.9</v>
      </c>
      <c r="O468" s="8">
        <f t="shared" si="31"/>
        <v>25990</v>
      </c>
      <c r="P468" s="6" t="s">
        <v>15</v>
      </c>
    </row>
    <row r="469" spans="1:16" x14ac:dyDescent="0.25">
      <c r="A469" s="7" t="str">
        <f t="shared" si="32"/>
        <v>2022 ALL D90</v>
      </c>
      <c r="B469" s="7">
        <f t="shared" si="29"/>
        <v>46114</v>
      </c>
      <c r="C469" s="7">
        <f t="shared" si="30"/>
        <v>46120</v>
      </c>
      <c r="D469" s="6">
        <v>3280</v>
      </c>
      <c r="E469" s="6">
        <v>337</v>
      </c>
      <c r="F469" s="6">
        <v>4</v>
      </c>
      <c r="G469" s="15">
        <v>1</v>
      </c>
      <c r="H469" s="15"/>
      <c r="I469" s="15" t="s">
        <v>1505</v>
      </c>
      <c r="J469" s="15">
        <v>76460443</v>
      </c>
      <c r="K469" s="15" t="s">
        <v>2413</v>
      </c>
      <c r="L469" s="15" t="s">
        <v>2416</v>
      </c>
      <c r="M469" s="16">
        <v>259900</v>
      </c>
      <c r="N469" s="9">
        <f t="shared" si="33"/>
        <v>0.9</v>
      </c>
      <c r="O469" s="8">
        <f t="shared" si="31"/>
        <v>25990</v>
      </c>
      <c r="P469" s="6" t="s">
        <v>15</v>
      </c>
    </row>
    <row r="470" spans="1:16" x14ac:dyDescent="0.25">
      <c r="A470" s="7" t="str">
        <f t="shared" si="32"/>
        <v>2022 ALL D90</v>
      </c>
      <c r="B470" s="7">
        <f t="shared" si="29"/>
        <v>46114</v>
      </c>
      <c r="C470" s="7">
        <f t="shared" si="30"/>
        <v>46120</v>
      </c>
      <c r="D470" s="6">
        <v>3280</v>
      </c>
      <c r="E470" s="6">
        <v>337</v>
      </c>
      <c r="F470" s="6">
        <v>4</v>
      </c>
      <c r="G470" s="15">
        <v>1</v>
      </c>
      <c r="H470" s="15"/>
      <c r="I470" s="15" t="s">
        <v>1505</v>
      </c>
      <c r="J470" s="15">
        <v>76460452</v>
      </c>
      <c r="K470" s="15" t="s">
        <v>2413</v>
      </c>
      <c r="L470" s="15" t="s">
        <v>2417</v>
      </c>
      <c r="M470" s="16">
        <v>269900</v>
      </c>
      <c r="N470" s="9">
        <f t="shared" si="33"/>
        <v>0.9</v>
      </c>
      <c r="O470" s="8">
        <f t="shared" si="31"/>
        <v>26990</v>
      </c>
      <c r="P470" s="6" t="s">
        <v>15</v>
      </c>
    </row>
    <row r="471" spans="1:16" x14ac:dyDescent="0.25">
      <c r="A471" s="7" t="str">
        <f t="shared" si="32"/>
        <v>2022 ALL D90</v>
      </c>
      <c r="B471" s="7">
        <f t="shared" si="29"/>
        <v>46114</v>
      </c>
      <c r="C471" s="7">
        <f t="shared" si="30"/>
        <v>46120</v>
      </c>
      <c r="D471" s="6">
        <v>3280</v>
      </c>
      <c r="E471" s="6">
        <v>337</v>
      </c>
      <c r="F471" s="6">
        <v>4</v>
      </c>
      <c r="G471" s="15">
        <v>1</v>
      </c>
      <c r="H471" s="15"/>
      <c r="I471" s="15" t="s">
        <v>1505</v>
      </c>
      <c r="J471" s="15">
        <v>76460461</v>
      </c>
      <c r="K471" s="15" t="s">
        <v>2413</v>
      </c>
      <c r="L471" s="15" t="s">
        <v>2418</v>
      </c>
      <c r="M471" s="16">
        <v>269900</v>
      </c>
      <c r="N471" s="9">
        <f t="shared" si="33"/>
        <v>0.9</v>
      </c>
      <c r="O471" s="8">
        <f t="shared" si="31"/>
        <v>26990</v>
      </c>
      <c r="P471" s="6" t="s">
        <v>15</v>
      </c>
    </row>
    <row r="472" spans="1:16" x14ac:dyDescent="0.25">
      <c r="A472" s="7" t="str">
        <f t="shared" si="32"/>
        <v>2022 ALL D90</v>
      </c>
      <c r="B472" s="7">
        <f t="shared" si="29"/>
        <v>46114</v>
      </c>
      <c r="C472" s="7">
        <f t="shared" si="30"/>
        <v>46120</v>
      </c>
      <c r="D472" s="6">
        <v>3280</v>
      </c>
      <c r="E472" s="6">
        <v>337</v>
      </c>
      <c r="F472" s="6">
        <v>4</v>
      </c>
      <c r="G472" s="15">
        <v>1</v>
      </c>
      <c r="H472" s="15"/>
      <c r="I472" s="15" t="s">
        <v>1505</v>
      </c>
      <c r="J472" s="15">
        <v>76460470</v>
      </c>
      <c r="K472" s="15" t="s">
        <v>2413</v>
      </c>
      <c r="L472" s="15" t="s">
        <v>2419</v>
      </c>
      <c r="M472" s="16">
        <v>269900</v>
      </c>
      <c r="N472" s="9">
        <f t="shared" si="33"/>
        <v>0.9</v>
      </c>
      <c r="O472" s="8">
        <f t="shared" si="31"/>
        <v>26990</v>
      </c>
      <c r="P472" s="6" t="s">
        <v>15</v>
      </c>
    </row>
    <row r="473" spans="1:16" x14ac:dyDescent="0.25">
      <c r="A473" s="7" t="str">
        <f t="shared" si="32"/>
        <v>2022 ALL D90</v>
      </c>
      <c r="B473" s="7">
        <f t="shared" si="29"/>
        <v>46114</v>
      </c>
      <c r="C473" s="7">
        <f t="shared" si="30"/>
        <v>46120</v>
      </c>
      <c r="D473" s="6">
        <v>3280</v>
      </c>
      <c r="E473" s="6">
        <v>337</v>
      </c>
      <c r="F473" s="6">
        <v>4</v>
      </c>
      <c r="G473" s="15">
        <v>1</v>
      </c>
      <c r="H473" s="15"/>
      <c r="I473" s="15" t="s">
        <v>1505</v>
      </c>
      <c r="J473" s="15">
        <v>76299093</v>
      </c>
      <c r="K473" s="15" t="s">
        <v>2392</v>
      </c>
      <c r="L473" s="15" t="s">
        <v>2393</v>
      </c>
      <c r="M473" s="16">
        <v>249900</v>
      </c>
      <c r="N473" s="9">
        <f t="shared" si="33"/>
        <v>0.9</v>
      </c>
      <c r="O473" s="8">
        <f t="shared" si="31"/>
        <v>24990</v>
      </c>
      <c r="P473" s="6" t="s">
        <v>15</v>
      </c>
    </row>
    <row r="474" spans="1:16" x14ac:dyDescent="0.25">
      <c r="A474" s="7" t="str">
        <f t="shared" si="32"/>
        <v>2022 ALL D90</v>
      </c>
      <c r="B474" s="7">
        <f t="shared" si="29"/>
        <v>46114</v>
      </c>
      <c r="C474" s="7">
        <f t="shared" si="30"/>
        <v>46120</v>
      </c>
      <c r="D474" s="6">
        <v>3280</v>
      </c>
      <c r="E474" s="6">
        <v>337</v>
      </c>
      <c r="F474" s="6">
        <v>4</v>
      </c>
      <c r="G474" s="15">
        <v>1</v>
      </c>
      <c r="H474" s="15"/>
      <c r="I474" s="15" t="s">
        <v>1505</v>
      </c>
      <c r="J474" s="15">
        <v>76299100</v>
      </c>
      <c r="K474" s="15" t="s">
        <v>2392</v>
      </c>
      <c r="L474" s="15" t="s">
        <v>2394</v>
      </c>
      <c r="M474" s="16">
        <v>249900</v>
      </c>
      <c r="N474" s="9">
        <f t="shared" si="33"/>
        <v>0.9</v>
      </c>
      <c r="O474" s="8">
        <f t="shared" si="31"/>
        <v>24990</v>
      </c>
      <c r="P474" s="6" t="s">
        <v>15</v>
      </c>
    </row>
    <row r="475" spans="1:16" x14ac:dyDescent="0.25">
      <c r="A475" s="7" t="str">
        <f t="shared" si="32"/>
        <v>2022 ALL D90</v>
      </c>
      <c r="B475" s="7">
        <f t="shared" si="29"/>
        <v>46114</v>
      </c>
      <c r="C475" s="7">
        <f t="shared" si="30"/>
        <v>46120</v>
      </c>
      <c r="D475" s="6">
        <v>3280</v>
      </c>
      <c r="E475" s="6">
        <v>337</v>
      </c>
      <c r="F475" s="6">
        <v>4</v>
      </c>
      <c r="G475" s="15">
        <v>1</v>
      </c>
      <c r="H475" s="15"/>
      <c r="I475" s="15" t="s">
        <v>1505</v>
      </c>
      <c r="J475" s="15">
        <v>76299119</v>
      </c>
      <c r="K475" s="15" t="s">
        <v>2392</v>
      </c>
      <c r="L475" s="15" t="s">
        <v>2395</v>
      </c>
      <c r="M475" s="16">
        <v>249900</v>
      </c>
      <c r="N475" s="9">
        <f t="shared" si="33"/>
        <v>0.9</v>
      </c>
      <c r="O475" s="8">
        <f t="shared" si="31"/>
        <v>24990</v>
      </c>
      <c r="P475" s="6" t="s">
        <v>15</v>
      </c>
    </row>
    <row r="476" spans="1:16" x14ac:dyDescent="0.25">
      <c r="A476" s="7" t="str">
        <f t="shared" si="32"/>
        <v>2022 ALL D90</v>
      </c>
      <c r="B476" s="7">
        <f t="shared" si="29"/>
        <v>46114</v>
      </c>
      <c r="C476" s="7">
        <f t="shared" si="30"/>
        <v>46120</v>
      </c>
      <c r="D476" s="6">
        <v>3280</v>
      </c>
      <c r="E476" s="6">
        <v>337</v>
      </c>
      <c r="F476" s="6">
        <v>4</v>
      </c>
      <c r="G476" s="15">
        <v>1</v>
      </c>
      <c r="H476" s="15"/>
      <c r="I476" s="15" t="s">
        <v>1505</v>
      </c>
      <c r="J476" s="15">
        <v>76299128</v>
      </c>
      <c r="K476" s="15" t="s">
        <v>2392</v>
      </c>
      <c r="L476" s="15" t="s">
        <v>2396</v>
      </c>
      <c r="M476" s="16">
        <v>259900</v>
      </c>
      <c r="N476" s="9">
        <f t="shared" si="33"/>
        <v>0.9</v>
      </c>
      <c r="O476" s="8">
        <f t="shared" si="31"/>
        <v>25990</v>
      </c>
      <c r="P476" s="6" t="s">
        <v>15</v>
      </c>
    </row>
    <row r="477" spans="1:16" x14ac:dyDescent="0.25">
      <c r="A477" s="7" t="str">
        <f t="shared" si="32"/>
        <v>2022 ALL D90</v>
      </c>
      <c r="B477" s="7">
        <f t="shared" si="29"/>
        <v>46114</v>
      </c>
      <c r="C477" s="7">
        <f t="shared" si="30"/>
        <v>46120</v>
      </c>
      <c r="D477" s="6">
        <v>3280</v>
      </c>
      <c r="E477" s="6">
        <v>337</v>
      </c>
      <c r="F477" s="6">
        <v>4</v>
      </c>
      <c r="G477" s="15">
        <v>1</v>
      </c>
      <c r="H477" s="15"/>
      <c r="I477" s="15" t="s">
        <v>1505</v>
      </c>
      <c r="J477" s="15">
        <v>76299137</v>
      </c>
      <c r="K477" s="15" t="s">
        <v>2392</v>
      </c>
      <c r="L477" s="15" t="s">
        <v>2397</v>
      </c>
      <c r="M477" s="16">
        <v>259900</v>
      </c>
      <c r="N477" s="9">
        <f t="shared" si="33"/>
        <v>0.9</v>
      </c>
      <c r="O477" s="8">
        <f t="shared" si="31"/>
        <v>25990</v>
      </c>
      <c r="P477" s="6" t="s">
        <v>15</v>
      </c>
    </row>
    <row r="478" spans="1:16" x14ac:dyDescent="0.25">
      <c r="A478" s="7" t="str">
        <f t="shared" si="32"/>
        <v>2022 ALL D90</v>
      </c>
      <c r="B478" s="7">
        <f t="shared" si="29"/>
        <v>46114</v>
      </c>
      <c r="C478" s="7">
        <f t="shared" si="30"/>
        <v>46120</v>
      </c>
      <c r="D478" s="6">
        <v>3280</v>
      </c>
      <c r="E478" s="6">
        <v>337</v>
      </c>
      <c r="F478" s="6">
        <v>4</v>
      </c>
      <c r="G478" s="15">
        <v>1</v>
      </c>
      <c r="H478" s="15"/>
      <c r="I478" s="15" t="s">
        <v>1505</v>
      </c>
      <c r="J478" s="15">
        <v>76299146</v>
      </c>
      <c r="K478" s="15" t="s">
        <v>2392</v>
      </c>
      <c r="L478" s="15" t="s">
        <v>2398</v>
      </c>
      <c r="M478" s="16">
        <v>259900</v>
      </c>
      <c r="N478" s="9">
        <f t="shared" si="33"/>
        <v>0.9</v>
      </c>
      <c r="O478" s="8">
        <f t="shared" si="31"/>
        <v>25990</v>
      </c>
      <c r="P478" s="6" t="s">
        <v>15</v>
      </c>
    </row>
    <row r="479" spans="1:16" x14ac:dyDescent="0.25">
      <c r="A479" s="7" t="str">
        <f t="shared" si="32"/>
        <v>2022 ALL D90</v>
      </c>
      <c r="B479" s="7">
        <f t="shared" si="29"/>
        <v>46114</v>
      </c>
      <c r="C479" s="7">
        <f t="shared" si="30"/>
        <v>46120</v>
      </c>
      <c r="D479" s="6">
        <v>3280</v>
      </c>
      <c r="E479" s="6">
        <v>337</v>
      </c>
      <c r="F479" s="6">
        <v>4</v>
      </c>
      <c r="G479" s="15">
        <v>1</v>
      </c>
      <c r="H479" s="15"/>
      <c r="I479" s="15" t="s">
        <v>1505</v>
      </c>
      <c r="J479" s="15">
        <v>76028009</v>
      </c>
      <c r="K479" s="15" t="s">
        <v>2385</v>
      </c>
      <c r="L479" s="15" t="s">
        <v>2386</v>
      </c>
      <c r="M479" s="16">
        <v>259900</v>
      </c>
      <c r="N479" s="9">
        <f t="shared" si="33"/>
        <v>0.9</v>
      </c>
      <c r="O479" s="8">
        <f t="shared" si="31"/>
        <v>25990</v>
      </c>
      <c r="P479" s="6" t="s">
        <v>15</v>
      </c>
    </row>
    <row r="480" spans="1:16" x14ac:dyDescent="0.25">
      <c r="A480" s="7" t="str">
        <f t="shared" si="32"/>
        <v>2022 ALL D90</v>
      </c>
      <c r="B480" s="7">
        <f t="shared" si="29"/>
        <v>46114</v>
      </c>
      <c r="C480" s="7">
        <f t="shared" si="30"/>
        <v>46120</v>
      </c>
      <c r="D480" s="6">
        <v>3280</v>
      </c>
      <c r="E480" s="6">
        <v>337</v>
      </c>
      <c r="F480" s="6">
        <v>4</v>
      </c>
      <c r="G480" s="15">
        <v>1</v>
      </c>
      <c r="H480" s="15"/>
      <c r="I480" s="15" t="s">
        <v>1505</v>
      </c>
      <c r="J480" s="15">
        <v>76028018</v>
      </c>
      <c r="K480" s="15" t="s">
        <v>2385</v>
      </c>
      <c r="L480" s="15" t="s">
        <v>2387</v>
      </c>
      <c r="M480" s="16">
        <v>259900</v>
      </c>
      <c r="N480" s="9">
        <f t="shared" si="33"/>
        <v>0.9</v>
      </c>
      <c r="O480" s="8">
        <f t="shared" si="31"/>
        <v>25990</v>
      </c>
      <c r="P480" s="6" t="s">
        <v>15</v>
      </c>
    </row>
    <row r="481" spans="1:16" x14ac:dyDescent="0.25">
      <c r="A481" s="7" t="str">
        <f t="shared" si="32"/>
        <v>2022 ALL D90</v>
      </c>
      <c r="B481" s="7">
        <f t="shared" si="29"/>
        <v>46114</v>
      </c>
      <c r="C481" s="7">
        <f t="shared" si="30"/>
        <v>46120</v>
      </c>
      <c r="D481" s="6">
        <v>3280</v>
      </c>
      <c r="E481" s="6">
        <v>337</v>
      </c>
      <c r="F481" s="6">
        <v>4</v>
      </c>
      <c r="G481" s="15">
        <v>1</v>
      </c>
      <c r="H481" s="15"/>
      <c r="I481" s="15" t="s">
        <v>1505</v>
      </c>
      <c r="J481" s="15">
        <v>76028027</v>
      </c>
      <c r="K481" s="15" t="s">
        <v>2385</v>
      </c>
      <c r="L481" s="15" t="s">
        <v>2388</v>
      </c>
      <c r="M481" s="16">
        <v>259900</v>
      </c>
      <c r="N481" s="9">
        <f t="shared" si="33"/>
        <v>0.9</v>
      </c>
      <c r="O481" s="8">
        <f t="shared" si="31"/>
        <v>25990</v>
      </c>
      <c r="P481" s="6" t="s">
        <v>15</v>
      </c>
    </row>
    <row r="482" spans="1:16" x14ac:dyDescent="0.25">
      <c r="A482" s="7" t="str">
        <f t="shared" si="32"/>
        <v>2022 ALL D90</v>
      </c>
      <c r="B482" s="7">
        <f t="shared" si="29"/>
        <v>46114</v>
      </c>
      <c r="C482" s="7">
        <f t="shared" si="30"/>
        <v>46120</v>
      </c>
      <c r="D482" s="6">
        <v>3280</v>
      </c>
      <c r="E482" s="6">
        <v>337</v>
      </c>
      <c r="F482" s="6">
        <v>4</v>
      </c>
      <c r="G482" s="15">
        <v>1</v>
      </c>
      <c r="H482" s="15"/>
      <c r="I482" s="15" t="s">
        <v>1505</v>
      </c>
      <c r="J482" s="15">
        <v>76028036</v>
      </c>
      <c r="K482" s="15" t="s">
        <v>2385</v>
      </c>
      <c r="L482" s="15" t="s">
        <v>2389</v>
      </c>
      <c r="M482" s="16">
        <v>269900</v>
      </c>
      <c r="N482" s="9">
        <f t="shared" si="33"/>
        <v>0.9</v>
      </c>
      <c r="O482" s="8">
        <f t="shared" si="31"/>
        <v>26990</v>
      </c>
      <c r="P482" s="6" t="s">
        <v>15</v>
      </c>
    </row>
    <row r="483" spans="1:16" x14ac:dyDescent="0.25">
      <c r="A483" s="7" t="str">
        <f t="shared" si="32"/>
        <v>2022 ALL D90</v>
      </c>
      <c r="B483" s="7">
        <f t="shared" si="29"/>
        <v>46114</v>
      </c>
      <c r="C483" s="7">
        <f t="shared" si="30"/>
        <v>46120</v>
      </c>
      <c r="D483" s="6">
        <v>3280</v>
      </c>
      <c r="E483" s="6">
        <v>337</v>
      </c>
      <c r="F483" s="6">
        <v>4</v>
      </c>
      <c r="G483" s="15">
        <v>1</v>
      </c>
      <c r="H483" s="15"/>
      <c r="I483" s="15" t="s">
        <v>1505</v>
      </c>
      <c r="J483" s="15">
        <v>76028045</v>
      </c>
      <c r="K483" s="15" t="s">
        <v>2385</v>
      </c>
      <c r="L483" s="15" t="s">
        <v>2390</v>
      </c>
      <c r="M483" s="16">
        <v>269900</v>
      </c>
      <c r="N483" s="9">
        <f t="shared" si="33"/>
        <v>0.9</v>
      </c>
      <c r="O483" s="8">
        <f t="shared" si="31"/>
        <v>26990</v>
      </c>
      <c r="P483" s="6" t="s">
        <v>15</v>
      </c>
    </row>
    <row r="484" spans="1:16" x14ac:dyDescent="0.25">
      <c r="A484" s="7" t="str">
        <f t="shared" si="32"/>
        <v>2022 ALL D90</v>
      </c>
      <c r="B484" s="7">
        <f t="shared" si="29"/>
        <v>46114</v>
      </c>
      <c r="C484" s="7">
        <f t="shared" si="30"/>
        <v>46120</v>
      </c>
      <c r="D484" s="6">
        <v>3280</v>
      </c>
      <c r="E484" s="6">
        <v>337</v>
      </c>
      <c r="F484" s="6">
        <v>4</v>
      </c>
      <c r="G484" s="15">
        <v>1</v>
      </c>
      <c r="H484" s="15"/>
      <c r="I484" s="15" t="s">
        <v>1505</v>
      </c>
      <c r="J484" s="15">
        <v>76028054</v>
      </c>
      <c r="K484" s="15" t="s">
        <v>2385</v>
      </c>
      <c r="L484" s="15" t="s">
        <v>2391</v>
      </c>
      <c r="M484" s="16">
        <v>269900</v>
      </c>
      <c r="N484" s="9">
        <f t="shared" si="33"/>
        <v>0.9</v>
      </c>
      <c r="O484" s="8">
        <f t="shared" si="31"/>
        <v>26990</v>
      </c>
      <c r="P484" s="6" t="s">
        <v>15</v>
      </c>
    </row>
    <row r="485" spans="1:16" x14ac:dyDescent="0.25">
      <c r="A485" s="7" t="str">
        <f t="shared" si="32"/>
        <v>2022 ALL D90</v>
      </c>
      <c r="B485" s="7">
        <f t="shared" si="29"/>
        <v>46114</v>
      </c>
      <c r="C485" s="7">
        <f t="shared" si="30"/>
        <v>46120</v>
      </c>
      <c r="D485" s="6">
        <v>3280</v>
      </c>
      <c r="E485" s="6">
        <v>337</v>
      </c>
      <c r="F485" s="6">
        <v>4</v>
      </c>
      <c r="G485" s="15">
        <v>1</v>
      </c>
      <c r="H485" s="15"/>
      <c r="I485" s="15" t="s">
        <v>1505</v>
      </c>
      <c r="J485" s="15">
        <v>67994616</v>
      </c>
      <c r="K485" s="15" t="s">
        <v>2308</v>
      </c>
      <c r="L485" s="15" t="s">
        <v>2309</v>
      </c>
      <c r="M485" s="16">
        <v>219900</v>
      </c>
      <c r="N485" s="9">
        <f t="shared" si="33"/>
        <v>0.9</v>
      </c>
      <c r="O485" s="8">
        <f t="shared" si="31"/>
        <v>21990</v>
      </c>
      <c r="P485" s="6" t="s">
        <v>15</v>
      </c>
    </row>
    <row r="486" spans="1:16" x14ac:dyDescent="0.25">
      <c r="A486" s="7" t="str">
        <f t="shared" si="32"/>
        <v>2022 ALL D90</v>
      </c>
      <c r="B486" s="7">
        <f t="shared" si="29"/>
        <v>46114</v>
      </c>
      <c r="C486" s="7">
        <f t="shared" si="30"/>
        <v>46120</v>
      </c>
      <c r="D486" s="6">
        <v>3280</v>
      </c>
      <c r="E486" s="6">
        <v>337</v>
      </c>
      <c r="F486" s="6">
        <v>4</v>
      </c>
      <c r="G486" s="15">
        <v>1</v>
      </c>
      <c r="H486" s="15"/>
      <c r="I486" s="15" t="s">
        <v>1505</v>
      </c>
      <c r="J486" s="15">
        <v>67994625</v>
      </c>
      <c r="K486" s="15" t="s">
        <v>2308</v>
      </c>
      <c r="L486" s="15" t="s">
        <v>2310</v>
      </c>
      <c r="M486" s="16">
        <v>219900</v>
      </c>
      <c r="N486" s="9">
        <f t="shared" si="33"/>
        <v>0.9</v>
      </c>
      <c r="O486" s="8">
        <f t="shared" si="31"/>
        <v>21990</v>
      </c>
      <c r="P486" s="6" t="s">
        <v>15</v>
      </c>
    </row>
    <row r="487" spans="1:16" x14ac:dyDescent="0.25">
      <c r="A487" s="7" t="str">
        <f t="shared" si="32"/>
        <v>2022 ALL D90</v>
      </c>
      <c r="B487" s="7">
        <f t="shared" si="29"/>
        <v>46114</v>
      </c>
      <c r="C487" s="7">
        <f t="shared" si="30"/>
        <v>46120</v>
      </c>
      <c r="D487" s="6">
        <v>3280</v>
      </c>
      <c r="E487" s="6">
        <v>337</v>
      </c>
      <c r="F487" s="6">
        <v>4</v>
      </c>
      <c r="G487" s="15">
        <v>1</v>
      </c>
      <c r="H487" s="15"/>
      <c r="I487" s="15" t="s">
        <v>1505</v>
      </c>
      <c r="J487" s="15">
        <v>67994634</v>
      </c>
      <c r="K487" s="15" t="s">
        <v>2308</v>
      </c>
      <c r="L487" s="15" t="s">
        <v>2311</v>
      </c>
      <c r="M487" s="16">
        <v>219900</v>
      </c>
      <c r="N487" s="9">
        <f t="shared" si="33"/>
        <v>0.9</v>
      </c>
      <c r="O487" s="8">
        <f t="shared" si="31"/>
        <v>21990</v>
      </c>
      <c r="P487" s="6" t="s">
        <v>15</v>
      </c>
    </row>
    <row r="488" spans="1:16" x14ac:dyDescent="0.25">
      <c r="A488" s="7" t="str">
        <f t="shared" si="32"/>
        <v>2022 ALL D90</v>
      </c>
      <c r="B488" s="7">
        <f t="shared" si="29"/>
        <v>46114</v>
      </c>
      <c r="C488" s="7">
        <f t="shared" si="30"/>
        <v>46120</v>
      </c>
      <c r="D488" s="6">
        <v>3280</v>
      </c>
      <c r="E488" s="6">
        <v>337</v>
      </c>
      <c r="F488" s="6">
        <v>4</v>
      </c>
      <c r="G488" s="15">
        <v>1</v>
      </c>
      <c r="H488" s="15"/>
      <c r="I488" s="15" t="s">
        <v>1505</v>
      </c>
      <c r="J488" s="15">
        <v>67994643</v>
      </c>
      <c r="K488" s="15" t="s">
        <v>2308</v>
      </c>
      <c r="L488" s="15" t="s">
        <v>2312</v>
      </c>
      <c r="M488" s="16">
        <v>229900</v>
      </c>
      <c r="N488" s="9">
        <f t="shared" si="33"/>
        <v>0.9</v>
      </c>
      <c r="O488" s="8">
        <f t="shared" si="31"/>
        <v>22990</v>
      </c>
      <c r="P488" s="6" t="s">
        <v>15</v>
      </c>
    </row>
    <row r="489" spans="1:16" x14ac:dyDescent="0.25">
      <c r="A489" s="7" t="str">
        <f t="shared" si="32"/>
        <v>2022 ALL D90</v>
      </c>
      <c r="B489" s="7">
        <f t="shared" si="29"/>
        <v>46114</v>
      </c>
      <c r="C489" s="7">
        <f t="shared" si="30"/>
        <v>46120</v>
      </c>
      <c r="D489" s="6">
        <v>3280</v>
      </c>
      <c r="E489" s="6">
        <v>337</v>
      </c>
      <c r="F489" s="6">
        <v>4</v>
      </c>
      <c r="G489" s="15">
        <v>1</v>
      </c>
      <c r="H489" s="15"/>
      <c r="I489" s="15" t="s">
        <v>1505</v>
      </c>
      <c r="J489" s="15">
        <v>67994652</v>
      </c>
      <c r="K489" s="15" t="s">
        <v>2308</v>
      </c>
      <c r="L489" s="15" t="s">
        <v>2313</v>
      </c>
      <c r="M489" s="16">
        <v>229900</v>
      </c>
      <c r="N489" s="9">
        <f t="shared" si="33"/>
        <v>0.9</v>
      </c>
      <c r="O489" s="8">
        <f t="shared" si="31"/>
        <v>22990</v>
      </c>
      <c r="P489" s="6" t="s">
        <v>15</v>
      </c>
    </row>
    <row r="490" spans="1:16" x14ac:dyDescent="0.25">
      <c r="A490" s="7" t="str">
        <f t="shared" si="32"/>
        <v>2022 ALL D90</v>
      </c>
      <c r="B490" s="7">
        <f t="shared" si="29"/>
        <v>46114</v>
      </c>
      <c r="C490" s="7">
        <f t="shared" si="30"/>
        <v>46120</v>
      </c>
      <c r="D490" s="6">
        <v>3280</v>
      </c>
      <c r="E490" s="6">
        <v>337</v>
      </c>
      <c r="F490" s="6">
        <v>4</v>
      </c>
      <c r="G490" s="15">
        <v>1</v>
      </c>
      <c r="H490" s="15"/>
      <c r="I490" s="15" t="s">
        <v>1505</v>
      </c>
      <c r="J490" s="15">
        <v>67994661</v>
      </c>
      <c r="K490" s="15" t="s">
        <v>2308</v>
      </c>
      <c r="L490" s="15" t="s">
        <v>2314</v>
      </c>
      <c r="M490" s="16">
        <v>229900</v>
      </c>
      <c r="N490" s="9">
        <f t="shared" si="33"/>
        <v>0.9</v>
      </c>
      <c r="O490" s="8">
        <f t="shared" si="31"/>
        <v>22990</v>
      </c>
      <c r="P490" s="6" t="s">
        <v>15</v>
      </c>
    </row>
    <row r="491" spans="1:16" x14ac:dyDescent="0.25">
      <c r="A491" s="7" t="str">
        <f t="shared" si="32"/>
        <v>2022 ALL D90</v>
      </c>
      <c r="B491" s="7">
        <f t="shared" si="29"/>
        <v>46114</v>
      </c>
      <c r="C491" s="7">
        <f t="shared" si="30"/>
        <v>46120</v>
      </c>
      <c r="D491" s="6">
        <v>3280</v>
      </c>
      <c r="E491" s="6">
        <v>337</v>
      </c>
      <c r="F491" s="6">
        <v>4</v>
      </c>
      <c r="G491" s="15">
        <v>1</v>
      </c>
      <c r="H491" s="15"/>
      <c r="I491" s="15" t="s">
        <v>1505</v>
      </c>
      <c r="J491" s="15">
        <v>76153909</v>
      </c>
      <c r="K491" s="15" t="s">
        <v>2534</v>
      </c>
      <c r="L491" s="15" t="s">
        <v>2535</v>
      </c>
      <c r="M491" s="15">
        <v>229900</v>
      </c>
      <c r="N491" s="9">
        <f t="shared" si="33"/>
        <v>0.9</v>
      </c>
      <c r="O491" s="8">
        <f t="shared" si="31"/>
        <v>22990</v>
      </c>
      <c r="P491" s="6" t="s">
        <v>15</v>
      </c>
    </row>
    <row r="492" spans="1:16" x14ac:dyDescent="0.25">
      <c r="A492" s="7" t="str">
        <f t="shared" si="32"/>
        <v>2022 ALL D90</v>
      </c>
      <c r="B492" s="7">
        <f t="shared" si="29"/>
        <v>46114</v>
      </c>
      <c r="C492" s="7">
        <f t="shared" si="30"/>
        <v>46120</v>
      </c>
      <c r="D492" s="6">
        <v>3280</v>
      </c>
      <c r="E492" s="6">
        <v>337</v>
      </c>
      <c r="F492" s="6">
        <v>4</v>
      </c>
      <c r="G492" s="15">
        <v>1</v>
      </c>
      <c r="H492" s="15"/>
      <c r="I492" s="15" t="s">
        <v>1505</v>
      </c>
      <c r="J492" s="15">
        <v>76153918</v>
      </c>
      <c r="K492" s="15" t="s">
        <v>2534</v>
      </c>
      <c r="L492" s="15" t="s">
        <v>2536</v>
      </c>
      <c r="M492" s="15">
        <v>229900</v>
      </c>
      <c r="N492" s="9">
        <f t="shared" si="33"/>
        <v>0.9</v>
      </c>
      <c r="O492" s="8">
        <f t="shared" si="31"/>
        <v>22990</v>
      </c>
      <c r="P492" s="6" t="s">
        <v>15</v>
      </c>
    </row>
    <row r="493" spans="1:16" x14ac:dyDescent="0.25">
      <c r="A493" s="7" t="str">
        <f t="shared" si="32"/>
        <v>2022 ALL D90</v>
      </c>
      <c r="B493" s="7">
        <f t="shared" si="29"/>
        <v>46114</v>
      </c>
      <c r="C493" s="7">
        <f t="shared" si="30"/>
        <v>46120</v>
      </c>
      <c r="D493" s="6">
        <v>3280</v>
      </c>
      <c r="E493" s="6">
        <v>337</v>
      </c>
      <c r="F493" s="6">
        <v>4</v>
      </c>
      <c r="G493" s="15">
        <v>1</v>
      </c>
      <c r="H493" s="15"/>
      <c r="I493" s="15" t="s">
        <v>1505</v>
      </c>
      <c r="J493" s="15">
        <v>76153927</v>
      </c>
      <c r="K493" s="15" t="s">
        <v>2534</v>
      </c>
      <c r="L493" s="15" t="s">
        <v>2537</v>
      </c>
      <c r="M493" s="15">
        <v>229900</v>
      </c>
      <c r="N493" s="9">
        <f t="shared" si="33"/>
        <v>0.9</v>
      </c>
      <c r="O493" s="8">
        <f t="shared" si="31"/>
        <v>22990</v>
      </c>
      <c r="P493" s="6" t="s">
        <v>15</v>
      </c>
    </row>
    <row r="494" spans="1:16" x14ac:dyDescent="0.25">
      <c r="A494" s="7" t="str">
        <f t="shared" si="32"/>
        <v>2022 ALL D90</v>
      </c>
      <c r="B494" s="7">
        <f t="shared" si="29"/>
        <v>46114</v>
      </c>
      <c r="C494" s="7">
        <f t="shared" si="30"/>
        <v>46120</v>
      </c>
      <c r="D494" s="6">
        <v>3280</v>
      </c>
      <c r="E494" s="6">
        <v>337</v>
      </c>
      <c r="F494" s="6">
        <v>4</v>
      </c>
      <c r="G494" s="15">
        <v>1</v>
      </c>
      <c r="H494" s="15"/>
      <c r="I494" s="15" t="s">
        <v>1505</v>
      </c>
      <c r="J494" s="15">
        <v>76153936</v>
      </c>
      <c r="K494" s="15" t="s">
        <v>2534</v>
      </c>
      <c r="L494" s="15" t="s">
        <v>2538</v>
      </c>
      <c r="M494" s="15">
        <v>239900</v>
      </c>
      <c r="N494" s="9">
        <f t="shared" si="33"/>
        <v>0.9</v>
      </c>
      <c r="O494" s="8">
        <f t="shared" si="31"/>
        <v>23990</v>
      </c>
      <c r="P494" s="6" t="s">
        <v>15</v>
      </c>
    </row>
    <row r="495" spans="1:16" x14ac:dyDescent="0.25">
      <c r="A495" s="7" t="str">
        <f t="shared" si="32"/>
        <v>2022 ALL D90</v>
      </c>
      <c r="B495" s="7">
        <f t="shared" si="29"/>
        <v>46114</v>
      </c>
      <c r="C495" s="7">
        <f t="shared" si="30"/>
        <v>46120</v>
      </c>
      <c r="D495" s="6">
        <v>3280</v>
      </c>
      <c r="E495" s="6">
        <v>337</v>
      </c>
      <c r="F495" s="6">
        <v>4</v>
      </c>
      <c r="G495" s="15">
        <v>1</v>
      </c>
      <c r="H495" s="15"/>
      <c r="I495" s="15" t="s">
        <v>1505</v>
      </c>
      <c r="J495" s="15">
        <v>76153945</v>
      </c>
      <c r="K495" s="15" t="s">
        <v>2534</v>
      </c>
      <c r="L495" s="15" t="s">
        <v>2539</v>
      </c>
      <c r="M495" s="15">
        <v>239900</v>
      </c>
      <c r="N495" s="9">
        <f t="shared" si="33"/>
        <v>0.9</v>
      </c>
      <c r="O495" s="8">
        <f t="shared" si="31"/>
        <v>23990</v>
      </c>
      <c r="P495" s="6" t="s">
        <v>15</v>
      </c>
    </row>
    <row r="496" spans="1:16" x14ac:dyDescent="0.25">
      <c r="A496" s="7" t="str">
        <f t="shared" si="32"/>
        <v>2022 ALL D90</v>
      </c>
      <c r="B496" s="7">
        <f t="shared" si="29"/>
        <v>46114</v>
      </c>
      <c r="C496" s="7">
        <f t="shared" si="30"/>
        <v>46120</v>
      </c>
      <c r="D496" s="6">
        <v>3280</v>
      </c>
      <c r="E496" s="6">
        <v>337</v>
      </c>
      <c r="F496" s="6">
        <v>4</v>
      </c>
      <c r="G496" s="15">
        <v>1</v>
      </c>
      <c r="H496" s="15"/>
      <c r="I496" s="15" t="s">
        <v>1505</v>
      </c>
      <c r="J496" s="15">
        <v>76153954</v>
      </c>
      <c r="K496" s="15" t="s">
        <v>2534</v>
      </c>
      <c r="L496" s="15" t="s">
        <v>2540</v>
      </c>
      <c r="M496" s="15">
        <v>239900</v>
      </c>
      <c r="N496" s="9">
        <f t="shared" si="33"/>
        <v>0.9</v>
      </c>
      <c r="O496" s="8">
        <f t="shared" si="31"/>
        <v>23990</v>
      </c>
      <c r="P496" s="6" t="s">
        <v>15</v>
      </c>
    </row>
    <row r="497" spans="1:16" x14ac:dyDescent="0.25">
      <c r="A497" s="7" t="str">
        <f t="shared" si="32"/>
        <v>2022 ALL D90</v>
      </c>
      <c r="B497" s="7">
        <f t="shared" si="29"/>
        <v>46114</v>
      </c>
      <c r="C497" s="7">
        <f t="shared" si="30"/>
        <v>46120</v>
      </c>
      <c r="D497" s="6">
        <v>3280</v>
      </c>
      <c r="E497" s="6">
        <v>337</v>
      </c>
      <c r="F497" s="6">
        <v>4</v>
      </c>
      <c r="G497" s="15">
        <v>1</v>
      </c>
      <c r="H497" s="15"/>
      <c r="I497" s="15" t="s">
        <v>1505</v>
      </c>
      <c r="J497" s="15">
        <v>76512397</v>
      </c>
      <c r="K497" s="15" t="s">
        <v>2528</v>
      </c>
      <c r="L497" s="15" t="s">
        <v>2529</v>
      </c>
      <c r="M497" s="15">
        <v>229900</v>
      </c>
      <c r="N497" s="9">
        <f t="shared" si="33"/>
        <v>0.9</v>
      </c>
      <c r="O497" s="8">
        <f t="shared" si="31"/>
        <v>22990</v>
      </c>
      <c r="P497" s="6" t="s">
        <v>15</v>
      </c>
    </row>
    <row r="498" spans="1:16" x14ac:dyDescent="0.25">
      <c r="A498" s="7" t="str">
        <f t="shared" si="32"/>
        <v>2022 ALL D90</v>
      </c>
      <c r="B498" s="7">
        <f t="shared" si="29"/>
        <v>46114</v>
      </c>
      <c r="C498" s="7">
        <f t="shared" si="30"/>
        <v>46120</v>
      </c>
      <c r="D498" s="6">
        <v>3280</v>
      </c>
      <c r="E498" s="6">
        <v>337</v>
      </c>
      <c r="F498" s="6">
        <v>4</v>
      </c>
      <c r="G498" s="15">
        <v>1</v>
      </c>
      <c r="H498" s="15"/>
      <c r="I498" s="15" t="s">
        <v>1505</v>
      </c>
      <c r="J498" s="15">
        <v>76512404</v>
      </c>
      <c r="K498" s="15" t="s">
        <v>2528</v>
      </c>
      <c r="L498" s="15" t="s">
        <v>2530</v>
      </c>
      <c r="M498" s="15">
        <v>229900</v>
      </c>
      <c r="N498" s="9">
        <f t="shared" si="33"/>
        <v>0.9</v>
      </c>
      <c r="O498" s="8">
        <f t="shared" si="31"/>
        <v>22990</v>
      </c>
      <c r="P498" s="6" t="s">
        <v>15</v>
      </c>
    </row>
    <row r="499" spans="1:16" x14ac:dyDescent="0.25">
      <c r="A499" s="7" t="str">
        <f t="shared" si="32"/>
        <v>2022 ALL D90</v>
      </c>
      <c r="B499" s="7">
        <f t="shared" si="32"/>
        <v>46114</v>
      </c>
      <c r="C499" s="7">
        <f t="shared" si="32"/>
        <v>46120</v>
      </c>
      <c r="D499" s="6">
        <v>3280</v>
      </c>
      <c r="E499" s="6">
        <v>337</v>
      </c>
      <c r="F499" s="6">
        <v>4</v>
      </c>
      <c r="G499" s="15">
        <v>1</v>
      </c>
      <c r="H499" s="15"/>
      <c r="I499" s="15" t="s">
        <v>1505</v>
      </c>
      <c r="J499" s="15">
        <v>76512413</v>
      </c>
      <c r="K499" s="15" t="s">
        <v>2528</v>
      </c>
      <c r="L499" s="15" t="s">
        <v>2531</v>
      </c>
      <c r="M499" s="15">
        <v>229900</v>
      </c>
      <c r="N499" s="9">
        <f t="shared" si="33"/>
        <v>0.9</v>
      </c>
      <c r="O499" s="8">
        <f t="shared" si="31"/>
        <v>22990</v>
      </c>
      <c r="P499" s="6" t="s">
        <v>15</v>
      </c>
    </row>
    <row r="500" spans="1:16" x14ac:dyDescent="0.25">
      <c r="A500" s="7" t="str">
        <f t="shared" si="32"/>
        <v>2022 ALL D90</v>
      </c>
      <c r="B500" s="7">
        <f t="shared" si="32"/>
        <v>46114</v>
      </c>
      <c r="C500" s="7">
        <f t="shared" si="32"/>
        <v>46120</v>
      </c>
      <c r="D500" s="6">
        <v>3280</v>
      </c>
      <c r="E500" s="6">
        <v>337</v>
      </c>
      <c r="F500" s="6">
        <v>4</v>
      </c>
      <c r="G500" s="15">
        <v>1</v>
      </c>
      <c r="H500" s="15"/>
      <c r="I500" s="15" t="s">
        <v>1505</v>
      </c>
      <c r="J500" s="15">
        <v>76512422</v>
      </c>
      <c r="K500" s="15" t="s">
        <v>2528</v>
      </c>
      <c r="L500" s="15" t="s">
        <v>2532</v>
      </c>
      <c r="M500" s="15">
        <v>239900</v>
      </c>
      <c r="N500" s="9">
        <f t="shared" si="33"/>
        <v>0.9</v>
      </c>
      <c r="O500" s="8">
        <f t="shared" si="31"/>
        <v>23990</v>
      </c>
      <c r="P500" s="6" t="s">
        <v>15</v>
      </c>
    </row>
    <row r="501" spans="1:16" x14ac:dyDescent="0.25">
      <c r="A501" s="7" t="str">
        <f t="shared" si="32"/>
        <v>2022 ALL D90</v>
      </c>
      <c r="B501" s="7">
        <f t="shared" si="32"/>
        <v>46114</v>
      </c>
      <c r="C501" s="7">
        <f t="shared" si="32"/>
        <v>46120</v>
      </c>
      <c r="D501" s="6">
        <v>3280</v>
      </c>
      <c r="E501" s="6">
        <v>337</v>
      </c>
      <c r="F501" s="6">
        <v>4</v>
      </c>
      <c r="G501" s="15">
        <v>1</v>
      </c>
      <c r="H501" s="15"/>
      <c r="I501" s="15" t="s">
        <v>1505</v>
      </c>
      <c r="J501" s="15">
        <v>76512431</v>
      </c>
      <c r="K501" s="15" t="s">
        <v>2528</v>
      </c>
      <c r="L501" s="15" t="s">
        <v>2533</v>
      </c>
      <c r="M501" s="15">
        <v>239900</v>
      </c>
      <c r="N501" s="9">
        <f t="shared" si="33"/>
        <v>0.9</v>
      </c>
      <c r="O501" s="8">
        <f t="shared" si="31"/>
        <v>23990</v>
      </c>
      <c r="P501" s="6" t="s">
        <v>15</v>
      </c>
    </row>
    <row r="502" spans="1:16" x14ac:dyDescent="0.25">
      <c r="A502" s="7" t="str">
        <f t="shared" si="32"/>
        <v>2022 ALL D90</v>
      </c>
      <c r="B502" s="7">
        <f t="shared" si="32"/>
        <v>46114</v>
      </c>
      <c r="C502" s="7">
        <f t="shared" si="32"/>
        <v>46120</v>
      </c>
      <c r="D502" s="6">
        <v>3280</v>
      </c>
      <c r="E502" s="6">
        <v>337</v>
      </c>
      <c r="F502" s="6">
        <v>4</v>
      </c>
      <c r="G502" s="15">
        <v>1</v>
      </c>
      <c r="H502" s="15"/>
      <c r="I502" s="15" t="s">
        <v>1505</v>
      </c>
      <c r="J502" s="15">
        <v>76015728</v>
      </c>
      <c r="K502" s="15" t="s">
        <v>2521</v>
      </c>
      <c r="L502" s="15" t="s">
        <v>2522</v>
      </c>
      <c r="M502" s="15">
        <v>239900</v>
      </c>
      <c r="N502" s="9">
        <f t="shared" si="33"/>
        <v>0.9</v>
      </c>
      <c r="O502" s="8">
        <f t="shared" si="31"/>
        <v>23990</v>
      </c>
      <c r="P502" s="6" t="s">
        <v>15</v>
      </c>
    </row>
    <row r="503" spans="1:16" x14ac:dyDescent="0.25">
      <c r="A503" s="7" t="str">
        <f t="shared" si="32"/>
        <v>2022 ALL D90</v>
      </c>
      <c r="B503" s="7">
        <f t="shared" si="32"/>
        <v>46114</v>
      </c>
      <c r="C503" s="7">
        <f t="shared" si="32"/>
        <v>46120</v>
      </c>
      <c r="D503" s="6">
        <v>3280</v>
      </c>
      <c r="E503" s="6">
        <v>337</v>
      </c>
      <c r="F503" s="6">
        <v>4</v>
      </c>
      <c r="G503" s="15">
        <v>1</v>
      </c>
      <c r="H503" s="15"/>
      <c r="I503" s="15" t="s">
        <v>1505</v>
      </c>
      <c r="J503" s="15">
        <v>76015737</v>
      </c>
      <c r="K503" s="15" t="s">
        <v>2521</v>
      </c>
      <c r="L503" s="15" t="s">
        <v>2523</v>
      </c>
      <c r="M503" s="15">
        <v>239900</v>
      </c>
      <c r="N503" s="9">
        <f t="shared" si="33"/>
        <v>0.9</v>
      </c>
      <c r="O503" s="8">
        <f t="shared" si="31"/>
        <v>23990</v>
      </c>
      <c r="P503" s="6" t="s">
        <v>15</v>
      </c>
    </row>
    <row r="504" spans="1:16" x14ac:dyDescent="0.25">
      <c r="A504" s="7" t="str">
        <f t="shared" si="32"/>
        <v>2022 ALL D90</v>
      </c>
      <c r="B504" s="7">
        <f t="shared" si="32"/>
        <v>46114</v>
      </c>
      <c r="C504" s="7">
        <f t="shared" si="32"/>
        <v>46120</v>
      </c>
      <c r="D504" s="6">
        <v>3280</v>
      </c>
      <c r="E504" s="6">
        <v>337</v>
      </c>
      <c r="F504" s="6">
        <v>4</v>
      </c>
      <c r="G504" s="15">
        <v>1</v>
      </c>
      <c r="H504" s="15"/>
      <c r="I504" s="15" t="s">
        <v>1505</v>
      </c>
      <c r="J504" s="15">
        <v>76015746</v>
      </c>
      <c r="K504" s="15" t="s">
        <v>2521</v>
      </c>
      <c r="L504" s="15" t="s">
        <v>2524</v>
      </c>
      <c r="M504" s="15">
        <v>239900</v>
      </c>
      <c r="N504" s="9">
        <f t="shared" si="33"/>
        <v>0.9</v>
      </c>
      <c r="O504" s="8">
        <f t="shared" si="31"/>
        <v>23990</v>
      </c>
      <c r="P504" s="6" t="s">
        <v>15</v>
      </c>
    </row>
    <row r="505" spans="1:16" x14ac:dyDescent="0.25">
      <c r="A505" s="7" t="str">
        <f t="shared" si="32"/>
        <v>2022 ALL D90</v>
      </c>
      <c r="B505" s="7">
        <f t="shared" si="32"/>
        <v>46114</v>
      </c>
      <c r="C505" s="7">
        <f t="shared" si="32"/>
        <v>46120</v>
      </c>
      <c r="D505" s="6">
        <v>3280</v>
      </c>
      <c r="E505" s="6">
        <v>337</v>
      </c>
      <c r="F505" s="6">
        <v>4</v>
      </c>
      <c r="G505" s="15">
        <v>1</v>
      </c>
      <c r="H505" s="15"/>
      <c r="I505" s="15" t="s">
        <v>1505</v>
      </c>
      <c r="J505" s="15">
        <v>76015755</v>
      </c>
      <c r="K505" s="15" t="s">
        <v>2521</v>
      </c>
      <c r="L505" s="15" t="s">
        <v>2525</v>
      </c>
      <c r="M505" s="15">
        <v>249900</v>
      </c>
      <c r="N505" s="9">
        <f t="shared" si="33"/>
        <v>0.9</v>
      </c>
      <c r="O505" s="8">
        <f t="shared" si="31"/>
        <v>24990</v>
      </c>
      <c r="P505" s="6" t="s">
        <v>15</v>
      </c>
    </row>
    <row r="506" spans="1:16" x14ac:dyDescent="0.25">
      <c r="A506" s="7" t="str">
        <f t="shared" si="32"/>
        <v>2022 ALL D90</v>
      </c>
      <c r="B506" s="7">
        <f t="shared" si="32"/>
        <v>46114</v>
      </c>
      <c r="C506" s="7">
        <f t="shared" si="32"/>
        <v>46120</v>
      </c>
      <c r="D506" s="6">
        <v>3280</v>
      </c>
      <c r="E506" s="6">
        <v>337</v>
      </c>
      <c r="F506" s="6">
        <v>4</v>
      </c>
      <c r="G506" s="15">
        <v>1</v>
      </c>
      <c r="H506" s="15"/>
      <c r="I506" s="15" t="s">
        <v>1505</v>
      </c>
      <c r="J506" s="15">
        <v>76015764</v>
      </c>
      <c r="K506" s="15" t="s">
        <v>2521</v>
      </c>
      <c r="L506" s="15" t="s">
        <v>2526</v>
      </c>
      <c r="M506" s="15">
        <v>249900</v>
      </c>
      <c r="N506" s="9">
        <f t="shared" si="33"/>
        <v>0.9</v>
      </c>
      <c r="O506" s="8">
        <f t="shared" si="31"/>
        <v>24990</v>
      </c>
      <c r="P506" s="6" t="s">
        <v>15</v>
      </c>
    </row>
    <row r="507" spans="1:16" x14ac:dyDescent="0.25">
      <c r="A507" s="7" t="str">
        <f t="shared" si="32"/>
        <v>2022 ALL D90</v>
      </c>
      <c r="B507" s="7">
        <f t="shared" si="32"/>
        <v>46114</v>
      </c>
      <c r="C507" s="7">
        <f t="shared" si="32"/>
        <v>46120</v>
      </c>
      <c r="D507" s="6">
        <v>3280</v>
      </c>
      <c r="E507" s="6">
        <v>337</v>
      </c>
      <c r="F507" s="6">
        <v>4</v>
      </c>
      <c r="G507" s="15">
        <v>1</v>
      </c>
      <c r="H507" s="15"/>
      <c r="I507" s="15" t="s">
        <v>1505</v>
      </c>
      <c r="J507" s="15">
        <v>76015773</v>
      </c>
      <c r="K507" s="15" t="s">
        <v>2521</v>
      </c>
      <c r="L507" s="15" t="s">
        <v>2527</v>
      </c>
      <c r="M507" s="15">
        <v>249900</v>
      </c>
      <c r="N507" s="9">
        <f t="shared" si="33"/>
        <v>0.9</v>
      </c>
      <c r="O507" s="8">
        <f t="shared" si="31"/>
        <v>24990</v>
      </c>
      <c r="P507" s="6" t="s">
        <v>15</v>
      </c>
    </row>
    <row r="508" spans="1:16" x14ac:dyDescent="0.25">
      <c r="A508" s="7" t="str">
        <f t="shared" si="32"/>
        <v>2022 ALL D90</v>
      </c>
      <c r="B508" s="7">
        <f t="shared" si="32"/>
        <v>46114</v>
      </c>
      <c r="C508" s="7">
        <f t="shared" si="32"/>
        <v>46120</v>
      </c>
      <c r="D508" s="6">
        <v>3280</v>
      </c>
      <c r="E508" s="6">
        <v>337</v>
      </c>
      <c r="F508" s="6">
        <v>4</v>
      </c>
      <c r="G508" s="15">
        <v>1</v>
      </c>
      <c r="H508" s="15"/>
      <c r="I508" s="15" t="s">
        <v>1505</v>
      </c>
      <c r="J508" s="15">
        <v>76153963</v>
      </c>
      <c r="K508" s="15" t="s">
        <v>2541</v>
      </c>
      <c r="L508" s="15" t="s">
        <v>2542</v>
      </c>
      <c r="M508" s="15">
        <v>229900</v>
      </c>
      <c r="N508" s="9">
        <f t="shared" si="33"/>
        <v>0.9</v>
      </c>
      <c r="O508" s="8">
        <f t="shared" si="31"/>
        <v>22990</v>
      </c>
      <c r="P508" s="6" t="s">
        <v>15</v>
      </c>
    </row>
    <row r="509" spans="1:16" x14ac:dyDescent="0.25">
      <c r="A509" s="7" t="str">
        <f t="shared" si="32"/>
        <v>2022 ALL D90</v>
      </c>
      <c r="B509" s="7">
        <f t="shared" si="32"/>
        <v>46114</v>
      </c>
      <c r="C509" s="7">
        <f t="shared" si="32"/>
        <v>46120</v>
      </c>
      <c r="D509" s="6">
        <v>3280</v>
      </c>
      <c r="E509" s="6">
        <v>337</v>
      </c>
      <c r="F509" s="6">
        <v>4</v>
      </c>
      <c r="G509" s="15">
        <v>1</v>
      </c>
      <c r="H509" s="15"/>
      <c r="I509" s="15" t="s">
        <v>1505</v>
      </c>
      <c r="J509" s="15">
        <v>76153972</v>
      </c>
      <c r="K509" s="15" t="s">
        <v>2541</v>
      </c>
      <c r="L509" s="15" t="s">
        <v>2543</v>
      </c>
      <c r="M509" s="15">
        <v>229900</v>
      </c>
      <c r="N509" s="9">
        <f t="shared" si="33"/>
        <v>0.9</v>
      </c>
      <c r="O509" s="8">
        <f t="shared" si="31"/>
        <v>22990</v>
      </c>
      <c r="P509" s="6" t="s">
        <v>15</v>
      </c>
    </row>
    <row r="510" spans="1:16" x14ac:dyDescent="0.25">
      <c r="A510" s="7" t="str">
        <f t="shared" si="32"/>
        <v>2022 ALL D90</v>
      </c>
      <c r="B510" s="7">
        <f t="shared" si="32"/>
        <v>46114</v>
      </c>
      <c r="C510" s="7">
        <f t="shared" si="32"/>
        <v>46120</v>
      </c>
      <c r="D510" s="6">
        <v>3280</v>
      </c>
      <c r="E510" s="6">
        <v>337</v>
      </c>
      <c r="F510" s="6">
        <v>4</v>
      </c>
      <c r="G510" s="15">
        <v>1</v>
      </c>
      <c r="H510" s="15"/>
      <c r="I510" s="15" t="s">
        <v>1505</v>
      </c>
      <c r="J510" s="15">
        <v>76153981</v>
      </c>
      <c r="K510" s="15" t="s">
        <v>2541</v>
      </c>
      <c r="L510" s="15" t="s">
        <v>2544</v>
      </c>
      <c r="M510" s="15">
        <v>229900</v>
      </c>
      <c r="N510" s="9">
        <f t="shared" si="33"/>
        <v>0.9</v>
      </c>
      <c r="O510" s="8">
        <f t="shared" si="31"/>
        <v>22990</v>
      </c>
      <c r="P510" s="6" t="s">
        <v>15</v>
      </c>
    </row>
    <row r="511" spans="1:16" x14ac:dyDescent="0.25">
      <c r="A511" s="7" t="str">
        <f t="shared" si="32"/>
        <v>2022 ALL D90</v>
      </c>
      <c r="B511" s="7">
        <f t="shared" si="32"/>
        <v>46114</v>
      </c>
      <c r="C511" s="7">
        <f t="shared" si="32"/>
        <v>46120</v>
      </c>
      <c r="D511" s="6">
        <v>3280</v>
      </c>
      <c r="E511" s="6">
        <v>337</v>
      </c>
      <c r="F511" s="6">
        <v>4</v>
      </c>
      <c r="G511" s="15">
        <v>1</v>
      </c>
      <c r="H511" s="15"/>
      <c r="I511" s="15" t="s">
        <v>1505</v>
      </c>
      <c r="J511" s="15">
        <v>76153990</v>
      </c>
      <c r="K511" s="15" t="s">
        <v>2541</v>
      </c>
      <c r="L511" s="15" t="s">
        <v>2545</v>
      </c>
      <c r="M511" s="15">
        <v>239900</v>
      </c>
      <c r="N511" s="9">
        <f t="shared" si="33"/>
        <v>0.9</v>
      </c>
      <c r="O511" s="8">
        <f t="shared" si="31"/>
        <v>23990</v>
      </c>
      <c r="P511" s="6" t="s">
        <v>15</v>
      </c>
    </row>
    <row r="512" spans="1:16" x14ac:dyDescent="0.25">
      <c r="A512" s="7" t="str">
        <f t="shared" si="32"/>
        <v>2022 ALL D90</v>
      </c>
      <c r="B512" s="7">
        <f t="shared" si="32"/>
        <v>46114</v>
      </c>
      <c r="C512" s="7">
        <f t="shared" si="32"/>
        <v>46120</v>
      </c>
      <c r="D512" s="6">
        <v>3280</v>
      </c>
      <c r="E512" s="6">
        <v>337</v>
      </c>
      <c r="F512" s="6">
        <v>4</v>
      </c>
      <c r="G512" s="15">
        <v>1</v>
      </c>
      <c r="H512" s="15"/>
      <c r="I512" s="15" t="s">
        <v>1505</v>
      </c>
      <c r="J512" s="15">
        <v>76154006</v>
      </c>
      <c r="K512" s="15" t="s">
        <v>2541</v>
      </c>
      <c r="L512" s="15" t="s">
        <v>2546</v>
      </c>
      <c r="M512" s="15">
        <v>239900</v>
      </c>
      <c r="N512" s="9">
        <f t="shared" si="33"/>
        <v>0.9</v>
      </c>
      <c r="O512" s="8">
        <f t="shared" si="31"/>
        <v>23990</v>
      </c>
      <c r="P512" s="6" t="s">
        <v>15</v>
      </c>
    </row>
    <row r="513" spans="1:16" x14ac:dyDescent="0.25">
      <c r="A513" s="7" t="str">
        <f t="shared" si="32"/>
        <v>2022 ALL D90</v>
      </c>
      <c r="B513" s="7">
        <f t="shared" si="32"/>
        <v>46114</v>
      </c>
      <c r="C513" s="7">
        <f t="shared" si="32"/>
        <v>46120</v>
      </c>
      <c r="D513" s="6">
        <v>3280</v>
      </c>
      <c r="E513" s="6">
        <v>337</v>
      </c>
      <c r="F513" s="6">
        <v>4</v>
      </c>
      <c r="G513" s="15">
        <v>1</v>
      </c>
      <c r="H513" s="15"/>
      <c r="I513" s="15" t="s">
        <v>1505</v>
      </c>
      <c r="J513" s="15">
        <v>76154015</v>
      </c>
      <c r="K513" s="15" t="s">
        <v>2541</v>
      </c>
      <c r="L513" s="15" t="s">
        <v>2547</v>
      </c>
      <c r="M513" s="15">
        <v>239900</v>
      </c>
      <c r="N513" s="9">
        <f t="shared" si="33"/>
        <v>0.9</v>
      </c>
      <c r="O513" s="8">
        <f t="shared" si="31"/>
        <v>23990</v>
      </c>
      <c r="P513" s="6" t="s">
        <v>15</v>
      </c>
    </row>
    <row r="514" spans="1:16" x14ac:dyDescent="0.25">
      <c r="A514" s="7" t="str">
        <f t="shared" si="32"/>
        <v>2022 ALL D90</v>
      </c>
      <c r="B514" s="7">
        <f t="shared" si="32"/>
        <v>46114</v>
      </c>
      <c r="C514" s="7">
        <f t="shared" si="32"/>
        <v>46120</v>
      </c>
      <c r="D514" s="6">
        <v>3280</v>
      </c>
      <c r="E514" s="6">
        <v>337</v>
      </c>
      <c r="F514" s="6">
        <v>4</v>
      </c>
      <c r="G514" s="15">
        <v>1</v>
      </c>
      <c r="H514" s="15"/>
      <c r="I514" s="15" t="s">
        <v>1505</v>
      </c>
      <c r="J514" s="15">
        <v>76154024</v>
      </c>
      <c r="K514" s="15" t="s">
        <v>2548</v>
      </c>
      <c r="L514" s="15" t="s">
        <v>2549</v>
      </c>
      <c r="M514" s="15">
        <v>229900</v>
      </c>
      <c r="N514" s="9">
        <f t="shared" si="33"/>
        <v>0.9</v>
      </c>
      <c r="O514" s="8">
        <f t="shared" si="31"/>
        <v>22990</v>
      </c>
      <c r="P514" s="6" t="s">
        <v>15</v>
      </c>
    </row>
    <row r="515" spans="1:16" x14ac:dyDescent="0.25">
      <c r="A515" s="7" t="str">
        <f t="shared" si="32"/>
        <v>2022 ALL D90</v>
      </c>
      <c r="B515" s="7">
        <f t="shared" si="32"/>
        <v>46114</v>
      </c>
      <c r="C515" s="7">
        <f t="shared" si="32"/>
        <v>46120</v>
      </c>
      <c r="D515" s="6">
        <v>3280</v>
      </c>
      <c r="E515" s="6">
        <v>337</v>
      </c>
      <c r="F515" s="6">
        <v>4</v>
      </c>
      <c r="G515" s="15">
        <v>1</v>
      </c>
      <c r="H515" s="15"/>
      <c r="I515" s="15" t="s">
        <v>1505</v>
      </c>
      <c r="J515" s="15">
        <v>76154033</v>
      </c>
      <c r="K515" s="15" t="s">
        <v>2548</v>
      </c>
      <c r="L515" s="15" t="s">
        <v>2550</v>
      </c>
      <c r="M515" s="15">
        <v>229900</v>
      </c>
      <c r="N515" s="9">
        <f t="shared" si="33"/>
        <v>0.9</v>
      </c>
      <c r="O515" s="8">
        <f t="shared" ref="O515:O578" si="34">M515-((90*M515)/100)</f>
        <v>22990</v>
      </c>
      <c r="P515" s="6" t="s">
        <v>15</v>
      </c>
    </row>
    <row r="516" spans="1:16" x14ac:dyDescent="0.25">
      <c r="A516" s="7" t="str">
        <f t="shared" ref="A516:C579" si="35">A515</f>
        <v>2022 ALL D90</v>
      </c>
      <c r="B516" s="7">
        <f t="shared" si="35"/>
        <v>46114</v>
      </c>
      <c r="C516" s="7">
        <f t="shared" si="35"/>
        <v>46120</v>
      </c>
      <c r="D516" s="6">
        <v>3280</v>
      </c>
      <c r="E516" s="6">
        <v>337</v>
      </c>
      <c r="F516" s="6">
        <v>4</v>
      </c>
      <c r="G516" s="15">
        <v>1</v>
      </c>
      <c r="H516" s="15"/>
      <c r="I516" s="15" t="s">
        <v>1505</v>
      </c>
      <c r="J516" s="15">
        <v>76154042</v>
      </c>
      <c r="K516" s="15" t="s">
        <v>2548</v>
      </c>
      <c r="L516" s="15" t="s">
        <v>2551</v>
      </c>
      <c r="M516" s="15">
        <v>229900</v>
      </c>
      <c r="N516" s="9">
        <f t="shared" ref="N516:N579" si="36">N515</f>
        <v>0.9</v>
      </c>
      <c r="O516" s="8">
        <f t="shared" si="34"/>
        <v>22990</v>
      </c>
      <c r="P516" s="6" t="s">
        <v>15</v>
      </c>
    </row>
    <row r="517" spans="1:16" x14ac:dyDescent="0.25">
      <c r="A517" s="7" t="str">
        <f t="shared" si="35"/>
        <v>2022 ALL D90</v>
      </c>
      <c r="B517" s="7">
        <f t="shared" si="35"/>
        <v>46114</v>
      </c>
      <c r="C517" s="7">
        <f t="shared" si="35"/>
        <v>46120</v>
      </c>
      <c r="D517" s="6">
        <v>3280</v>
      </c>
      <c r="E517" s="6">
        <v>337</v>
      </c>
      <c r="F517" s="6">
        <v>4</v>
      </c>
      <c r="G517" s="15">
        <v>1</v>
      </c>
      <c r="H517" s="15"/>
      <c r="I517" s="15" t="s">
        <v>1505</v>
      </c>
      <c r="J517" s="15">
        <v>76154051</v>
      </c>
      <c r="K517" s="15" t="s">
        <v>2548</v>
      </c>
      <c r="L517" s="15" t="s">
        <v>2552</v>
      </c>
      <c r="M517" s="15">
        <v>239900</v>
      </c>
      <c r="N517" s="9">
        <f t="shared" si="36"/>
        <v>0.9</v>
      </c>
      <c r="O517" s="8">
        <f t="shared" si="34"/>
        <v>23990</v>
      </c>
      <c r="P517" s="6" t="s">
        <v>15</v>
      </c>
    </row>
    <row r="518" spans="1:16" x14ac:dyDescent="0.25">
      <c r="A518" s="7" t="str">
        <f t="shared" si="35"/>
        <v>2022 ALL D90</v>
      </c>
      <c r="B518" s="7">
        <f t="shared" si="35"/>
        <v>46114</v>
      </c>
      <c r="C518" s="7">
        <f t="shared" si="35"/>
        <v>46120</v>
      </c>
      <c r="D518" s="6">
        <v>3280</v>
      </c>
      <c r="E518" s="6">
        <v>337</v>
      </c>
      <c r="F518" s="6">
        <v>4</v>
      </c>
      <c r="G518" s="15">
        <v>1</v>
      </c>
      <c r="H518" s="15"/>
      <c r="I518" s="15" t="s">
        <v>1505</v>
      </c>
      <c r="J518" s="15">
        <v>76154060</v>
      </c>
      <c r="K518" s="15" t="s">
        <v>2548</v>
      </c>
      <c r="L518" s="15" t="s">
        <v>2553</v>
      </c>
      <c r="M518" s="15">
        <v>239900</v>
      </c>
      <c r="N518" s="9">
        <f t="shared" si="36"/>
        <v>0.9</v>
      </c>
      <c r="O518" s="8">
        <f t="shared" si="34"/>
        <v>23990</v>
      </c>
      <c r="P518" s="6" t="s">
        <v>15</v>
      </c>
    </row>
    <row r="519" spans="1:16" x14ac:dyDescent="0.25">
      <c r="A519" s="7" t="str">
        <f t="shared" si="35"/>
        <v>2022 ALL D90</v>
      </c>
      <c r="B519" s="7">
        <f t="shared" si="35"/>
        <v>46114</v>
      </c>
      <c r="C519" s="7">
        <f t="shared" si="35"/>
        <v>46120</v>
      </c>
      <c r="D519" s="6">
        <v>3280</v>
      </c>
      <c r="E519" s="6">
        <v>337</v>
      </c>
      <c r="F519" s="6">
        <v>4</v>
      </c>
      <c r="G519" s="15">
        <v>1</v>
      </c>
      <c r="H519" s="15"/>
      <c r="I519" s="15" t="s">
        <v>1505</v>
      </c>
      <c r="J519" s="15">
        <v>76154079</v>
      </c>
      <c r="K519" s="15" t="s">
        <v>2548</v>
      </c>
      <c r="L519" s="15" t="s">
        <v>2554</v>
      </c>
      <c r="M519" s="15">
        <v>239900</v>
      </c>
      <c r="N519" s="9">
        <f t="shared" si="36"/>
        <v>0.9</v>
      </c>
      <c r="O519" s="8">
        <f t="shared" si="34"/>
        <v>23990</v>
      </c>
      <c r="P519" s="6" t="s">
        <v>15</v>
      </c>
    </row>
    <row r="520" spans="1:16" x14ac:dyDescent="0.25">
      <c r="A520" s="7" t="str">
        <f t="shared" si="35"/>
        <v>2022 ALL D90</v>
      </c>
      <c r="B520" s="7">
        <f t="shared" si="35"/>
        <v>46114</v>
      </c>
      <c r="C520" s="7">
        <f t="shared" si="35"/>
        <v>46120</v>
      </c>
      <c r="D520" s="6">
        <v>3280</v>
      </c>
      <c r="E520" s="6">
        <v>337</v>
      </c>
      <c r="F520" s="6">
        <v>4</v>
      </c>
      <c r="G520" s="15">
        <v>1</v>
      </c>
      <c r="H520" s="15"/>
      <c r="I520" s="15" t="s">
        <v>1505</v>
      </c>
      <c r="J520" s="15">
        <v>75659795</v>
      </c>
      <c r="K520" s="15" t="s">
        <v>2434</v>
      </c>
      <c r="L520" s="15" t="s">
        <v>2435</v>
      </c>
      <c r="M520" s="15">
        <v>249900</v>
      </c>
      <c r="N520" s="9">
        <f t="shared" si="36"/>
        <v>0.9</v>
      </c>
      <c r="O520" s="8">
        <f t="shared" si="34"/>
        <v>24990</v>
      </c>
      <c r="P520" s="6" t="s">
        <v>15</v>
      </c>
    </row>
    <row r="521" spans="1:16" x14ac:dyDescent="0.25">
      <c r="A521" s="7" t="str">
        <f t="shared" si="35"/>
        <v>2022 ALL D90</v>
      </c>
      <c r="B521" s="7">
        <f t="shared" si="35"/>
        <v>46114</v>
      </c>
      <c r="C521" s="7">
        <f t="shared" si="35"/>
        <v>46120</v>
      </c>
      <c r="D521" s="6">
        <v>3280</v>
      </c>
      <c r="E521" s="6">
        <v>337</v>
      </c>
      <c r="F521" s="6">
        <v>4</v>
      </c>
      <c r="G521" s="15">
        <v>1</v>
      </c>
      <c r="H521" s="15"/>
      <c r="I521" s="15" t="s">
        <v>1505</v>
      </c>
      <c r="J521" s="15">
        <v>75659802</v>
      </c>
      <c r="K521" s="15" t="s">
        <v>2434</v>
      </c>
      <c r="L521" s="15" t="s">
        <v>2436</v>
      </c>
      <c r="M521" s="15">
        <v>249900</v>
      </c>
      <c r="N521" s="9">
        <f t="shared" si="36"/>
        <v>0.9</v>
      </c>
      <c r="O521" s="8">
        <f t="shared" si="34"/>
        <v>24990</v>
      </c>
      <c r="P521" s="6" t="s">
        <v>15</v>
      </c>
    </row>
    <row r="522" spans="1:16" x14ac:dyDescent="0.25">
      <c r="A522" s="7" t="str">
        <f t="shared" si="35"/>
        <v>2022 ALL D90</v>
      </c>
      <c r="B522" s="7">
        <f t="shared" si="35"/>
        <v>46114</v>
      </c>
      <c r="C522" s="7">
        <f t="shared" si="35"/>
        <v>46120</v>
      </c>
      <c r="D522" s="6">
        <v>3280</v>
      </c>
      <c r="E522" s="6">
        <v>337</v>
      </c>
      <c r="F522" s="6">
        <v>4</v>
      </c>
      <c r="G522" s="15">
        <v>1</v>
      </c>
      <c r="H522" s="15"/>
      <c r="I522" s="15" t="s">
        <v>1505</v>
      </c>
      <c r="J522" s="15">
        <v>75659811</v>
      </c>
      <c r="K522" s="15" t="s">
        <v>2434</v>
      </c>
      <c r="L522" s="15" t="s">
        <v>2437</v>
      </c>
      <c r="M522" s="15">
        <v>249900</v>
      </c>
      <c r="N522" s="9">
        <f t="shared" si="36"/>
        <v>0.9</v>
      </c>
      <c r="O522" s="8">
        <f t="shared" si="34"/>
        <v>24990</v>
      </c>
      <c r="P522" s="6" t="s">
        <v>15</v>
      </c>
    </row>
    <row r="523" spans="1:16" x14ac:dyDescent="0.25">
      <c r="A523" s="7" t="str">
        <f t="shared" si="35"/>
        <v>2022 ALL D90</v>
      </c>
      <c r="B523" s="7">
        <f t="shared" si="35"/>
        <v>46114</v>
      </c>
      <c r="C523" s="7">
        <f t="shared" si="35"/>
        <v>46120</v>
      </c>
      <c r="D523" s="6">
        <v>3280</v>
      </c>
      <c r="E523" s="6">
        <v>337</v>
      </c>
      <c r="F523" s="6">
        <v>4</v>
      </c>
      <c r="G523" s="15">
        <v>1</v>
      </c>
      <c r="H523" s="15"/>
      <c r="I523" s="15" t="s">
        <v>1505</v>
      </c>
      <c r="J523" s="15">
        <v>75659820</v>
      </c>
      <c r="K523" s="15" t="s">
        <v>2434</v>
      </c>
      <c r="L523" s="15" t="s">
        <v>2438</v>
      </c>
      <c r="M523" s="15">
        <v>259900</v>
      </c>
      <c r="N523" s="9">
        <f t="shared" si="36"/>
        <v>0.9</v>
      </c>
      <c r="O523" s="8">
        <f t="shared" si="34"/>
        <v>25990</v>
      </c>
      <c r="P523" s="6" t="s">
        <v>15</v>
      </c>
    </row>
    <row r="524" spans="1:16" x14ac:dyDescent="0.25">
      <c r="A524" s="7" t="str">
        <f t="shared" si="35"/>
        <v>2022 ALL D90</v>
      </c>
      <c r="B524" s="7">
        <f t="shared" si="35"/>
        <v>46114</v>
      </c>
      <c r="C524" s="7">
        <f t="shared" si="35"/>
        <v>46120</v>
      </c>
      <c r="D524" s="6">
        <v>3280</v>
      </c>
      <c r="E524" s="6">
        <v>337</v>
      </c>
      <c r="F524" s="6">
        <v>4</v>
      </c>
      <c r="G524" s="15">
        <v>1</v>
      </c>
      <c r="H524" s="15"/>
      <c r="I524" s="15" t="s">
        <v>1505</v>
      </c>
      <c r="J524" s="15">
        <v>75659839</v>
      </c>
      <c r="K524" s="15" t="s">
        <v>2434</v>
      </c>
      <c r="L524" s="15" t="s">
        <v>2439</v>
      </c>
      <c r="M524" s="15">
        <v>259900</v>
      </c>
      <c r="N524" s="9">
        <f t="shared" si="36"/>
        <v>0.9</v>
      </c>
      <c r="O524" s="8">
        <f t="shared" si="34"/>
        <v>25990</v>
      </c>
      <c r="P524" s="6" t="s">
        <v>15</v>
      </c>
    </row>
    <row r="525" spans="1:16" x14ac:dyDescent="0.25">
      <c r="A525" s="7" t="str">
        <f t="shared" si="35"/>
        <v>2022 ALL D90</v>
      </c>
      <c r="B525" s="7">
        <f t="shared" si="35"/>
        <v>46114</v>
      </c>
      <c r="C525" s="7">
        <f t="shared" si="35"/>
        <v>46120</v>
      </c>
      <c r="D525" s="6">
        <v>3280</v>
      </c>
      <c r="E525" s="6">
        <v>337</v>
      </c>
      <c r="F525" s="6">
        <v>4</v>
      </c>
      <c r="G525" s="15">
        <v>1</v>
      </c>
      <c r="H525" s="15"/>
      <c r="I525" s="15" t="s">
        <v>1505</v>
      </c>
      <c r="J525" s="15">
        <v>75659848</v>
      </c>
      <c r="K525" s="15" t="s">
        <v>2434</v>
      </c>
      <c r="L525" s="15" t="s">
        <v>2440</v>
      </c>
      <c r="M525" s="15">
        <v>259900</v>
      </c>
      <c r="N525" s="9">
        <f t="shared" si="36"/>
        <v>0.9</v>
      </c>
      <c r="O525" s="8">
        <f t="shared" si="34"/>
        <v>25990</v>
      </c>
      <c r="P525" s="6" t="s">
        <v>15</v>
      </c>
    </row>
    <row r="526" spans="1:16" x14ac:dyDescent="0.25">
      <c r="A526" s="7" t="str">
        <f t="shared" si="35"/>
        <v>2022 ALL D90</v>
      </c>
      <c r="B526" s="7">
        <f t="shared" si="35"/>
        <v>46114</v>
      </c>
      <c r="C526" s="7">
        <f t="shared" si="35"/>
        <v>46120</v>
      </c>
      <c r="D526" s="6">
        <v>3280</v>
      </c>
      <c r="E526" s="6">
        <v>337</v>
      </c>
      <c r="F526" s="6">
        <v>4</v>
      </c>
      <c r="G526" s="15">
        <v>1</v>
      </c>
      <c r="H526" s="15"/>
      <c r="I526" s="15" t="s">
        <v>1505</v>
      </c>
      <c r="J526" s="15">
        <v>76028125</v>
      </c>
      <c r="K526" s="15" t="s">
        <v>3383</v>
      </c>
      <c r="L526" s="15" t="s">
        <v>3384</v>
      </c>
      <c r="M526" s="15">
        <v>259900</v>
      </c>
      <c r="N526" s="9">
        <f t="shared" si="36"/>
        <v>0.9</v>
      </c>
      <c r="O526" s="8">
        <f t="shared" si="34"/>
        <v>25990</v>
      </c>
      <c r="P526" s="6" t="s">
        <v>15</v>
      </c>
    </row>
    <row r="527" spans="1:16" x14ac:dyDescent="0.25">
      <c r="A527" s="7" t="str">
        <f t="shared" si="35"/>
        <v>2022 ALL D90</v>
      </c>
      <c r="B527" s="7">
        <f t="shared" si="35"/>
        <v>46114</v>
      </c>
      <c r="C527" s="7">
        <f t="shared" si="35"/>
        <v>46120</v>
      </c>
      <c r="D527" s="6">
        <v>3280</v>
      </c>
      <c r="E527" s="6">
        <v>337</v>
      </c>
      <c r="F527" s="6">
        <v>4</v>
      </c>
      <c r="G527" s="15">
        <v>1</v>
      </c>
      <c r="H527" s="15"/>
      <c r="I527" s="15" t="s">
        <v>1505</v>
      </c>
      <c r="J527" s="15">
        <v>76028134</v>
      </c>
      <c r="K527" s="15" t="s">
        <v>3383</v>
      </c>
      <c r="L527" s="15" t="s">
        <v>3385</v>
      </c>
      <c r="M527" s="15">
        <v>259900</v>
      </c>
      <c r="N527" s="9">
        <f t="shared" si="36"/>
        <v>0.9</v>
      </c>
      <c r="O527" s="8">
        <f t="shared" si="34"/>
        <v>25990</v>
      </c>
      <c r="P527" s="6" t="s">
        <v>15</v>
      </c>
    </row>
    <row r="528" spans="1:16" x14ac:dyDescent="0.25">
      <c r="A528" s="7" t="str">
        <f t="shared" si="35"/>
        <v>2022 ALL D90</v>
      </c>
      <c r="B528" s="7">
        <f t="shared" si="35"/>
        <v>46114</v>
      </c>
      <c r="C528" s="7">
        <f t="shared" si="35"/>
        <v>46120</v>
      </c>
      <c r="D528" s="6">
        <v>3280</v>
      </c>
      <c r="E528" s="6">
        <v>337</v>
      </c>
      <c r="F528" s="6">
        <v>4</v>
      </c>
      <c r="G528" s="15">
        <v>1</v>
      </c>
      <c r="H528" s="15"/>
      <c r="I528" s="15" t="s">
        <v>1505</v>
      </c>
      <c r="J528" s="15">
        <v>76028143</v>
      </c>
      <c r="K528" s="15" t="s">
        <v>3383</v>
      </c>
      <c r="L528" s="15" t="s">
        <v>3386</v>
      </c>
      <c r="M528" s="15">
        <v>259900</v>
      </c>
      <c r="N528" s="9">
        <f t="shared" si="36"/>
        <v>0.9</v>
      </c>
      <c r="O528" s="8">
        <f t="shared" si="34"/>
        <v>25990</v>
      </c>
      <c r="P528" s="6" t="s">
        <v>15</v>
      </c>
    </row>
    <row r="529" spans="1:16" x14ac:dyDescent="0.25">
      <c r="A529" s="7" t="str">
        <f t="shared" si="35"/>
        <v>2022 ALL D90</v>
      </c>
      <c r="B529" s="7">
        <f t="shared" si="35"/>
        <v>46114</v>
      </c>
      <c r="C529" s="7">
        <f t="shared" si="35"/>
        <v>46120</v>
      </c>
      <c r="D529" s="6">
        <v>3280</v>
      </c>
      <c r="E529" s="6">
        <v>337</v>
      </c>
      <c r="F529" s="6">
        <v>4</v>
      </c>
      <c r="G529" s="15">
        <v>1</v>
      </c>
      <c r="H529" s="15"/>
      <c r="I529" s="15" t="s">
        <v>1505</v>
      </c>
      <c r="J529" s="15">
        <v>76028152</v>
      </c>
      <c r="K529" s="15" t="s">
        <v>3383</v>
      </c>
      <c r="L529" s="15" t="s">
        <v>3387</v>
      </c>
      <c r="M529" s="15">
        <v>269900</v>
      </c>
      <c r="N529" s="9">
        <f t="shared" si="36"/>
        <v>0.9</v>
      </c>
      <c r="O529" s="8">
        <f t="shared" si="34"/>
        <v>26990</v>
      </c>
      <c r="P529" s="6" t="s">
        <v>15</v>
      </c>
    </row>
    <row r="530" spans="1:16" x14ac:dyDescent="0.25">
      <c r="A530" s="7" t="str">
        <f t="shared" si="35"/>
        <v>2022 ALL D90</v>
      </c>
      <c r="B530" s="7">
        <f t="shared" si="35"/>
        <v>46114</v>
      </c>
      <c r="C530" s="7">
        <f t="shared" si="35"/>
        <v>46120</v>
      </c>
      <c r="D530" s="6">
        <v>3280</v>
      </c>
      <c r="E530" s="6">
        <v>337</v>
      </c>
      <c r="F530" s="6">
        <v>4</v>
      </c>
      <c r="G530" s="15">
        <v>1</v>
      </c>
      <c r="H530" s="15"/>
      <c r="I530" s="15" t="s">
        <v>1505</v>
      </c>
      <c r="J530" s="15">
        <v>76028161</v>
      </c>
      <c r="K530" s="15" t="s">
        <v>3383</v>
      </c>
      <c r="L530" s="15" t="s">
        <v>3388</v>
      </c>
      <c r="M530" s="15">
        <v>269900</v>
      </c>
      <c r="N530" s="9">
        <f t="shared" si="36"/>
        <v>0.9</v>
      </c>
      <c r="O530" s="8">
        <f t="shared" si="34"/>
        <v>26990</v>
      </c>
      <c r="P530" s="6" t="s">
        <v>15</v>
      </c>
    </row>
    <row r="531" spans="1:16" x14ac:dyDescent="0.25">
      <c r="A531" s="7" t="str">
        <f t="shared" si="35"/>
        <v>2022 ALL D90</v>
      </c>
      <c r="B531" s="7">
        <f t="shared" si="35"/>
        <v>46114</v>
      </c>
      <c r="C531" s="7">
        <f t="shared" si="35"/>
        <v>46120</v>
      </c>
      <c r="D531" s="6">
        <v>3280</v>
      </c>
      <c r="E531" s="6">
        <v>337</v>
      </c>
      <c r="F531" s="6">
        <v>4</v>
      </c>
      <c r="G531" s="15">
        <v>1</v>
      </c>
      <c r="H531" s="15"/>
      <c r="I531" s="15" t="s">
        <v>1505</v>
      </c>
      <c r="J531" s="15">
        <v>76028170</v>
      </c>
      <c r="K531" s="15" t="s">
        <v>3383</v>
      </c>
      <c r="L531" s="15" t="s">
        <v>3389</v>
      </c>
      <c r="M531" s="15">
        <v>269900</v>
      </c>
      <c r="N531" s="9">
        <f t="shared" si="36"/>
        <v>0.9</v>
      </c>
      <c r="O531" s="8">
        <f t="shared" si="34"/>
        <v>26990</v>
      </c>
      <c r="P531" s="6" t="s">
        <v>15</v>
      </c>
    </row>
    <row r="532" spans="1:16" x14ac:dyDescent="0.25">
      <c r="A532" s="7" t="str">
        <f t="shared" si="35"/>
        <v>2022 ALL D90</v>
      </c>
      <c r="B532" s="7">
        <f t="shared" si="35"/>
        <v>46114</v>
      </c>
      <c r="C532" s="7">
        <f t="shared" si="35"/>
        <v>46120</v>
      </c>
      <c r="D532" s="6">
        <v>3280</v>
      </c>
      <c r="E532" s="6">
        <v>337</v>
      </c>
      <c r="F532" s="6">
        <v>4</v>
      </c>
      <c r="G532" s="15">
        <v>1</v>
      </c>
      <c r="H532" s="15"/>
      <c r="I532" s="15" t="s">
        <v>1505</v>
      </c>
      <c r="J532" s="15">
        <v>76028241</v>
      </c>
      <c r="K532" s="15" t="s">
        <v>3390</v>
      </c>
      <c r="L532" s="15" t="s">
        <v>3391</v>
      </c>
      <c r="M532" s="15">
        <v>259900</v>
      </c>
      <c r="N532" s="9">
        <f t="shared" si="36"/>
        <v>0.9</v>
      </c>
      <c r="O532" s="8">
        <f t="shared" si="34"/>
        <v>25990</v>
      </c>
      <c r="P532" s="6" t="s">
        <v>15</v>
      </c>
    </row>
    <row r="533" spans="1:16" x14ac:dyDescent="0.25">
      <c r="A533" s="7" t="str">
        <f t="shared" si="35"/>
        <v>2022 ALL D90</v>
      </c>
      <c r="B533" s="7">
        <f t="shared" si="35"/>
        <v>46114</v>
      </c>
      <c r="C533" s="7">
        <f t="shared" si="35"/>
        <v>46120</v>
      </c>
      <c r="D533" s="6">
        <v>3280</v>
      </c>
      <c r="E533" s="6">
        <v>337</v>
      </c>
      <c r="F533" s="6">
        <v>4</v>
      </c>
      <c r="G533" s="15">
        <v>1</v>
      </c>
      <c r="H533" s="15"/>
      <c r="I533" s="15" t="s">
        <v>1505</v>
      </c>
      <c r="J533" s="15">
        <v>76028250</v>
      </c>
      <c r="K533" s="15" t="s">
        <v>3390</v>
      </c>
      <c r="L533" s="15" t="s">
        <v>3392</v>
      </c>
      <c r="M533" s="15">
        <v>259900</v>
      </c>
      <c r="N533" s="9">
        <f t="shared" si="36"/>
        <v>0.9</v>
      </c>
      <c r="O533" s="8">
        <f t="shared" si="34"/>
        <v>25990</v>
      </c>
      <c r="P533" s="6" t="s">
        <v>15</v>
      </c>
    </row>
    <row r="534" spans="1:16" x14ac:dyDescent="0.25">
      <c r="A534" s="7" t="str">
        <f t="shared" si="35"/>
        <v>2022 ALL D90</v>
      </c>
      <c r="B534" s="7">
        <f t="shared" si="35"/>
        <v>46114</v>
      </c>
      <c r="C534" s="7">
        <f t="shared" si="35"/>
        <v>46120</v>
      </c>
      <c r="D534" s="6">
        <v>3280</v>
      </c>
      <c r="E534" s="6">
        <v>337</v>
      </c>
      <c r="F534" s="6">
        <v>4</v>
      </c>
      <c r="G534" s="15">
        <v>1</v>
      </c>
      <c r="H534" s="15"/>
      <c r="I534" s="15" t="s">
        <v>1505</v>
      </c>
      <c r="J534" s="15">
        <v>76028269</v>
      </c>
      <c r="K534" s="15" t="s">
        <v>3390</v>
      </c>
      <c r="L534" s="15" t="s">
        <v>3393</v>
      </c>
      <c r="M534" s="15">
        <v>259900</v>
      </c>
      <c r="N534" s="9">
        <f t="shared" si="36"/>
        <v>0.9</v>
      </c>
      <c r="O534" s="8">
        <f t="shared" si="34"/>
        <v>25990</v>
      </c>
      <c r="P534" s="6" t="s">
        <v>15</v>
      </c>
    </row>
    <row r="535" spans="1:16" x14ac:dyDescent="0.25">
      <c r="A535" s="7" t="str">
        <f t="shared" si="35"/>
        <v>2022 ALL D90</v>
      </c>
      <c r="B535" s="7">
        <f t="shared" si="35"/>
        <v>46114</v>
      </c>
      <c r="C535" s="7">
        <f t="shared" si="35"/>
        <v>46120</v>
      </c>
      <c r="D535" s="6">
        <v>3280</v>
      </c>
      <c r="E535" s="6">
        <v>337</v>
      </c>
      <c r="F535" s="6">
        <v>4</v>
      </c>
      <c r="G535" s="15">
        <v>1</v>
      </c>
      <c r="H535" s="15"/>
      <c r="I535" s="15" t="s">
        <v>1505</v>
      </c>
      <c r="J535" s="15">
        <v>76028278</v>
      </c>
      <c r="K535" s="15" t="s">
        <v>3390</v>
      </c>
      <c r="L535" s="15" t="s">
        <v>3394</v>
      </c>
      <c r="M535" s="15">
        <v>269900</v>
      </c>
      <c r="N535" s="9">
        <f t="shared" si="36"/>
        <v>0.9</v>
      </c>
      <c r="O535" s="8">
        <f t="shared" si="34"/>
        <v>26990</v>
      </c>
      <c r="P535" s="6" t="s">
        <v>15</v>
      </c>
    </row>
    <row r="536" spans="1:16" x14ac:dyDescent="0.25">
      <c r="A536" s="7" t="str">
        <f t="shared" si="35"/>
        <v>2022 ALL D90</v>
      </c>
      <c r="B536" s="7">
        <f t="shared" si="35"/>
        <v>46114</v>
      </c>
      <c r="C536" s="7">
        <f t="shared" si="35"/>
        <v>46120</v>
      </c>
      <c r="D536" s="6">
        <v>3280</v>
      </c>
      <c r="E536" s="6">
        <v>337</v>
      </c>
      <c r="F536" s="6">
        <v>4</v>
      </c>
      <c r="G536" s="15">
        <v>1</v>
      </c>
      <c r="H536" s="15"/>
      <c r="I536" s="15" t="s">
        <v>1505</v>
      </c>
      <c r="J536" s="15">
        <v>76028287</v>
      </c>
      <c r="K536" s="15" t="s">
        <v>3390</v>
      </c>
      <c r="L536" s="15" t="s">
        <v>3395</v>
      </c>
      <c r="M536" s="15">
        <v>269900</v>
      </c>
      <c r="N536" s="9">
        <f t="shared" si="36"/>
        <v>0.9</v>
      </c>
      <c r="O536" s="8">
        <f t="shared" si="34"/>
        <v>26990</v>
      </c>
      <c r="P536" s="6" t="s">
        <v>15</v>
      </c>
    </row>
    <row r="537" spans="1:16" x14ac:dyDescent="0.25">
      <c r="A537" s="7" t="str">
        <f t="shared" si="35"/>
        <v>2022 ALL D90</v>
      </c>
      <c r="B537" s="7">
        <f t="shared" si="35"/>
        <v>46114</v>
      </c>
      <c r="C537" s="7">
        <f t="shared" si="35"/>
        <v>46120</v>
      </c>
      <c r="D537" s="6">
        <v>3280</v>
      </c>
      <c r="E537" s="6">
        <v>337</v>
      </c>
      <c r="F537" s="6">
        <v>4</v>
      </c>
      <c r="G537" s="15">
        <v>1</v>
      </c>
      <c r="H537" s="15"/>
      <c r="I537" s="15" t="s">
        <v>1505</v>
      </c>
      <c r="J537" s="15">
        <v>76439155</v>
      </c>
      <c r="K537" s="15" t="s">
        <v>2441</v>
      </c>
      <c r="L537" s="15" t="s">
        <v>2442</v>
      </c>
      <c r="M537" s="15">
        <v>259900</v>
      </c>
      <c r="N537" s="9">
        <f t="shared" si="36"/>
        <v>0.9</v>
      </c>
      <c r="O537" s="8">
        <f t="shared" si="34"/>
        <v>25990</v>
      </c>
      <c r="P537" s="6" t="s">
        <v>15</v>
      </c>
    </row>
    <row r="538" spans="1:16" x14ac:dyDescent="0.25">
      <c r="A538" s="7" t="str">
        <f t="shared" si="35"/>
        <v>2022 ALL D90</v>
      </c>
      <c r="B538" s="7">
        <f t="shared" si="35"/>
        <v>46114</v>
      </c>
      <c r="C538" s="7">
        <f t="shared" si="35"/>
        <v>46120</v>
      </c>
      <c r="D538" s="6">
        <v>3280</v>
      </c>
      <c r="E538" s="6">
        <v>337</v>
      </c>
      <c r="F538" s="6">
        <v>4</v>
      </c>
      <c r="G538" s="15">
        <v>1</v>
      </c>
      <c r="H538" s="15"/>
      <c r="I538" s="15" t="s">
        <v>1505</v>
      </c>
      <c r="J538" s="15">
        <v>76439164</v>
      </c>
      <c r="K538" s="15" t="s">
        <v>2441</v>
      </c>
      <c r="L538" s="15" t="s">
        <v>2443</v>
      </c>
      <c r="M538" s="15">
        <v>259900</v>
      </c>
      <c r="N538" s="9">
        <f t="shared" si="36"/>
        <v>0.9</v>
      </c>
      <c r="O538" s="8">
        <f t="shared" si="34"/>
        <v>25990</v>
      </c>
      <c r="P538" s="6" t="s">
        <v>15</v>
      </c>
    </row>
    <row r="539" spans="1:16" x14ac:dyDescent="0.25">
      <c r="A539" s="7" t="str">
        <f t="shared" si="35"/>
        <v>2022 ALL D90</v>
      </c>
      <c r="B539" s="7">
        <f t="shared" si="35"/>
        <v>46114</v>
      </c>
      <c r="C539" s="7">
        <f t="shared" si="35"/>
        <v>46120</v>
      </c>
      <c r="D539" s="6">
        <v>3280</v>
      </c>
      <c r="E539" s="6">
        <v>337</v>
      </c>
      <c r="F539" s="6">
        <v>4</v>
      </c>
      <c r="G539" s="15">
        <v>1</v>
      </c>
      <c r="H539" s="15"/>
      <c r="I539" s="15" t="s">
        <v>1505</v>
      </c>
      <c r="J539" s="15">
        <v>76439173</v>
      </c>
      <c r="K539" s="15" t="s">
        <v>2441</v>
      </c>
      <c r="L539" s="15" t="s">
        <v>2444</v>
      </c>
      <c r="M539" s="15">
        <v>259900</v>
      </c>
      <c r="N539" s="9">
        <f t="shared" si="36"/>
        <v>0.9</v>
      </c>
      <c r="O539" s="8">
        <f t="shared" si="34"/>
        <v>25990</v>
      </c>
      <c r="P539" s="6" t="s">
        <v>15</v>
      </c>
    </row>
    <row r="540" spans="1:16" x14ac:dyDescent="0.25">
      <c r="A540" s="7" t="str">
        <f t="shared" si="35"/>
        <v>2022 ALL D90</v>
      </c>
      <c r="B540" s="7">
        <f t="shared" si="35"/>
        <v>46114</v>
      </c>
      <c r="C540" s="7">
        <f t="shared" si="35"/>
        <v>46120</v>
      </c>
      <c r="D540" s="6">
        <v>3280</v>
      </c>
      <c r="E540" s="6">
        <v>337</v>
      </c>
      <c r="F540" s="6">
        <v>4</v>
      </c>
      <c r="G540" s="15">
        <v>1</v>
      </c>
      <c r="H540" s="15"/>
      <c r="I540" s="15" t="s">
        <v>1505</v>
      </c>
      <c r="J540" s="15">
        <v>76439182</v>
      </c>
      <c r="K540" s="15" t="s">
        <v>2441</v>
      </c>
      <c r="L540" s="15" t="s">
        <v>2445</v>
      </c>
      <c r="M540" s="15">
        <v>269900</v>
      </c>
      <c r="N540" s="9">
        <f t="shared" si="36"/>
        <v>0.9</v>
      </c>
      <c r="O540" s="8">
        <f t="shared" si="34"/>
        <v>26990</v>
      </c>
      <c r="P540" s="6" t="s">
        <v>15</v>
      </c>
    </row>
    <row r="541" spans="1:16" x14ac:dyDescent="0.25">
      <c r="A541" s="7" t="str">
        <f t="shared" si="35"/>
        <v>2022 ALL D90</v>
      </c>
      <c r="B541" s="7">
        <f t="shared" si="35"/>
        <v>46114</v>
      </c>
      <c r="C541" s="7">
        <f t="shared" si="35"/>
        <v>46120</v>
      </c>
      <c r="D541" s="6">
        <v>3280</v>
      </c>
      <c r="E541" s="6">
        <v>337</v>
      </c>
      <c r="F541" s="6">
        <v>4</v>
      </c>
      <c r="G541" s="15">
        <v>1</v>
      </c>
      <c r="H541" s="15"/>
      <c r="I541" s="15" t="s">
        <v>1505</v>
      </c>
      <c r="J541" s="15">
        <v>76439191</v>
      </c>
      <c r="K541" s="15" t="s">
        <v>2441</v>
      </c>
      <c r="L541" s="15" t="s">
        <v>2446</v>
      </c>
      <c r="M541" s="15">
        <v>269900</v>
      </c>
      <c r="N541" s="9">
        <f t="shared" si="36"/>
        <v>0.9</v>
      </c>
      <c r="O541" s="8">
        <f t="shared" si="34"/>
        <v>26990</v>
      </c>
      <c r="P541" s="6" t="s">
        <v>15</v>
      </c>
    </row>
    <row r="542" spans="1:16" x14ac:dyDescent="0.25">
      <c r="A542" s="7" t="str">
        <f t="shared" si="35"/>
        <v>2022 ALL D90</v>
      </c>
      <c r="B542" s="7">
        <f t="shared" si="35"/>
        <v>46114</v>
      </c>
      <c r="C542" s="7">
        <f t="shared" si="35"/>
        <v>46120</v>
      </c>
      <c r="D542" s="6">
        <v>3280</v>
      </c>
      <c r="E542" s="6">
        <v>337</v>
      </c>
      <c r="F542" s="6">
        <v>4</v>
      </c>
      <c r="G542" s="15">
        <v>1</v>
      </c>
      <c r="H542" s="15"/>
      <c r="I542" s="15" t="s">
        <v>1505</v>
      </c>
      <c r="J542" s="15">
        <v>76439208</v>
      </c>
      <c r="K542" s="15" t="s">
        <v>2441</v>
      </c>
      <c r="L542" s="15" t="s">
        <v>2447</v>
      </c>
      <c r="M542" s="15">
        <v>269900</v>
      </c>
      <c r="N542" s="9">
        <f t="shared" si="36"/>
        <v>0.9</v>
      </c>
      <c r="O542" s="8">
        <f t="shared" si="34"/>
        <v>26990</v>
      </c>
      <c r="P542" s="6" t="s">
        <v>15</v>
      </c>
    </row>
    <row r="543" spans="1:16" x14ac:dyDescent="0.25">
      <c r="A543" s="7" t="str">
        <f t="shared" si="35"/>
        <v>2022 ALL D90</v>
      </c>
      <c r="B543" s="7">
        <f t="shared" si="35"/>
        <v>46114</v>
      </c>
      <c r="C543" s="7">
        <f t="shared" si="35"/>
        <v>46120</v>
      </c>
      <c r="D543" s="6">
        <v>3280</v>
      </c>
      <c r="E543" s="6">
        <v>337</v>
      </c>
      <c r="F543" s="6">
        <v>4</v>
      </c>
      <c r="G543" s="15">
        <v>1</v>
      </c>
      <c r="H543" s="15"/>
      <c r="I543" s="15" t="s">
        <v>1505</v>
      </c>
      <c r="J543" s="15">
        <v>76439217</v>
      </c>
      <c r="K543" s="15" t="s">
        <v>2427</v>
      </c>
      <c r="L543" s="15" t="s">
        <v>2428</v>
      </c>
      <c r="M543" s="15">
        <v>249900</v>
      </c>
      <c r="N543" s="9">
        <f t="shared" si="36"/>
        <v>0.9</v>
      </c>
      <c r="O543" s="8">
        <f t="shared" si="34"/>
        <v>24990</v>
      </c>
      <c r="P543" s="6" t="s">
        <v>15</v>
      </c>
    </row>
    <row r="544" spans="1:16" x14ac:dyDescent="0.25">
      <c r="A544" s="7" t="str">
        <f t="shared" si="35"/>
        <v>2022 ALL D90</v>
      </c>
      <c r="B544" s="7">
        <f t="shared" si="35"/>
        <v>46114</v>
      </c>
      <c r="C544" s="7">
        <f t="shared" si="35"/>
        <v>46120</v>
      </c>
      <c r="D544" s="6">
        <v>3280</v>
      </c>
      <c r="E544" s="6">
        <v>337</v>
      </c>
      <c r="F544" s="6">
        <v>4</v>
      </c>
      <c r="G544" s="15">
        <v>1</v>
      </c>
      <c r="H544" s="15"/>
      <c r="I544" s="15" t="s">
        <v>1505</v>
      </c>
      <c r="J544" s="15">
        <v>76439226</v>
      </c>
      <c r="K544" s="15" t="s">
        <v>2427</v>
      </c>
      <c r="L544" s="15" t="s">
        <v>2429</v>
      </c>
      <c r="M544" s="15">
        <v>249900</v>
      </c>
      <c r="N544" s="9">
        <f t="shared" si="36"/>
        <v>0.9</v>
      </c>
      <c r="O544" s="8">
        <f t="shared" si="34"/>
        <v>24990</v>
      </c>
      <c r="P544" s="6" t="s">
        <v>15</v>
      </c>
    </row>
    <row r="545" spans="1:16" x14ac:dyDescent="0.25">
      <c r="A545" s="7" t="str">
        <f t="shared" si="35"/>
        <v>2022 ALL D90</v>
      </c>
      <c r="B545" s="7">
        <f t="shared" si="35"/>
        <v>46114</v>
      </c>
      <c r="C545" s="7">
        <f t="shared" si="35"/>
        <v>46120</v>
      </c>
      <c r="D545" s="6">
        <v>3280</v>
      </c>
      <c r="E545" s="6">
        <v>337</v>
      </c>
      <c r="F545" s="6">
        <v>4</v>
      </c>
      <c r="G545" s="15">
        <v>1</v>
      </c>
      <c r="H545" s="15"/>
      <c r="I545" s="15" t="s">
        <v>1505</v>
      </c>
      <c r="J545" s="15">
        <v>76439235</v>
      </c>
      <c r="K545" s="15" t="s">
        <v>2427</v>
      </c>
      <c r="L545" s="15" t="s">
        <v>2430</v>
      </c>
      <c r="M545" s="15">
        <v>249900</v>
      </c>
      <c r="N545" s="9">
        <f t="shared" si="36"/>
        <v>0.9</v>
      </c>
      <c r="O545" s="8">
        <f t="shared" si="34"/>
        <v>24990</v>
      </c>
      <c r="P545" s="6" t="s">
        <v>15</v>
      </c>
    </row>
    <row r="546" spans="1:16" x14ac:dyDescent="0.25">
      <c r="A546" s="7" t="str">
        <f t="shared" si="35"/>
        <v>2022 ALL D90</v>
      </c>
      <c r="B546" s="7">
        <f t="shared" si="35"/>
        <v>46114</v>
      </c>
      <c r="C546" s="7">
        <f t="shared" si="35"/>
        <v>46120</v>
      </c>
      <c r="D546" s="6">
        <v>3280</v>
      </c>
      <c r="E546" s="6">
        <v>337</v>
      </c>
      <c r="F546" s="6">
        <v>4</v>
      </c>
      <c r="G546" s="15">
        <v>1</v>
      </c>
      <c r="H546" s="15"/>
      <c r="I546" s="15" t="s">
        <v>1505</v>
      </c>
      <c r="J546" s="15">
        <v>76439244</v>
      </c>
      <c r="K546" s="15" t="s">
        <v>2427</v>
      </c>
      <c r="L546" s="15" t="s">
        <v>2431</v>
      </c>
      <c r="M546" s="15">
        <v>259900</v>
      </c>
      <c r="N546" s="9">
        <f t="shared" si="36"/>
        <v>0.9</v>
      </c>
      <c r="O546" s="8">
        <f t="shared" si="34"/>
        <v>25990</v>
      </c>
      <c r="P546" s="6" t="s">
        <v>15</v>
      </c>
    </row>
    <row r="547" spans="1:16" x14ac:dyDescent="0.25">
      <c r="A547" s="7" t="str">
        <f t="shared" si="35"/>
        <v>2022 ALL D90</v>
      </c>
      <c r="B547" s="7">
        <f t="shared" si="35"/>
        <v>46114</v>
      </c>
      <c r="C547" s="7">
        <f t="shared" ref="C547:C610" si="37">C546</f>
        <v>46120</v>
      </c>
      <c r="D547" s="6">
        <v>3280</v>
      </c>
      <c r="E547" s="6">
        <v>337</v>
      </c>
      <c r="F547" s="6">
        <v>4</v>
      </c>
      <c r="G547" s="15">
        <v>1</v>
      </c>
      <c r="H547" s="15"/>
      <c r="I547" s="15" t="s">
        <v>1505</v>
      </c>
      <c r="J547" s="15">
        <v>76439253</v>
      </c>
      <c r="K547" s="15" t="s">
        <v>2427</v>
      </c>
      <c r="L547" s="15" t="s">
        <v>2432</v>
      </c>
      <c r="M547" s="15">
        <v>259900</v>
      </c>
      <c r="N547" s="9">
        <f t="shared" si="36"/>
        <v>0.9</v>
      </c>
      <c r="O547" s="8">
        <f t="shared" si="34"/>
        <v>25990</v>
      </c>
      <c r="P547" s="6" t="s">
        <v>15</v>
      </c>
    </row>
    <row r="548" spans="1:16" x14ac:dyDescent="0.25">
      <c r="A548" s="7" t="str">
        <f t="shared" si="35"/>
        <v>2022 ALL D90</v>
      </c>
      <c r="B548" s="7">
        <f t="shared" ref="B548:B611" si="38">B547</f>
        <v>46114</v>
      </c>
      <c r="C548" s="7">
        <f t="shared" si="37"/>
        <v>46120</v>
      </c>
      <c r="D548" s="6">
        <v>3280</v>
      </c>
      <c r="E548" s="6">
        <v>337</v>
      </c>
      <c r="F548" s="6">
        <v>4</v>
      </c>
      <c r="G548" s="15">
        <v>1</v>
      </c>
      <c r="H548" s="15"/>
      <c r="I548" s="15" t="s">
        <v>1505</v>
      </c>
      <c r="J548" s="15">
        <v>76439262</v>
      </c>
      <c r="K548" s="15" t="s">
        <v>2427</v>
      </c>
      <c r="L548" s="15" t="s">
        <v>2433</v>
      </c>
      <c r="M548" s="15">
        <v>259900</v>
      </c>
      <c r="N548" s="9">
        <f t="shared" si="36"/>
        <v>0.9</v>
      </c>
      <c r="O548" s="8">
        <f t="shared" si="34"/>
        <v>25990</v>
      </c>
      <c r="P548" s="6" t="s">
        <v>15</v>
      </c>
    </row>
    <row r="549" spans="1:16" x14ac:dyDescent="0.25">
      <c r="A549" s="7" t="str">
        <f t="shared" si="35"/>
        <v>2022 ALL D90</v>
      </c>
      <c r="B549" s="7">
        <f t="shared" si="38"/>
        <v>46114</v>
      </c>
      <c r="C549" s="7">
        <f t="shared" si="37"/>
        <v>46120</v>
      </c>
      <c r="D549" s="6">
        <v>3280</v>
      </c>
      <c r="E549" s="6">
        <v>337</v>
      </c>
      <c r="F549" s="6">
        <v>4</v>
      </c>
      <c r="G549" s="15">
        <v>1</v>
      </c>
      <c r="H549" s="15"/>
      <c r="I549" s="15" t="s">
        <v>1505</v>
      </c>
      <c r="J549" s="15">
        <v>76585265</v>
      </c>
      <c r="K549" s="15" t="s">
        <v>2420</v>
      </c>
      <c r="L549" s="15" t="s">
        <v>2421</v>
      </c>
      <c r="M549" s="15">
        <v>259900</v>
      </c>
      <c r="N549" s="9">
        <f t="shared" si="36"/>
        <v>0.9</v>
      </c>
      <c r="O549" s="8">
        <f t="shared" si="34"/>
        <v>25990</v>
      </c>
      <c r="P549" s="6" t="s">
        <v>15</v>
      </c>
    </row>
    <row r="550" spans="1:16" x14ac:dyDescent="0.25">
      <c r="A550" s="7" t="str">
        <f t="shared" si="35"/>
        <v>2022 ALL D90</v>
      </c>
      <c r="B550" s="7">
        <f t="shared" si="38"/>
        <v>46114</v>
      </c>
      <c r="C550" s="7">
        <f t="shared" si="37"/>
        <v>46120</v>
      </c>
      <c r="D550" s="6">
        <v>3280</v>
      </c>
      <c r="E550" s="6">
        <v>337</v>
      </c>
      <c r="F550" s="6">
        <v>4</v>
      </c>
      <c r="G550" s="15">
        <v>1</v>
      </c>
      <c r="H550" s="15"/>
      <c r="I550" s="15" t="s">
        <v>1505</v>
      </c>
      <c r="J550" s="15">
        <v>76585274</v>
      </c>
      <c r="K550" s="15" t="s">
        <v>2420</v>
      </c>
      <c r="L550" s="15" t="s">
        <v>2422</v>
      </c>
      <c r="M550" s="15">
        <v>259900</v>
      </c>
      <c r="N550" s="9">
        <f t="shared" si="36"/>
        <v>0.9</v>
      </c>
      <c r="O550" s="8">
        <f t="shared" si="34"/>
        <v>25990</v>
      </c>
      <c r="P550" s="6" t="s">
        <v>15</v>
      </c>
    </row>
    <row r="551" spans="1:16" x14ac:dyDescent="0.25">
      <c r="A551" s="7" t="str">
        <f t="shared" si="35"/>
        <v>2022 ALL D90</v>
      </c>
      <c r="B551" s="7">
        <f t="shared" si="38"/>
        <v>46114</v>
      </c>
      <c r="C551" s="7">
        <f t="shared" si="37"/>
        <v>46120</v>
      </c>
      <c r="D551" s="6">
        <v>3280</v>
      </c>
      <c r="E551" s="6">
        <v>337</v>
      </c>
      <c r="F551" s="6">
        <v>4</v>
      </c>
      <c r="G551" s="15">
        <v>1</v>
      </c>
      <c r="H551" s="15"/>
      <c r="I551" s="15" t="s">
        <v>1505</v>
      </c>
      <c r="J551" s="15">
        <v>76585283</v>
      </c>
      <c r="K551" s="15" t="s">
        <v>2420</v>
      </c>
      <c r="L551" s="15" t="s">
        <v>2423</v>
      </c>
      <c r="M551" s="15">
        <v>259900</v>
      </c>
      <c r="N551" s="9">
        <f t="shared" si="36"/>
        <v>0.9</v>
      </c>
      <c r="O551" s="8">
        <f t="shared" si="34"/>
        <v>25990</v>
      </c>
      <c r="P551" s="6" t="s">
        <v>15</v>
      </c>
    </row>
    <row r="552" spans="1:16" x14ac:dyDescent="0.25">
      <c r="A552" s="7" t="str">
        <f t="shared" si="35"/>
        <v>2022 ALL D90</v>
      </c>
      <c r="B552" s="7">
        <f t="shared" si="38"/>
        <v>46114</v>
      </c>
      <c r="C552" s="7">
        <f t="shared" si="37"/>
        <v>46120</v>
      </c>
      <c r="D552" s="6">
        <v>3280</v>
      </c>
      <c r="E552" s="6">
        <v>337</v>
      </c>
      <c r="F552" s="6">
        <v>4</v>
      </c>
      <c r="G552" s="15">
        <v>1</v>
      </c>
      <c r="H552" s="15"/>
      <c r="I552" s="15" t="s">
        <v>1505</v>
      </c>
      <c r="J552" s="15">
        <v>76585292</v>
      </c>
      <c r="K552" s="15" t="s">
        <v>2420</v>
      </c>
      <c r="L552" s="15" t="s">
        <v>2424</v>
      </c>
      <c r="M552" s="15">
        <v>269900</v>
      </c>
      <c r="N552" s="9">
        <f t="shared" si="36"/>
        <v>0.9</v>
      </c>
      <c r="O552" s="8">
        <f t="shared" si="34"/>
        <v>26990</v>
      </c>
      <c r="P552" s="6" t="s">
        <v>15</v>
      </c>
    </row>
    <row r="553" spans="1:16" x14ac:dyDescent="0.25">
      <c r="A553" s="7" t="str">
        <f t="shared" si="35"/>
        <v>2022 ALL D90</v>
      </c>
      <c r="B553" s="7">
        <f t="shared" si="38"/>
        <v>46114</v>
      </c>
      <c r="C553" s="7">
        <f t="shared" si="37"/>
        <v>46120</v>
      </c>
      <c r="D553" s="6">
        <v>3280</v>
      </c>
      <c r="E553" s="6">
        <v>337</v>
      </c>
      <c r="F553" s="6">
        <v>4</v>
      </c>
      <c r="G553" s="15">
        <v>1</v>
      </c>
      <c r="H553" s="15"/>
      <c r="I553" s="15" t="s">
        <v>1505</v>
      </c>
      <c r="J553" s="15">
        <v>76585309</v>
      </c>
      <c r="K553" s="15" t="s">
        <v>2420</v>
      </c>
      <c r="L553" s="15" t="s">
        <v>2425</v>
      </c>
      <c r="M553" s="15">
        <v>269900</v>
      </c>
      <c r="N553" s="9">
        <f t="shared" si="36"/>
        <v>0.9</v>
      </c>
      <c r="O553" s="8">
        <f t="shared" si="34"/>
        <v>26990</v>
      </c>
      <c r="P553" s="6" t="s">
        <v>15</v>
      </c>
    </row>
    <row r="554" spans="1:16" x14ac:dyDescent="0.25">
      <c r="A554" s="7" t="str">
        <f t="shared" si="35"/>
        <v>2022 ALL D90</v>
      </c>
      <c r="B554" s="7">
        <f t="shared" si="38"/>
        <v>46114</v>
      </c>
      <c r="C554" s="7">
        <f t="shared" si="37"/>
        <v>46120</v>
      </c>
      <c r="D554" s="6">
        <v>3280</v>
      </c>
      <c r="E554" s="6">
        <v>337</v>
      </c>
      <c r="F554" s="6">
        <v>4</v>
      </c>
      <c r="G554" s="15">
        <v>1</v>
      </c>
      <c r="H554" s="15"/>
      <c r="I554" s="15" t="s">
        <v>1505</v>
      </c>
      <c r="J554" s="15">
        <v>76585318</v>
      </c>
      <c r="K554" s="15" t="s">
        <v>2420</v>
      </c>
      <c r="L554" s="15" t="s">
        <v>2426</v>
      </c>
      <c r="M554" s="15">
        <v>269900</v>
      </c>
      <c r="N554" s="9">
        <f t="shared" si="36"/>
        <v>0.9</v>
      </c>
      <c r="O554" s="8">
        <f t="shared" si="34"/>
        <v>26990</v>
      </c>
      <c r="P554" s="6" t="s">
        <v>15</v>
      </c>
    </row>
    <row r="555" spans="1:16" x14ac:dyDescent="0.25">
      <c r="A555" s="7" t="str">
        <f t="shared" si="35"/>
        <v>2022 ALL D90</v>
      </c>
      <c r="B555" s="7">
        <f t="shared" si="38"/>
        <v>46114</v>
      </c>
      <c r="C555" s="7">
        <f t="shared" si="37"/>
        <v>46120</v>
      </c>
      <c r="D555" s="6">
        <v>3280</v>
      </c>
      <c r="E555" s="6">
        <v>337</v>
      </c>
      <c r="F555" s="6">
        <v>4</v>
      </c>
      <c r="G555" s="15">
        <v>1</v>
      </c>
      <c r="H555" s="15"/>
      <c r="I555" s="15" t="s">
        <v>1505</v>
      </c>
      <c r="J555" s="15">
        <v>76439333</v>
      </c>
      <c r="K555" s="15" t="s">
        <v>2569</v>
      </c>
      <c r="L555" s="15" t="s">
        <v>2570</v>
      </c>
      <c r="M555" s="15">
        <v>229900</v>
      </c>
      <c r="N555" s="9">
        <f t="shared" si="36"/>
        <v>0.9</v>
      </c>
      <c r="O555" s="8">
        <f t="shared" si="34"/>
        <v>22990</v>
      </c>
      <c r="P555" s="6" t="s">
        <v>15</v>
      </c>
    </row>
    <row r="556" spans="1:16" x14ac:dyDescent="0.25">
      <c r="A556" s="7" t="str">
        <f t="shared" si="35"/>
        <v>2022 ALL D90</v>
      </c>
      <c r="B556" s="7">
        <f t="shared" si="38"/>
        <v>46114</v>
      </c>
      <c r="C556" s="7">
        <f t="shared" si="37"/>
        <v>46120</v>
      </c>
      <c r="D556" s="6">
        <v>3280</v>
      </c>
      <c r="E556" s="6">
        <v>337</v>
      </c>
      <c r="F556" s="6">
        <v>4</v>
      </c>
      <c r="G556" s="15">
        <v>1</v>
      </c>
      <c r="H556" s="15"/>
      <c r="I556" s="15" t="s">
        <v>1505</v>
      </c>
      <c r="J556" s="15">
        <v>76439342</v>
      </c>
      <c r="K556" s="15" t="s">
        <v>2569</v>
      </c>
      <c r="L556" s="15" t="s">
        <v>2571</v>
      </c>
      <c r="M556" s="15">
        <v>229900</v>
      </c>
      <c r="N556" s="9">
        <f t="shared" si="36"/>
        <v>0.9</v>
      </c>
      <c r="O556" s="8">
        <f t="shared" si="34"/>
        <v>22990</v>
      </c>
      <c r="P556" s="6" t="s">
        <v>15</v>
      </c>
    </row>
    <row r="557" spans="1:16" x14ac:dyDescent="0.25">
      <c r="A557" s="7" t="str">
        <f t="shared" si="35"/>
        <v>2022 ALL D90</v>
      </c>
      <c r="B557" s="7">
        <f t="shared" si="38"/>
        <v>46114</v>
      </c>
      <c r="C557" s="7">
        <f t="shared" si="37"/>
        <v>46120</v>
      </c>
      <c r="D557" s="6">
        <v>3280</v>
      </c>
      <c r="E557" s="6">
        <v>337</v>
      </c>
      <c r="F557" s="6">
        <v>4</v>
      </c>
      <c r="G557" s="15">
        <v>1</v>
      </c>
      <c r="H557" s="15"/>
      <c r="I557" s="15" t="s">
        <v>1505</v>
      </c>
      <c r="J557" s="15">
        <v>76439351</v>
      </c>
      <c r="K557" s="15" t="s">
        <v>2569</v>
      </c>
      <c r="L557" s="15" t="s">
        <v>2572</v>
      </c>
      <c r="M557" s="15">
        <v>229900</v>
      </c>
      <c r="N557" s="9">
        <f t="shared" si="36"/>
        <v>0.9</v>
      </c>
      <c r="O557" s="8">
        <f t="shared" si="34"/>
        <v>22990</v>
      </c>
      <c r="P557" s="6" t="s">
        <v>15</v>
      </c>
    </row>
    <row r="558" spans="1:16" x14ac:dyDescent="0.25">
      <c r="A558" s="7" t="str">
        <f t="shared" si="35"/>
        <v>2022 ALL D90</v>
      </c>
      <c r="B558" s="7">
        <f t="shared" si="38"/>
        <v>46114</v>
      </c>
      <c r="C558" s="7">
        <f t="shared" si="37"/>
        <v>46120</v>
      </c>
      <c r="D558" s="6">
        <v>3280</v>
      </c>
      <c r="E558" s="6">
        <v>337</v>
      </c>
      <c r="F558" s="6">
        <v>4</v>
      </c>
      <c r="G558" s="15">
        <v>1</v>
      </c>
      <c r="H558" s="15"/>
      <c r="I558" s="15" t="s">
        <v>1505</v>
      </c>
      <c r="J558" s="15">
        <v>76439360</v>
      </c>
      <c r="K558" s="15" t="s">
        <v>2569</v>
      </c>
      <c r="L558" s="15" t="s">
        <v>2573</v>
      </c>
      <c r="M558" s="15">
        <v>239900</v>
      </c>
      <c r="N558" s="9">
        <f t="shared" si="36"/>
        <v>0.9</v>
      </c>
      <c r="O558" s="8">
        <f t="shared" si="34"/>
        <v>23990</v>
      </c>
      <c r="P558" s="6" t="s">
        <v>15</v>
      </c>
    </row>
    <row r="559" spans="1:16" x14ac:dyDescent="0.25">
      <c r="A559" s="7" t="str">
        <f t="shared" si="35"/>
        <v>2022 ALL D90</v>
      </c>
      <c r="B559" s="7">
        <f t="shared" si="38"/>
        <v>46114</v>
      </c>
      <c r="C559" s="7">
        <f t="shared" si="37"/>
        <v>46120</v>
      </c>
      <c r="D559" s="6">
        <v>3280</v>
      </c>
      <c r="E559" s="6">
        <v>337</v>
      </c>
      <c r="F559" s="6">
        <v>4</v>
      </c>
      <c r="G559" s="15">
        <v>1</v>
      </c>
      <c r="H559" s="15"/>
      <c r="I559" s="15" t="s">
        <v>1505</v>
      </c>
      <c r="J559" s="15">
        <v>76439379</v>
      </c>
      <c r="K559" s="15" t="s">
        <v>2569</v>
      </c>
      <c r="L559" s="15" t="s">
        <v>2574</v>
      </c>
      <c r="M559" s="15">
        <v>239900</v>
      </c>
      <c r="N559" s="9">
        <f t="shared" si="36"/>
        <v>0.9</v>
      </c>
      <c r="O559" s="8">
        <f t="shared" si="34"/>
        <v>23990</v>
      </c>
      <c r="P559" s="6" t="s">
        <v>15</v>
      </c>
    </row>
    <row r="560" spans="1:16" x14ac:dyDescent="0.25">
      <c r="A560" s="7" t="str">
        <f t="shared" si="35"/>
        <v>2022 ALL D90</v>
      </c>
      <c r="B560" s="7">
        <f t="shared" si="38"/>
        <v>46114</v>
      </c>
      <c r="C560" s="7">
        <f t="shared" si="37"/>
        <v>46120</v>
      </c>
      <c r="D560" s="6">
        <v>3280</v>
      </c>
      <c r="E560" s="6">
        <v>337</v>
      </c>
      <c r="F560" s="6">
        <v>4</v>
      </c>
      <c r="G560" s="15">
        <v>1</v>
      </c>
      <c r="H560" s="15"/>
      <c r="I560" s="15" t="s">
        <v>1505</v>
      </c>
      <c r="J560" s="15">
        <v>76439388</v>
      </c>
      <c r="K560" s="15" t="s">
        <v>2569</v>
      </c>
      <c r="L560" s="15" t="s">
        <v>2575</v>
      </c>
      <c r="M560" s="15">
        <v>239900</v>
      </c>
      <c r="N560" s="9">
        <f t="shared" si="36"/>
        <v>0.9</v>
      </c>
      <c r="O560" s="8">
        <f t="shared" si="34"/>
        <v>23990</v>
      </c>
      <c r="P560" s="6" t="s">
        <v>15</v>
      </c>
    </row>
    <row r="561" spans="1:16" x14ac:dyDescent="0.25">
      <c r="A561" s="7" t="str">
        <f t="shared" si="35"/>
        <v>2022 ALL D90</v>
      </c>
      <c r="B561" s="7">
        <f t="shared" si="38"/>
        <v>46114</v>
      </c>
      <c r="C561" s="7">
        <f t="shared" si="37"/>
        <v>46120</v>
      </c>
      <c r="D561" s="6">
        <v>3280</v>
      </c>
      <c r="E561" s="6">
        <v>337</v>
      </c>
      <c r="F561" s="6">
        <v>4</v>
      </c>
      <c r="G561" s="15">
        <v>1</v>
      </c>
      <c r="H561" s="15"/>
      <c r="I561" s="15" t="s">
        <v>1505</v>
      </c>
      <c r="J561" s="15">
        <v>76439459</v>
      </c>
      <c r="K561" s="15" t="s">
        <v>2583</v>
      </c>
      <c r="L561" s="15" t="s">
        <v>2584</v>
      </c>
      <c r="M561" s="15">
        <v>239900</v>
      </c>
      <c r="N561" s="9">
        <f t="shared" si="36"/>
        <v>0.9</v>
      </c>
      <c r="O561" s="8">
        <f t="shared" si="34"/>
        <v>23990</v>
      </c>
      <c r="P561" s="6" t="s">
        <v>15</v>
      </c>
    </row>
    <row r="562" spans="1:16" x14ac:dyDescent="0.25">
      <c r="A562" s="7" t="str">
        <f t="shared" si="35"/>
        <v>2022 ALL D90</v>
      </c>
      <c r="B562" s="7">
        <f t="shared" si="38"/>
        <v>46114</v>
      </c>
      <c r="C562" s="7">
        <f t="shared" si="37"/>
        <v>46120</v>
      </c>
      <c r="D562" s="6">
        <v>3280</v>
      </c>
      <c r="E562" s="6">
        <v>337</v>
      </c>
      <c r="F562" s="6">
        <v>4</v>
      </c>
      <c r="G562" s="15">
        <v>1</v>
      </c>
      <c r="H562" s="15"/>
      <c r="I562" s="15" t="s">
        <v>1505</v>
      </c>
      <c r="J562" s="15">
        <v>76439468</v>
      </c>
      <c r="K562" s="15" t="s">
        <v>2583</v>
      </c>
      <c r="L562" s="15" t="s">
        <v>2585</v>
      </c>
      <c r="M562" s="15">
        <v>239900</v>
      </c>
      <c r="N562" s="9">
        <f t="shared" si="36"/>
        <v>0.9</v>
      </c>
      <c r="O562" s="8">
        <f t="shared" si="34"/>
        <v>23990</v>
      </c>
      <c r="P562" s="6" t="s">
        <v>15</v>
      </c>
    </row>
    <row r="563" spans="1:16" x14ac:dyDescent="0.25">
      <c r="A563" s="7" t="str">
        <f t="shared" si="35"/>
        <v>2022 ALL D90</v>
      </c>
      <c r="B563" s="7">
        <f t="shared" si="38"/>
        <v>46114</v>
      </c>
      <c r="C563" s="7">
        <f t="shared" si="37"/>
        <v>46120</v>
      </c>
      <c r="D563" s="6">
        <v>3280</v>
      </c>
      <c r="E563" s="6">
        <v>337</v>
      </c>
      <c r="F563" s="6">
        <v>4</v>
      </c>
      <c r="G563" s="15">
        <v>1</v>
      </c>
      <c r="H563" s="15"/>
      <c r="I563" s="15" t="s">
        <v>1505</v>
      </c>
      <c r="J563" s="15">
        <v>76439477</v>
      </c>
      <c r="K563" s="15" t="s">
        <v>2583</v>
      </c>
      <c r="L563" s="15" t="s">
        <v>2586</v>
      </c>
      <c r="M563" s="15">
        <v>239900</v>
      </c>
      <c r="N563" s="9">
        <f t="shared" si="36"/>
        <v>0.9</v>
      </c>
      <c r="O563" s="8">
        <f t="shared" si="34"/>
        <v>23990</v>
      </c>
      <c r="P563" s="6" t="s">
        <v>15</v>
      </c>
    </row>
    <row r="564" spans="1:16" x14ac:dyDescent="0.25">
      <c r="A564" s="7" t="str">
        <f t="shared" si="35"/>
        <v>2022 ALL D90</v>
      </c>
      <c r="B564" s="7">
        <f t="shared" si="38"/>
        <v>46114</v>
      </c>
      <c r="C564" s="7">
        <f t="shared" si="37"/>
        <v>46120</v>
      </c>
      <c r="D564" s="6">
        <v>3280</v>
      </c>
      <c r="E564" s="6">
        <v>337</v>
      </c>
      <c r="F564" s="6">
        <v>4</v>
      </c>
      <c r="G564" s="15">
        <v>1</v>
      </c>
      <c r="H564" s="15"/>
      <c r="I564" s="15" t="s">
        <v>1505</v>
      </c>
      <c r="J564" s="15">
        <v>76439486</v>
      </c>
      <c r="K564" s="15" t="s">
        <v>2583</v>
      </c>
      <c r="L564" s="15" t="s">
        <v>2587</v>
      </c>
      <c r="M564" s="15">
        <v>249900</v>
      </c>
      <c r="N564" s="9">
        <f t="shared" si="36"/>
        <v>0.9</v>
      </c>
      <c r="O564" s="8">
        <f t="shared" si="34"/>
        <v>24990</v>
      </c>
      <c r="P564" s="6" t="s">
        <v>15</v>
      </c>
    </row>
    <row r="565" spans="1:16" x14ac:dyDescent="0.25">
      <c r="A565" s="7" t="str">
        <f t="shared" si="35"/>
        <v>2022 ALL D90</v>
      </c>
      <c r="B565" s="7">
        <f t="shared" si="38"/>
        <v>46114</v>
      </c>
      <c r="C565" s="7">
        <f t="shared" si="37"/>
        <v>46120</v>
      </c>
      <c r="D565" s="6">
        <v>3280</v>
      </c>
      <c r="E565" s="6">
        <v>337</v>
      </c>
      <c r="F565" s="6">
        <v>4</v>
      </c>
      <c r="G565" s="15">
        <v>1</v>
      </c>
      <c r="H565" s="15"/>
      <c r="I565" s="15" t="s">
        <v>1505</v>
      </c>
      <c r="J565" s="15">
        <v>76439495</v>
      </c>
      <c r="K565" s="15" t="s">
        <v>2583</v>
      </c>
      <c r="L565" s="15" t="s">
        <v>2588</v>
      </c>
      <c r="M565" s="15">
        <v>249900</v>
      </c>
      <c r="N565" s="9">
        <f t="shared" si="36"/>
        <v>0.9</v>
      </c>
      <c r="O565" s="8">
        <f t="shared" si="34"/>
        <v>24990</v>
      </c>
      <c r="P565" s="6" t="s">
        <v>15</v>
      </c>
    </row>
    <row r="566" spans="1:16" x14ac:dyDescent="0.25">
      <c r="A566" s="7" t="str">
        <f t="shared" si="35"/>
        <v>2022 ALL D90</v>
      </c>
      <c r="B566" s="7">
        <f t="shared" si="38"/>
        <v>46114</v>
      </c>
      <c r="C566" s="7">
        <f t="shared" si="37"/>
        <v>46120</v>
      </c>
      <c r="D566" s="6">
        <v>3280</v>
      </c>
      <c r="E566" s="6">
        <v>337</v>
      </c>
      <c r="F566" s="6">
        <v>4</v>
      </c>
      <c r="G566" s="15">
        <v>1</v>
      </c>
      <c r="H566" s="15"/>
      <c r="I566" s="15" t="s">
        <v>1505</v>
      </c>
      <c r="J566" s="15">
        <v>76439502</v>
      </c>
      <c r="K566" s="15" t="s">
        <v>2583</v>
      </c>
      <c r="L566" s="15" t="s">
        <v>2589</v>
      </c>
      <c r="M566" s="15">
        <v>249900</v>
      </c>
      <c r="N566" s="9">
        <f t="shared" si="36"/>
        <v>0.9</v>
      </c>
      <c r="O566" s="8">
        <f t="shared" si="34"/>
        <v>24990</v>
      </c>
      <c r="P566" s="6" t="s">
        <v>15</v>
      </c>
    </row>
    <row r="567" spans="1:16" x14ac:dyDescent="0.25">
      <c r="A567" s="7" t="str">
        <f t="shared" si="35"/>
        <v>2022 ALL D90</v>
      </c>
      <c r="B567" s="7">
        <f t="shared" si="38"/>
        <v>46114</v>
      </c>
      <c r="C567" s="7">
        <f t="shared" si="37"/>
        <v>46120</v>
      </c>
      <c r="D567" s="6">
        <v>3280</v>
      </c>
      <c r="E567" s="6">
        <v>337</v>
      </c>
      <c r="F567" s="6">
        <v>4</v>
      </c>
      <c r="G567" s="15">
        <v>1</v>
      </c>
      <c r="H567" s="15"/>
      <c r="I567" s="15" t="s">
        <v>1505</v>
      </c>
      <c r="J567" s="15">
        <v>76439511</v>
      </c>
      <c r="K567" s="15" t="s">
        <v>2576</v>
      </c>
      <c r="L567" s="15" t="s">
        <v>2577</v>
      </c>
      <c r="M567" s="15">
        <v>229900</v>
      </c>
      <c r="N567" s="9">
        <f t="shared" si="36"/>
        <v>0.9</v>
      </c>
      <c r="O567" s="8">
        <f t="shared" si="34"/>
        <v>22990</v>
      </c>
      <c r="P567" s="6" t="s">
        <v>15</v>
      </c>
    </row>
    <row r="568" spans="1:16" x14ac:dyDescent="0.25">
      <c r="A568" s="7" t="str">
        <f t="shared" si="35"/>
        <v>2022 ALL D90</v>
      </c>
      <c r="B568" s="7">
        <f t="shared" si="38"/>
        <v>46114</v>
      </c>
      <c r="C568" s="7">
        <f t="shared" si="37"/>
        <v>46120</v>
      </c>
      <c r="D568" s="6">
        <v>3280</v>
      </c>
      <c r="E568" s="6">
        <v>337</v>
      </c>
      <c r="F568" s="6">
        <v>4</v>
      </c>
      <c r="G568" s="15">
        <v>1</v>
      </c>
      <c r="H568" s="15"/>
      <c r="I568" s="15" t="s">
        <v>1505</v>
      </c>
      <c r="J568" s="15">
        <v>76439520</v>
      </c>
      <c r="K568" s="15" t="s">
        <v>2576</v>
      </c>
      <c r="L568" s="15" t="s">
        <v>2578</v>
      </c>
      <c r="M568" s="15">
        <v>229900</v>
      </c>
      <c r="N568" s="9">
        <f t="shared" si="36"/>
        <v>0.9</v>
      </c>
      <c r="O568" s="8">
        <f t="shared" si="34"/>
        <v>22990</v>
      </c>
      <c r="P568" s="6" t="s">
        <v>15</v>
      </c>
    </row>
    <row r="569" spans="1:16" x14ac:dyDescent="0.25">
      <c r="A569" s="7" t="str">
        <f t="shared" si="35"/>
        <v>2022 ALL D90</v>
      </c>
      <c r="B569" s="7">
        <f t="shared" si="38"/>
        <v>46114</v>
      </c>
      <c r="C569" s="7">
        <f t="shared" si="37"/>
        <v>46120</v>
      </c>
      <c r="D569" s="6">
        <v>3280</v>
      </c>
      <c r="E569" s="6">
        <v>337</v>
      </c>
      <c r="F569" s="6">
        <v>4</v>
      </c>
      <c r="G569" s="15">
        <v>1</v>
      </c>
      <c r="H569" s="15"/>
      <c r="I569" s="15" t="s">
        <v>1505</v>
      </c>
      <c r="J569" s="15">
        <v>76439539</v>
      </c>
      <c r="K569" s="15" t="s">
        <v>2576</v>
      </c>
      <c r="L569" s="15" t="s">
        <v>2579</v>
      </c>
      <c r="M569" s="15">
        <v>229900</v>
      </c>
      <c r="N569" s="9">
        <f t="shared" si="36"/>
        <v>0.9</v>
      </c>
      <c r="O569" s="8">
        <f t="shared" si="34"/>
        <v>22990</v>
      </c>
      <c r="P569" s="6" t="s">
        <v>15</v>
      </c>
    </row>
    <row r="570" spans="1:16" x14ac:dyDescent="0.25">
      <c r="A570" s="7" t="str">
        <f t="shared" si="35"/>
        <v>2022 ALL D90</v>
      </c>
      <c r="B570" s="7">
        <f t="shared" si="38"/>
        <v>46114</v>
      </c>
      <c r="C570" s="7">
        <f t="shared" si="37"/>
        <v>46120</v>
      </c>
      <c r="D570" s="6">
        <v>3280</v>
      </c>
      <c r="E570" s="6">
        <v>337</v>
      </c>
      <c r="F570" s="6">
        <v>4</v>
      </c>
      <c r="G570" s="15">
        <v>1</v>
      </c>
      <c r="H570" s="15"/>
      <c r="I570" s="15" t="s">
        <v>1505</v>
      </c>
      <c r="J570" s="15">
        <v>76439548</v>
      </c>
      <c r="K570" s="15" t="s">
        <v>2576</v>
      </c>
      <c r="L570" s="15" t="s">
        <v>2580</v>
      </c>
      <c r="M570" s="15">
        <v>239900</v>
      </c>
      <c r="N570" s="9">
        <f t="shared" si="36"/>
        <v>0.9</v>
      </c>
      <c r="O570" s="8">
        <f t="shared" si="34"/>
        <v>23990</v>
      </c>
      <c r="P570" s="6" t="s">
        <v>15</v>
      </c>
    </row>
    <row r="571" spans="1:16" x14ac:dyDescent="0.25">
      <c r="A571" s="7" t="str">
        <f t="shared" si="35"/>
        <v>2022 ALL D90</v>
      </c>
      <c r="B571" s="7">
        <f t="shared" si="38"/>
        <v>46114</v>
      </c>
      <c r="C571" s="7">
        <f t="shared" si="37"/>
        <v>46120</v>
      </c>
      <c r="D571" s="6">
        <v>3280</v>
      </c>
      <c r="E571" s="6">
        <v>337</v>
      </c>
      <c r="F571" s="6">
        <v>4</v>
      </c>
      <c r="G571" s="15">
        <v>1</v>
      </c>
      <c r="H571" s="15"/>
      <c r="I571" s="15" t="s">
        <v>1505</v>
      </c>
      <c r="J571" s="15">
        <v>76439557</v>
      </c>
      <c r="K571" s="15" t="s">
        <v>2576</v>
      </c>
      <c r="L571" s="15" t="s">
        <v>2581</v>
      </c>
      <c r="M571" s="15">
        <v>239900</v>
      </c>
      <c r="N571" s="9">
        <f t="shared" si="36"/>
        <v>0.9</v>
      </c>
      <c r="O571" s="8">
        <f t="shared" si="34"/>
        <v>23990</v>
      </c>
      <c r="P571" s="6" t="s">
        <v>15</v>
      </c>
    </row>
    <row r="572" spans="1:16" x14ac:dyDescent="0.25">
      <c r="A572" s="7" t="str">
        <f t="shared" si="35"/>
        <v>2022 ALL D90</v>
      </c>
      <c r="B572" s="7">
        <f t="shared" si="38"/>
        <v>46114</v>
      </c>
      <c r="C572" s="7">
        <f t="shared" si="37"/>
        <v>46120</v>
      </c>
      <c r="D572" s="6">
        <v>3280</v>
      </c>
      <c r="E572" s="6">
        <v>337</v>
      </c>
      <c r="F572" s="6">
        <v>4</v>
      </c>
      <c r="G572" s="15">
        <v>1</v>
      </c>
      <c r="H572" s="15"/>
      <c r="I572" s="15" t="s">
        <v>1505</v>
      </c>
      <c r="J572" s="15">
        <v>76439566</v>
      </c>
      <c r="K572" s="15" t="s">
        <v>2576</v>
      </c>
      <c r="L572" s="15" t="s">
        <v>2582</v>
      </c>
      <c r="M572" s="15">
        <v>239900</v>
      </c>
      <c r="N572" s="9">
        <f t="shared" si="36"/>
        <v>0.9</v>
      </c>
      <c r="O572" s="8">
        <f t="shared" si="34"/>
        <v>23990</v>
      </c>
      <c r="P572" s="6" t="s">
        <v>15</v>
      </c>
    </row>
    <row r="573" spans="1:16" x14ac:dyDescent="0.25">
      <c r="A573" s="7" t="str">
        <f t="shared" si="35"/>
        <v>2022 ALL D90</v>
      </c>
      <c r="B573" s="7">
        <f t="shared" si="38"/>
        <v>46114</v>
      </c>
      <c r="C573" s="7">
        <f t="shared" si="37"/>
        <v>46120</v>
      </c>
      <c r="D573" s="6">
        <v>3280</v>
      </c>
      <c r="E573" s="6">
        <v>337</v>
      </c>
      <c r="F573" s="6">
        <v>4</v>
      </c>
      <c r="G573" s="15">
        <v>1</v>
      </c>
      <c r="H573" s="15"/>
      <c r="I573" s="15" t="s">
        <v>1505</v>
      </c>
      <c r="J573" s="15">
        <v>76439575</v>
      </c>
      <c r="K573" s="15" t="s">
        <v>2562</v>
      </c>
      <c r="L573" s="15" t="s">
        <v>2563</v>
      </c>
      <c r="M573" s="15">
        <v>239900</v>
      </c>
      <c r="N573" s="9">
        <f t="shared" si="36"/>
        <v>0.9</v>
      </c>
      <c r="O573" s="8">
        <f t="shared" si="34"/>
        <v>23990</v>
      </c>
      <c r="P573" s="6" t="s">
        <v>15</v>
      </c>
    </row>
    <row r="574" spans="1:16" x14ac:dyDescent="0.25">
      <c r="A574" s="7" t="str">
        <f t="shared" si="35"/>
        <v>2022 ALL D90</v>
      </c>
      <c r="B574" s="7">
        <f t="shared" si="38"/>
        <v>46114</v>
      </c>
      <c r="C574" s="7">
        <f t="shared" si="37"/>
        <v>46120</v>
      </c>
      <c r="D574" s="6">
        <v>3280</v>
      </c>
      <c r="E574" s="6">
        <v>337</v>
      </c>
      <c r="F574" s="6">
        <v>4</v>
      </c>
      <c r="G574" s="15">
        <v>1</v>
      </c>
      <c r="H574" s="15"/>
      <c r="I574" s="15" t="s">
        <v>1505</v>
      </c>
      <c r="J574" s="15">
        <v>76439584</v>
      </c>
      <c r="K574" s="15" t="s">
        <v>2562</v>
      </c>
      <c r="L574" s="15" t="s">
        <v>2564</v>
      </c>
      <c r="M574" s="15">
        <v>239900</v>
      </c>
      <c r="N574" s="9">
        <f t="shared" si="36"/>
        <v>0.9</v>
      </c>
      <c r="O574" s="8">
        <f t="shared" si="34"/>
        <v>23990</v>
      </c>
      <c r="P574" s="6" t="s">
        <v>15</v>
      </c>
    </row>
    <row r="575" spans="1:16" x14ac:dyDescent="0.25">
      <c r="A575" s="7" t="str">
        <f t="shared" si="35"/>
        <v>2022 ALL D90</v>
      </c>
      <c r="B575" s="7">
        <f t="shared" si="38"/>
        <v>46114</v>
      </c>
      <c r="C575" s="7">
        <f t="shared" si="37"/>
        <v>46120</v>
      </c>
      <c r="D575" s="6">
        <v>3280</v>
      </c>
      <c r="E575" s="6">
        <v>337</v>
      </c>
      <c r="F575" s="6">
        <v>4</v>
      </c>
      <c r="G575" s="15">
        <v>1</v>
      </c>
      <c r="H575" s="15"/>
      <c r="I575" s="15" t="s">
        <v>1505</v>
      </c>
      <c r="J575" s="15">
        <v>76439593</v>
      </c>
      <c r="K575" s="15" t="s">
        <v>2562</v>
      </c>
      <c r="L575" s="15" t="s">
        <v>2565</v>
      </c>
      <c r="M575" s="15">
        <v>239900</v>
      </c>
      <c r="N575" s="9">
        <f t="shared" si="36"/>
        <v>0.9</v>
      </c>
      <c r="O575" s="8">
        <f t="shared" si="34"/>
        <v>23990</v>
      </c>
      <c r="P575" s="6" t="s">
        <v>15</v>
      </c>
    </row>
    <row r="576" spans="1:16" x14ac:dyDescent="0.25">
      <c r="A576" s="7" t="str">
        <f t="shared" si="35"/>
        <v>2022 ALL D90</v>
      </c>
      <c r="B576" s="7">
        <f t="shared" si="38"/>
        <v>46114</v>
      </c>
      <c r="C576" s="7">
        <f t="shared" si="37"/>
        <v>46120</v>
      </c>
      <c r="D576" s="6">
        <v>3280</v>
      </c>
      <c r="E576" s="6">
        <v>337</v>
      </c>
      <c r="F576" s="6">
        <v>4</v>
      </c>
      <c r="G576" s="15">
        <v>1</v>
      </c>
      <c r="H576" s="15"/>
      <c r="I576" s="15" t="s">
        <v>1505</v>
      </c>
      <c r="J576" s="15">
        <v>76439600</v>
      </c>
      <c r="K576" s="15" t="s">
        <v>2562</v>
      </c>
      <c r="L576" s="15" t="s">
        <v>2566</v>
      </c>
      <c r="M576" s="15">
        <v>249900</v>
      </c>
      <c r="N576" s="9">
        <f t="shared" si="36"/>
        <v>0.9</v>
      </c>
      <c r="O576" s="8">
        <f t="shared" si="34"/>
        <v>24990</v>
      </c>
      <c r="P576" s="6" t="s">
        <v>15</v>
      </c>
    </row>
    <row r="577" spans="1:16" x14ac:dyDescent="0.25">
      <c r="A577" s="7" t="str">
        <f t="shared" si="35"/>
        <v>2022 ALL D90</v>
      </c>
      <c r="B577" s="7">
        <f t="shared" si="38"/>
        <v>46114</v>
      </c>
      <c r="C577" s="7">
        <f t="shared" si="37"/>
        <v>46120</v>
      </c>
      <c r="D577" s="6">
        <v>3280</v>
      </c>
      <c r="E577" s="6">
        <v>337</v>
      </c>
      <c r="F577" s="6">
        <v>4</v>
      </c>
      <c r="G577" s="15">
        <v>1</v>
      </c>
      <c r="H577" s="15"/>
      <c r="I577" s="15" t="s">
        <v>1505</v>
      </c>
      <c r="J577" s="15">
        <v>76439619</v>
      </c>
      <c r="K577" s="15" t="s">
        <v>2562</v>
      </c>
      <c r="L577" s="15" t="s">
        <v>2567</v>
      </c>
      <c r="M577" s="15">
        <v>249900</v>
      </c>
      <c r="N577" s="9">
        <f t="shared" si="36"/>
        <v>0.9</v>
      </c>
      <c r="O577" s="8">
        <f t="shared" si="34"/>
        <v>24990</v>
      </c>
      <c r="P577" s="6" t="s">
        <v>15</v>
      </c>
    </row>
    <row r="578" spans="1:16" x14ac:dyDescent="0.25">
      <c r="A578" s="7" t="str">
        <f t="shared" si="35"/>
        <v>2022 ALL D90</v>
      </c>
      <c r="B578" s="7">
        <f t="shared" si="38"/>
        <v>46114</v>
      </c>
      <c r="C578" s="7">
        <f t="shared" si="37"/>
        <v>46120</v>
      </c>
      <c r="D578" s="6">
        <v>3280</v>
      </c>
      <c r="E578" s="6">
        <v>337</v>
      </c>
      <c r="F578" s="6">
        <v>4</v>
      </c>
      <c r="G578" s="15">
        <v>1</v>
      </c>
      <c r="H578" s="15"/>
      <c r="I578" s="15" t="s">
        <v>1505</v>
      </c>
      <c r="J578" s="15">
        <v>76439628</v>
      </c>
      <c r="K578" s="15" t="s">
        <v>2562</v>
      </c>
      <c r="L578" s="15" t="s">
        <v>2568</v>
      </c>
      <c r="M578" s="15">
        <v>249900</v>
      </c>
      <c r="N578" s="9">
        <f t="shared" si="36"/>
        <v>0.9</v>
      </c>
      <c r="O578" s="8">
        <f t="shared" si="34"/>
        <v>24990</v>
      </c>
      <c r="P578" s="6" t="s">
        <v>15</v>
      </c>
    </row>
    <row r="579" spans="1:16" x14ac:dyDescent="0.25">
      <c r="A579" s="7" t="str">
        <f t="shared" si="35"/>
        <v>2022 ALL D90</v>
      </c>
      <c r="B579" s="7">
        <f t="shared" si="38"/>
        <v>46114</v>
      </c>
      <c r="C579" s="7">
        <f t="shared" si="37"/>
        <v>46120</v>
      </c>
      <c r="D579" s="6">
        <v>3280</v>
      </c>
      <c r="E579" s="6">
        <v>337</v>
      </c>
      <c r="F579" s="6">
        <v>4</v>
      </c>
      <c r="G579" s="15">
        <v>1</v>
      </c>
      <c r="H579" s="15"/>
      <c r="I579" s="15" t="s">
        <v>1505</v>
      </c>
      <c r="J579" s="15">
        <v>76439691</v>
      </c>
      <c r="K579" s="15" t="s">
        <v>2555</v>
      </c>
      <c r="L579" s="15" t="s">
        <v>2556</v>
      </c>
      <c r="M579" s="15">
        <v>239900</v>
      </c>
      <c r="N579" s="9">
        <f t="shared" si="36"/>
        <v>0.9</v>
      </c>
      <c r="O579" s="8">
        <f t="shared" ref="O579:O626" si="39">M579-((90*M579)/100)</f>
        <v>23990</v>
      </c>
      <c r="P579" s="6" t="s">
        <v>15</v>
      </c>
    </row>
    <row r="580" spans="1:16" x14ac:dyDescent="0.25">
      <c r="A580" s="7" t="str">
        <f t="shared" ref="A580:A602" si="40">A579</f>
        <v>2022 ALL D90</v>
      </c>
      <c r="B580" s="7">
        <f t="shared" si="38"/>
        <v>46114</v>
      </c>
      <c r="C580" s="7">
        <f t="shared" si="37"/>
        <v>46120</v>
      </c>
      <c r="D580" s="6">
        <v>3280</v>
      </c>
      <c r="E580" s="6">
        <v>337</v>
      </c>
      <c r="F580" s="6">
        <v>4</v>
      </c>
      <c r="G580" s="15">
        <v>1</v>
      </c>
      <c r="H580" s="15"/>
      <c r="I580" s="15" t="s">
        <v>1505</v>
      </c>
      <c r="J580" s="15">
        <v>76439708</v>
      </c>
      <c r="K580" s="15" t="s">
        <v>2555</v>
      </c>
      <c r="L580" s="15" t="s">
        <v>2557</v>
      </c>
      <c r="M580" s="15">
        <v>239900</v>
      </c>
      <c r="N580" s="9">
        <f t="shared" ref="N580:N626" si="41">N579</f>
        <v>0.9</v>
      </c>
      <c r="O580" s="8">
        <f t="shared" si="39"/>
        <v>23990</v>
      </c>
      <c r="P580" s="6" t="s">
        <v>15</v>
      </c>
    </row>
    <row r="581" spans="1:16" x14ac:dyDescent="0.25">
      <c r="A581" s="7" t="str">
        <f t="shared" si="40"/>
        <v>2022 ALL D90</v>
      </c>
      <c r="B581" s="7">
        <f t="shared" si="38"/>
        <v>46114</v>
      </c>
      <c r="C581" s="7">
        <f t="shared" si="37"/>
        <v>46120</v>
      </c>
      <c r="D581" s="6">
        <v>3280</v>
      </c>
      <c r="E581" s="6">
        <v>337</v>
      </c>
      <c r="F581" s="6">
        <v>4</v>
      </c>
      <c r="G581" s="15">
        <v>1</v>
      </c>
      <c r="H581" s="15"/>
      <c r="I581" s="15" t="s">
        <v>1505</v>
      </c>
      <c r="J581" s="15">
        <v>76439717</v>
      </c>
      <c r="K581" s="15" t="s">
        <v>2555</v>
      </c>
      <c r="L581" s="15" t="s">
        <v>2558</v>
      </c>
      <c r="M581" s="15">
        <v>239900</v>
      </c>
      <c r="N581" s="9">
        <f t="shared" si="41"/>
        <v>0.9</v>
      </c>
      <c r="O581" s="8">
        <f t="shared" si="39"/>
        <v>23990</v>
      </c>
      <c r="P581" s="6" t="s">
        <v>15</v>
      </c>
    </row>
    <row r="582" spans="1:16" x14ac:dyDescent="0.25">
      <c r="A582" s="7" t="str">
        <f t="shared" si="40"/>
        <v>2022 ALL D90</v>
      </c>
      <c r="B582" s="7">
        <f t="shared" si="38"/>
        <v>46114</v>
      </c>
      <c r="C582" s="7">
        <f t="shared" si="37"/>
        <v>46120</v>
      </c>
      <c r="D582" s="6">
        <v>3280</v>
      </c>
      <c r="E582" s="6">
        <v>337</v>
      </c>
      <c r="F582" s="6">
        <v>4</v>
      </c>
      <c r="G582" s="15">
        <v>1</v>
      </c>
      <c r="H582" s="15"/>
      <c r="I582" s="15" t="s">
        <v>1505</v>
      </c>
      <c r="J582" s="15">
        <v>76439726</v>
      </c>
      <c r="K582" s="15" t="s">
        <v>2555</v>
      </c>
      <c r="L582" s="15" t="s">
        <v>2559</v>
      </c>
      <c r="M582" s="15">
        <v>249900</v>
      </c>
      <c r="N582" s="9">
        <f t="shared" si="41"/>
        <v>0.9</v>
      </c>
      <c r="O582" s="8">
        <f t="shared" si="39"/>
        <v>24990</v>
      </c>
      <c r="P582" s="6" t="s">
        <v>15</v>
      </c>
    </row>
    <row r="583" spans="1:16" x14ac:dyDescent="0.25">
      <c r="A583" s="7" t="str">
        <f t="shared" si="40"/>
        <v>2022 ALL D90</v>
      </c>
      <c r="B583" s="7">
        <f t="shared" si="38"/>
        <v>46114</v>
      </c>
      <c r="C583" s="7">
        <f t="shared" si="37"/>
        <v>46120</v>
      </c>
      <c r="D583" s="6">
        <v>3280</v>
      </c>
      <c r="E583" s="6">
        <v>337</v>
      </c>
      <c r="F583" s="6">
        <v>4</v>
      </c>
      <c r="G583" s="15">
        <v>1</v>
      </c>
      <c r="H583" s="15"/>
      <c r="I583" s="15" t="s">
        <v>1505</v>
      </c>
      <c r="J583" s="15">
        <v>76439735</v>
      </c>
      <c r="K583" s="15" t="s">
        <v>2555</v>
      </c>
      <c r="L583" s="15" t="s">
        <v>2560</v>
      </c>
      <c r="M583" s="15">
        <v>249900</v>
      </c>
      <c r="N583" s="9">
        <f t="shared" si="41"/>
        <v>0.9</v>
      </c>
      <c r="O583" s="8">
        <f t="shared" si="39"/>
        <v>24990</v>
      </c>
      <c r="P583" s="6" t="s">
        <v>15</v>
      </c>
    </row>
    <row r="584" spans="1:16" x14ac:dyDescent="0.25">
      <c r="A584" s="7" t="str">
        <f t="shared" si="40"/>
        <v>2022 ALL D90</v>
      </c>
      <c r="B584" s="7">
        <f t="shared" si="38"/>
        <v>46114</v>
      </c>
      <c r="C584" s="7">
        <f t="shared" si="37"/>
        <v>46120</v>
      </c>
      <c r="D584" s="6">
        <v>3280</v>
      </c>
      <c r="E584" s="6">
        <v>337</v>
      </c>
      <c r="F584" s="6">
        <v>4</v>
      </c>
      <c r="G584" s="15">
        <v>1</v>
      </c>
      <c r="H584" s="15"/>
      <c r="I584" s="15" t="s">
        <v>1505</v>
      </c>
      <c r="J584" s="15">
        <v>76439744</v>
      </c>
      <c r="K584" s="15" t="s">
        <v>2555</v>
      </c>
      <c r="L584" s="15" t="s">
        <v>2561</v>
      </c>
      <c r="M584" s="15">
        <v>249900</v>
      </c>
      <c r="N584" s="9">
        <f t="shared" si="41"/>
        <v>0.9</v>
      </c>
      <c r="O584" s="8">
        <f t="shared" si="39"/>
        <v>24990</v>
      </c>
      <c r="P584" s="6" t="s">
        <v>15</v>
      </c>
    </row>
    <row r="585" spans="1:16" x14ac:dyDescent="0.25">
      <c r="A585" s="7" t="str">
        <f t="shared" si="40"/>
        <v>2022 ALL D90</v>
      </c>
      <c r="B585" s="7">
        <f t="shared" si="38"/>
        <v>46114</v>
      </c>
      <c r="C585" s="7">
        <f t="shared" si="37"/>
        <v>46120</v>
      </c>
      <c r="D585" s="6">
        <v>3280</v>
      </c>
      <c r="E585" s="6">
        <v>337</v>
      </c>
      <c r="F585" s="6">
        <v>4</v>
      </c>
      <c r="G585" s="15">
        <v>1</v>
      </c>
      <c r="H585" s="15"/>
      <c r="I585" s="15" t="s">
        <v>1505</v>
      </c>
      <c r="J585" s="15">
        <v>76439753</v>
      </c>
      <c r="K585" s="15" t="s">
        <v>2590</v>
      </c>
      <c r="L585" s="15" t="s">
        <v>2591</v>
      </c>
      <c r="M585" s="15">
        <v>239900</v>
      </c>
      <c r="N585" s="9">
        <f t="shared" si="41"/>
        <v>0.9</v>
      </c>
      <c r="O585" s="8">
        <f t="shared" si="39"/>
        <v>23990</v>
      </c>
      <c r="P585" s="6" t="s">
        <v>15</v>
      </c>
    </row>
    <row r="586" spans="1:16" x14ac:dyDescent="0.25">
      <c r="A586" s="7" t="str">
        <f t="shared" si="40"/>
        <v>2022 ALL D90</v>
      </c>
      <c r="B586" s="7">
        <f t="shared" si="38"/>
        <v>46114</v>
      </c>
      <c r="C586" s="7">
        <f t="shared" si="37"/>
        <v>46120</v>
      </c>
      <c r="D586" s="6">
        <v>3280</v>
      </c>
      <c r="E586" s="6">
        <v>337</v>
      </c>
      <c r="F586" s="6">
        <v>4</v>
      </c>
      <c r="G586" s="15">
        <v>1</v>
      </c>
      <c r="H586" s="15"/>
      <c r="I586" s="15" t="s">
        <v>1505</v>
      </c>
      <c r="J586" s="15">
        <v>76439762</v>
      </c>
      <c r="K586" s="15" t="s">
        <v>2590</v>
      </c>
      <c r="L586" s="15" t="s">
        <v>2592</v>
      </c>
      <c r="M586" s="15">
        <v>239900</v>
      </c>
      <c r="N586" s="9">
        <f t="shared" si="41"/>
        <v>0.9</v>
      </c>
      <c r="O586" s="8">
        <f t="shared" si="39"/>
        <v>23990</v>
      </c>
      <c r="P586" s="6" t="s">
        <v>15</v>
      </c>
    </row>
    <row r="587" spans="1:16" x14ac:dyDescent="0.25">
      <c r="A587" s="7" t="str">
        <f t="shared" si="40"/>
        <v>2022 ALL D90</v>
      </c>
      <c r="B587" s="7">
        <f t="shared" si="38"/>
        <v>46114</v>
      </c>
      <c r="C587" s="7">
        <f t="shared" si="37"/>
        <v>46120</v>
      </c>
      <c r="D587" s="6">
        <v>3280</v>
      </c>
      <c r="E587" s="6">
        <v>337</v>
      </c>
      <c r="F587" s="6">
        <v>4</v>
      </c>
      <c r="G587" s="15">
        <v>1</v>
      </c>
      <c r="H587" s="15"/>
      <c r="I587" s="15" t="s">
        <v>1505</v>
      </c>
      <c r="J587" s="15">
        <v>76439771</v>
      </c>
      <c r="K587" s="15" t="s">
        <v>2590</v>
      </c>
      <c r="L587" s="15" t="s">
        <v>2593</v>
      </c>
      <c r="M587" s="15">
        <v>239900</v>
      </c>
      <c r="N587" s="9">
        <f t="shared" si="41"/>
        <v>0.9</v>
      </c>
      <c r="O587" s="8">
        <f t="shared" si="39"/>
        <v>23990</v>
      </c>
      <c r="P587" s="6" t="s">
        <v>15</v>
      </c>
    </row>
    <row r="588" spans="1:16" x14ac:dyDescent="0.25">
      <c r="A588" s="7" t="str">
        <f t="shared" si="40"/>
        <v>2022 ALL D90</v>
      </c>
      <c r="B588" s="7">
        <f t="shared" si="38"/>
        <v>46114</v>
      </c>
      <c r="C588" s="7">
        <f t="shared" si="37"/>
        <v>46120</v>
      </c>
      <c r="D588" s="6">
        <v>3280</v>
      </c>
      <c r="E588" s="6">
        <v>337</v>
      </c>
      <c r="F588" s="6">
        <v>4</v>
      </c>
      <c r="G588" s="15">
        <v>1</v>
      </c>
      <c r="H588" s="15"/>
      <c r="I588" s="15" t="s">
        <v>1505</v>
      </c>
      <c r="J588" s="15">
        <v>76439780</v>
      </c>
      <c r="K588" s="15" t="s">
        <v>2590</v>
      </c>
      <c r="L588" s="15" t="s">
        <v>2594</v>
      </c>
      <c r="M588" s="15">
        <v>249900</v>
      </c>
      <c r="N588" s="9">
        <f t="shared" si="41"/>
        <v>0.9</v>
      </c>
      <c r="O588" s="8">
        <f t="shared" si="39"/>
        <v>24990</v>
      </c>
      <c r="P588" s="6" t="s">
        <v>15</v>
      </c>
    </row>
    <row r="589" spans="1:16" x14ac:dyDescent="0.25">
      <c r="A589" s="7" t="str">
        <f t="shared" si="40"/>
        <v>2022 ALL D90</v>
      </c>
      <c r="B589" s="7">
        <f t="shared" si="38"/>
        <v>46114</v>
      </c>
      <c r="C589" s="7">
        <f t="shared" si="37"/>
        <v>46120</v>
      </c>
      <c r="D589" s="6">
        <v>3280</v>
      </c>
      <c r="E589" s="6">
        <v>337</v>
      </c>
      <c r="F589" s="6">
        <v>4</v>
      </c>
      <c r="G589" s="15">
        <v>1</v>
      </c>
      <c r="H589" s="15"/>
      <c r="I589" s="15" t="s">
        <v>1505</v>
      </c>
      <c r="J589" s="15">
        <v>76439799</v>
      </c>
      <c r="K589" s="15" t="s">
        <v>2590</v>
      </c>
      <c r="L589" s="15" t="s">
        <v>2595</v>
      </c>
      <c r="M589" s="15">
        <v>249900</v>
      </c>
      <c r="N589" s="9">
        <f t="shared" si="41"/>
        <v>0.9</v>
      </c>
      <c r="O589" s="8">
        <f t="shared" si="39"/>
        <v>24990</v>
      </c>
      <c r="P589" s="6" t="s">
        <v>15</v>
      </c>
    </row>
    <row r="590" spans="1:16" x14ac:dyDescent="0.25">
      <c r="A590" s="7" t="str">
        <f t="shared" si="40"/>
        <v>2022 ALL D90</v>
      </c>
      <c r="B590" s="7">
        <f t="shared" si="38"/>
        <v>46114</v>
      </c>
      <c r="C590" s="7">
        <f t="shared" si="37"/>
        <v>46120</v>
      </c>
      <c r="D590" s="6">
        <v>3280</v>
      </c>
      <c r="E590" s="6">
        <v>337</v>
      </c>
      <c r="F590" s="6">
        <v>4</v>
      </c>
      <c r="G590" s="15">
        <v>1</v>
      </c>
      <c r="H590" s="15"/>
      <c r="I590" s="15" t="s">
        <v>1505</v>
      </c>
      <c r="J590" s="15">
        <v>76439806</v>
      </c>
      <c r="K590" s="15" t="s">
        <v>2590</v>
      </c>
      <c r="L590" s="15" t="s">
        <v>2596</v>
      </c>
      <c r="M590" s="15">
        <v>249900</v>
      </c>
      <c r="N590" s="9">
        <f t="shared" si="41"/>
        <v>0.9</v>
      </c>
      <c r="O590" s="8">
        <f t="shared" si="39"/>
        <v>24990</v>
      </c>
      <c r="P590" s="6" t="s">
        <v>15</v>
      </c>
    </row>
    <row r="591" spans="1:16" x14ac:dyDescent="0.25">
      <c r="A591" s="7" t="str">
        <f t="shared" si="40"/>
        <v>2022 ALL D90</v>
      </c>
      <c r="B591" s="7">
        <f t="shared" si="38"/>
        <v>46114</v>
      </c>
      <c r="C591" s="7">
        <f t="shared" si="37"/>
        <v>46120</v>
      </c>
      <c r="D591" s="6">
        <v>3280</v>
      </c>
      <c r="E591" s="6">
        <v>337</v>
      </c>
      <c r="F591" s="6">
        <v>4</v>
      </c>
      <c r="G591" s="15">
        <v>1</v>
      </c>
      <c r="H591" s="15"/>
      <c r="I591" s="15" t="s">
        <v>1505</v>
      </c>
      <c r="J591" s="15">
        <v>78905790</v>
      </c>
      <c r="K591" s="15" t="s">
        <v>2604</v>
      </c>
      <c r="L591" s="15" t="s">
        <v>2606</v>
      </c>
      <c r="M591" s="15">
        <v>249900</v>
      </c>
      <c r="N591" s="9">
        <f t="shared" si="41"/>
        <v>0.9</v>
      </c>
      <c r="O591" s="8">
        <f t="shared" si="39"/>
        <v>24990</v>
      </c>
      <c r="P591" s="6" t="s">
        <v>15</v>
      </c>
    </row>
    <row r="592" spans="1:16" x14ac:dyDescent="0.25">
      <c r="A592" s="7" t="str">
        <f t="shared" si="40"/>
        <v>2022 ALL D90</v>
      </c>
      <c r="B592" s="7">
        <f t="shared" si="38"/>
        <v>46114</v>
      </c>
      <c r="C592" s="7">
        <f t="shared" si="37"/>
        <v>46120</v>
      </c>
      <c r="D592" s="6">
        <v>3280</v>
      </c>
      <c r="E592" s="6">
        <v>337</v>
      </c>
      <c r="F592" s="6">
        <v>4</v>
      </c>
      <c r="G592" s="15">
        <v>1</v>
      </c>
      <c r="H592" s="15"/>
      <c r="I592" s="15" t="s">
        <v>1505</v>
      </c>
      <c r="J592" s="15">
        <v>78905807</v>
      </c>
      <c r="K592" s="15" t="s">
        <v>2604</v>
      </c>
      <c r="L592" s="15" t="s">
        <v>2607</v>
      </c>
      <c r="M592" s="15">
        <v>249900</v>
      </c>
      <c r="N592" s="9">
        <f t="shared" si="41"/>
        <v>0.9</v>
      </c>
      <c r="O592" s="8">
        <f t="shared" si="39"/>
        <v>24990</v>
      </c>
      <c r="P592" s="6" t="s">
        <v>15</v>
      </c>
    </row>
    <row r="593" spans="1:16" x14ac:dyDescent="0.25">
      <c r="A593" s="7" t="str">
        <f t="shared" si="40"/>
        <v>2022 ALL D90</v>
      </c>
      <c r="B593" s="7">
        <f t="shared" si="38"/>
        <v>46114</v>
      </c>
      <c r="C593" s="7">
        <f t="shared" si="37"/>
        <v>46120</v>
      </c>
      <c r="D593" s="6">
        <v>3280</v>
      </c>
      <c r="E593" s="6">
        <v>337</v>
      </c>
      <c r="F593" s="6">
        <v>4</v>
      </c>
      <c r="G593" s="15">
        <v>1</v>
      </c>
      <c r="H593" s="15"/>
      <c r="I593" s="15" t="s">
        <v>1505</v>
      </c>
      <c r="J593" s="15">
        <v>78905816</v>
      </c>
      <c r="K593" s="15" t="s">
        <v>2604</v>
      </c>
      <c r="L593" s="15" t="s">
        <v>2608</v>
      </c>
      <c r="M593" s="15">
        <v>249900</v>
      </c>
      <c r="N593" s="9">
        <f t="shared" si="41"/>
        <v>0.9</v>
      </c>
      <c r="O593" s="8">
        <f t="shared" si="39"/>
        <v>24990</v>
      </c>
      <c r="P593" s="6" t="s">
        <v>15</v>
      </c>
    </row>
    <row r="594" spans="1:16" x14ac:dyDescent="0.25">
      <c r="A594" s="7" t="str">
        <f t="shared" si="40"/>
        <v>2022 ALL D90</v>
      </c>
      <c r="B594" s="7">
        <f t="shared" si="38"/>
        <v>46114</v>
      </c>
      <c r="C594" s="7">
        <f t="shared" si="37"/>
        <v>46120</v>
      </c>
      <c r="D594" s="6">
        <v>3280</v>
      </c>
      <c r="E594" s="6">
        <v>337</v>
      </c>
      <c r="F594" s="6">
        <v>4</v>
      </c>
      <c r="G594" s="15">
        <v>1</v>
      </c>
      <c r="H594" s="15"/>
      <c r="I594" s="15" t="s">
        <v>1505</v>
      </c>
      <c r="J594" s="15">
        <v>78905825</v>
      </c>
      <c r="K594" s="15" t="s">
        <v>2604</v>
      </c>
      <c r="L594" s="15" t="s">
        <v>2609</v>
      </c>
      <c r="M594" s="15">
        <v>259900</v>
      </c>
      <c r="N594" s="9">
        <f t="shared" si="41"/>
        <v>0.9</v>
      </c>
      <c r="O594" s="8">
        <f t="shared" si="39"/>
        <v>25990</v>
      </c>
      <c r="P594" s="6" t="s">
        <v>15</v>
      </c>
    </row>
    <row r="595" spans="1:16" x14ac:dyDescent="0.25">
      <c r="A595" s="7" t="str">
        <f t="shared" si="40"/>
        <v>2022 ALL D90</v>
      </c>
      <c r="B595" s="7">
        <f t="shared" si="38"/>
        <v>46114</v>
      </c>
      <c r="C595" s="7">
        <f t="shared" si="37"/>
        <v>46120</v>
      </c>
      <c r="D595" s="6">
        <v>3280</v>
      </c>
      <c r="E595" s="6">
        <v>337</v>
      </c>
      <c r="F595" s="6">
        <v>4</v>
      </c>
      <c r="G595" s="15">
        <v>1</v>
      </c>
      <c r="H595" s="15"/>
      <c r="I595" s="15" t="s">
        <v>1505</v>
      </c>
      <c r="J595" s="15">
        <v>78905834</v>
      </c>
      <c r="K595" s="15" t="s">
        <v>2604</v>
      </c>
      <c r="L595" s="15" t="s">
        <v>2610</v>
      </c>
      <c r="M595" s="15">
        <v>259900</v>
      </c>
      <c r="N595" s="9">
        <f t="shared" si="41"/>
        <v>0.9</v>
      </c>
      <c r="O595" s="8">
        <f t="shared" si="39"/>
        <v>25990</v>
      </c>
      <c r="P595" s="6" t="s">
        <v>15</v>
      </c>
    </row>
    <row r="596" spans="1:16" x14ac:dyDescent="0.25">
      <c r="A596" s="7" t="str">
        <f t="shared" si="40"/>
        <v>2022 ALL D90</v>
      </c>
      <c r="B596" s="7">
        <f t="shared" si="38"/>
        <v>46114</v>
      </c>
      <c r="C596" s="7">
        <f t="shared" si="37"/>
        <v>46120</v>
      </c>
      <c r="D596" s="6">
        <v>3280</v>
      </c>
      <c r="E596" s="6">
        <v>337</v>
      </c>
      <c r="F596" s="6">
        <v>4</v>
      </c>
      <c r="G596" s="15">
        <v>1</v>
      </c>
      <c r="H596" s="15"/>
      <c r="I596" s="15" t="s">
        <v>1505</v>
      </c>
      <c r="J596" s="15">
        <v>78905843</v>
      </c>
      <c r="K596" s="15" t="s">
        <v>2604</v>
      </c>
      <c r="L596" s="15" t="s">
        <v>2605</v>
      </c>
      <c r="M596" s="15">
        <v>259900</v>
      </c>
      <c r="N596" s="9">
        <f t="shared" si="41"/>
        <v>0.9</v>
      </c>
      <c r="O596" s="8">
        <f t="shared" si="39"/>
        <v>25990</v>
      </c>
      <c r="P596" s="6" t="s">
        <v>15</v>
      </c>
    </row>
    <row r="597" spans="1:16" x14ac:dyDescent="0.25">
      <c r="A597" s="7" t="str">
        <f t="shared" si="40"/>
        <v>2022 ALL D90</v>
      </c>
      <c r="B597" s="7">
        <f t="shared" si="38"/>
        <v>46114</v>
      </c>
      <c r="C597" s="7">
        <f t="shared" si="37"/>
        <v>46120</v>
      </c>
      <c r="D597" s="6">
        <v>3280</v>
      </c>
      <c r="E597" s="6">
        <v>337</v>
      </c>
      <c r="F597" s="6">
        <v>4</v>
      </c>
      <c r="G597" s="15">
        <v>1</v>
      </c>
      <c r="H597" s="15"/>
      <c r="I597" s="15" t="s">
        <v>1505</v>
      </c>
      <c r="J597" s="15">
        <v>76585327</v>
      </c>
      <c r="K597" s="15" t="s">
        <v>2597</v>
      </c>
      <c r="L597" s="15" t="s">
        <v>2598</v>
      </c>
      <c r="M597" s="15">
        <v>259900</v>
      </c>
      <c r="N597" s="9">
        <f t="shared" si="41"/>
        <v>0.9</v>
      </c>
      <c r="O597" s="8">
        <f t="shared" si="39"/>
        <v>25990</v>
      </c>
      <c r="P597" s="6" t="s">
        <v>15</v>
      </c>
    </row>
    <row r="598" spans="1:16" x14ac:dyDescent="0.25">
      <c r="A598" s="7" t="str">
        <f t="shared" si="40"/>
        <v>2022 ALL D90</v>
      </c>
      <c r="B598" s="7">
        <f t="shared" si="38"/>
        <v>46114</v>
      </c>
      <c r="C598" s="7">
        <f t="shared" si="37"/>
        <v>46120</v>
      </c>
      <c r="D598" s="6">
        <v>3280</v>
      </c>
      <c r="E598" s="6">
        <v>337</v>
      </c>
      <c r="F598" s="6">
        <v>4</v>
      </c>
      <c r="G598" s="15">
        <v>1</v>
      </c>
      <c r="H598" s="15"/>
      <c r="I598" s="15" t="s">
        <v>1505</v>
      </c>
      <c r="J598" s="15">
        <v>76585336</v>
      </c>
      <c r="K598" s="15" t="s">
        <v>2597</v>
      </c>
      <c r="L598" s="15" t="s">
        <v>2599</v>
      </c>
      <c r="M598" s="15">
        <v>259900</v>
      </c>
      <c r="N598" s="9">
        <f t="shared" si="41"/>
        <v>0.9</v>
      </c>
      <c r="O598" s="8">
        <f t="shared" si="39"/>
        <v>25990</v>
      </c>
      <c r="P598" s="6" t="s">
        <v>15</v>
      </c>
    </row>
    <row r="599" spans="1:16" x14ac:dyDescent="0.25">
      <c r="A599" s="7" t="str">
        <f t="shared" si="40"/>
        <v>2022 ALL D90</v>
      </c>
      <c r="B599" s="7">
        <f t="shared" si="38"/>
        <v>46114</v>
      </c>
      <c r="C599" s="7">
        <f t="shared" si="37"/>
        <v>46120</v>
      </c>
      <c r="D599" s="6">
        <v>3280</v>
      </c>
      <c r="E599" s="6">
        <v>337</v>
      </c>
      <c r="F599" s="6">
        <v>4</v>
      </c>
      <c r="G599" s="15">
        <v>1</v>
      </c>
      <c r="H599" s="15"/>
      <c r="I599" s="15" t="s">
        <v>1505</v>
      </c>
      <c r="J599" s="15">
        <v>76585345</v>
      </c>
      <c r="K599" s="15" t="s">
        <v>2597</v>
      </c>
      <c r="L599" s="15" t="s">
        <v>2600</v>
      </c>
      <c r="M599" s="15">
        <v>259900</v>
      </c>
      <c r="N599" s="9">
        <f t="shared" si="41"/>
        <v>0.9</v>
      </c>
      <c r="O599" s="8">
        <f t="shared" si="39"/>
        <v>25990</v>
      </c>
      <c r="P599" s="6" t="s">
        <v>15</v>
      </c>
    </row>
    <row r="600" spans="1:16" x14ac:dyDescent="0.25">
      <c r="A600" s="7" t="str">
        <f t="shared" si="40"/>
        <v>2022 ALL D90</v>
      </c>
      <c r="B600" s="7">
        <f t="shared" si="38"/>
        <v>46114</v>
      </c>
      <c r="C600" s="7">
        <f t="shared" si="37"/>
        <v>46120</v>
      </c>
      <c r="D600" s="6">
        <v>3280</v>
      </c>
      <c r="E600" s="6">
        <v>337</v>
      </c>
      <c r="F600" s="6">
        <v>4</v>
      </c>
      <c r="G600" s="15">
        <v>1</v>
      </c>
      <c r="H600" s="15"/>
      <c r="I600" s="15" t="s">
        <v>1505</v>
      </c>
      <c r="J600" s="15">
        <v>76585354</v>
      </c>
      <c r="K600" s="15" t="s">
        <v>2597</v>
      </c>
      <c r="L600" s="15" t="s">
        <v>2601</v>
      </c>
      <c r="M600" s="15">
        <v>269900</v>
      </c>
      <c r="N600" s="9">
        <f t="shared" si="41"/>
        <v>0.9</v>
      </c>
      <c r="O600" s="8">
        <f t="shared" si="39"/>
        <v>26990</v>
      </c>
      <c r="P600" s="6" t="s">
        <v>15</v>
      </c>
    </row>
    <row r="601" spans="1:16" x14ac:dyDescent="0.25">
      <c r="A601" s="7" t="str">
        <f t="shared" si="40"/>
        <v>2022 ALL D90</v>
      </c>
      <c r="B601" s="7">
        <f t="shared" si="38"/>
        <v>46114</v>
      </c>
      <c r="C601" s="7">
        <f t="shared" si="37"/>
        <v>46120</v>
      </c>
      <c r="D601" s="6">
        <v>3280</v>
      </c>
      <c r="E601" s="6">
        <v>337</v>
      </c>
      <c r="F601" s="6">
        <v>4</v>
      </c>
      <c r="G601" s="15">
        <v>1</v>
      </c>
      <c r="H601" s="15"/>
      <c r="I601" s="15" t="s">
        <v>1505</v>
      </c>
      <c r="J601" s="15">
        <v>76585363</v>
      </c>
      <c r="K601" s="15" t="s">
        <v>2597</v>
      </c>
      <c r="L601" s="15" t="s">
        <v>2602</v>
      </c>
      <c r="M601" s="15">
        <v>269900</v>
      </c>
      <c r="N601" s="9">
        <f t="shared" si="41"/>
        <v>0.9</v>
      </c>
      <c r="O601" s="8">
        <f t="shared" si="39"/>
        <v>26990</v>
      </c>
      <c r="P601" s="6" t="s">
        <v>15</v>
      </c>
    </row>
    <row r="602" spans="1:16" x14ac:dyDescent="0.25">
      <c r="A602" s="7" t="str">
        <f t="shared" si="40"/>
        <v>2022 ALL D90</v>
      </c>
      <c r="B602" s="7">
        <f t="shared" si="38"/>
        <v>46114</v>
      </c>
      <c r="C602" s="7">
        <f t="shared" si="37"/>
        <v>46120</v>
      </c>
      <c r="D602" s="6">
        <v>3280</v>
      </c>
      <c r="E602" s="6">
        <v>337</v>
      </c>
      <c r="F602" s="6">
        <v>4</v>
      </c>
      <c r="G602" s="15">
        <v>1</v>
      </c>
      <c r="H602" s="15"/>
      <c r="I602" s="15" t="s">
        <v>1505</v>
      </c>
      <c r="J602" s="15">
        <v>76585372</v>
      </c>
      <c r="K602" s="15" t="s">
        <v>2597</v>
      </c>
      <c r="L602" s="15" t="s">
        <v>2603</v>
      </c>
      <c r="M602" s="15">
        <v>269900</v>
      </c>
      <c r="N602" s="9">
        <f t="shared" si="41"/>
        <v>0.9</v>
      </c>
      <c r="O602" s="8">
        <f t="shared" si="39"/>
        <v>26990</v>
      </c>
      <c r="P602" s="6" t="s">
        <v>15</v>
      </c>
    </row>
    <row r="603" spans="1:16" x14ac:dyDescent="0.25">
      <c r="A603" s="7" t="str">
        <f t="shared" ref="A603" si="42">A602</f>
        <v>2022 ALL D90</v>
      </c>
      <c r="B603" s="7">
        <f t="shared" si="38"/>
        <v>46114</v>
      </c>
      <c r="C603" s="7">
        <f t="shared" si="37"/>
        <v>46120</v>
      </c>
      <c r="D603" s="6">
        <v>3280</v>
      </c>
      <c r="E603" s="6">
        <v>337</v>
      </c>
      <c r="F603" s="6">
        <v>4</v>
      </c>
      <c r="G603" s="15">
        <v>1</v>
      </c>
      <c r="H603" s="15"/>
      <c r="I603" s="15" t="s">
        <v>1505</v>
      </c>
      <c r="J603" s="15">
        <v>76460667</v>
      </c>
      <c r="K603" s="15" t="s">
        <v>2618</v>
      </c>
      <c r="L603" s="15" t="s">
        <v>2619</v>
      </c>
      <c r="M603" s="15">
        <v>239900</v>
      </c>
      <c r="N603" s="9">
        <f t="shared" si="41"/>
        <v>0.9</v>
      </c>
      <c r="O603" s="8">
        <f t="shared" si="39"/>
        <v>23990</v>
      </c>
      <c r="P603" s="6" t="s">
        <v>15</v>
      </c>
    </row>
    <row r="604" spans="1:16" x14ac:dyDescent="0.25">
      <c r="A604" s="7" t="str">
        <f t="shared" ref="A604" si="43">A603</f>
        <v>2022 ALL D90</v>
      </c>
      <c r="B604" s="7">
        <f t="shared" si="38"/>
        <v>46114</v>
      </c>
      <c r="C604" s="7">
        <f t="shared" si="37"/>
        <v>46120</v>
      </c>
      <c r="D604" s="6">
        <v>3280</v>
      </c>
      <c r="E604" s="6">
        <v>337</v>
      </c>
      <c r="F604" s="6">
        <v>4</v>
      </c>
      <c r="G604" s="15">
        <v>1</v>
      </c>
      <c r="H604" s="15"/>
      <c r="I604" s="15" t="s">
        <v>1505</v>
      </c>
      <c r="J604" s="15">
        <v>76460676</v>
      </c>
      <c r="K604" s="15" t="s">
        <v>2618</v>
      </c>
      <c r="L604" s="15" t="s">
        <v>2620</v>
      </c>
      <c r="M604" s="15">
        <v>239900</v>
      </c>
      <c r="N604" s="9">
        <f t="shared" si="41"/>
        <v>0.9</v>
      </c>
      <c r="O604" s="8">
        <f t="shared" si="39"/>
        <v>23990</v>
      </c>
      <c r="P604" s="6" t="s">
        <v>15</v>
      </c>
    </row>
    <row r="605" spans="1:16" x14ac:dyDescent="0.25">
      <c r="A605" s="7" t="str">
        <f t="shared" ref="A605" si="44">A604</f>
        <v>2022 ALL D90</v>
      </c>
      <c r="B605" s="7">
        <f t="shared" si="38"/>
        <v>46114</v>
      </c>
      <c r="C605" s="7">
        <f t="shared" si="37"/>
        <v>46120</v>
      </c>
      <c r="D605" s="6">
        <v>3280</v>
      </c>
      <c r="E605" s="6">
        <v>337</v>
      </c>
      <c r="F605" s="6">
        <v>4</v>
      </c>
      <c r="G605" s="15">
        <v>1</v>
      </c>
      <c r="H605" s="15"/>
      <c r="I605" s="15" t="s">
        <v>1505</v>
      </c>
      <c r="J605" s="15">
        <v>76460685</v>
      </c>
      <c r="K605" s="15" t="s">
        <v>2618</v>
      </c>
      <c r="L605" s="15" t="s">
        <v>2621</v>
      </c>
      <c r="M605" s="15">
        <v>239900</v>
      </c>
      <c r="N605" s="9">
        <f t="shared" si="41"/>
        <v>0.9</v>
      </c>
      <c r="O605" s="8">
        <f t="shared" si="39"/>
        <v>23990</v>
      </c>
      <c r="P605" s="6" t="s">
        <v>15</v>
      </c>
    </row>
    <row r="606" spans="1:16" x14ac:dyDescent="0.25">
      <c r="A606" s="7" t="str">
        <f t="shared" ref="A606" si="45">A605</f>
        <v>2022 ALL D90</v>
      </c>
      <c r="B606" s="7">
        <f t="shared" si="38"/>
        <v>46114</v>
      </c>
      <c r="C606" s="7">
        <f t="shared" si="37"/>
        <v>46120</v>
      </c>
      <c r="D606" s="6">
        <v>3280</v>
      </c>
      <c r="E606" s="6">
        <v>337</v>
      </c>
      <c r="F606" s="6">
        <v>4</v>
      </c>
      <c r="G606" s="15">
        <v>1</v>
      </c>
      <c r="H606" s="15"/>
      <c r="I606" s="15" t="s">
        <v>1505</v>
      </c>
      <c r="J606" s="15">
        <v>76460694</v>
      </c>
      <c r="K606" s="15" t="s">
        <v>2618</v>
      </c>
      <c r="L606" s="15" t="s">
        <v>2622</v>
      </c>
      <c r="M606" s="15">
        <v>249900</v>
      </c>
      <c r="N606" s="9">
        <f t="shared" si="41"/>
        <v>0.9</v>
      </c>
      <c r="O606" s="8">
        <f t="shared" si="39"/>
        <v>24990</v>
      </c>
      <c r="P606" s="6" t="s">
        <v>15</v>
      </c>
    </row>
    <row r="607" spans="1:16" x14ac:dyDescent="0.25">
      <c r="A607" s="7" t="str">
        <f t="shared" ref="A607" si="46">A606</f>
        <v>2022 ALL D90</v>
      </c>
      <c r="B607" s="7">
        <f t="shared" si="38"/>
        <v>46114</v>
      </c>
      <c r="C607" s="7">
        <f t="shared" si="37"/>
        <v>46120</v>
      </c>
      <c r="D607" s="6">
        <v>3280</v>
      </c>
      <c r="E607" s="6">
        <v>337</v>
      </c>
      <c r="F607" s="6">
        <v>4</v>
      </c>
      <c r="G607" s="15">
        <v>1</v>
      </c>
      <c r="H607" s="15"/>
      <c r="I607" s="15" t="s">
        <v>1505</v>
      </c>
      <c r="J607" s="15">
        <v>76460701</v>
      </c>
      <c r="K607" s="15" t="s">
        <v>2618</v>
      </c>
      <c r="L607" s="15" t="s">
        <v>2623</v>
      </c>
      <c r="M607" s="15">
        <v>249900</v>
      </c>
      <c r="N607" s="9">
        <f t="shared" si="41"/>
        <v>0.9</v>
      </c>
      <c r="O607" s="8">
        <f t="shared" si="39"/>
        <v>24990</v>
      </c>
      <c r="P607" s="6" t="s">
        <v>15</v>
      </c>
    </row>
    <row r="608" spans="1:16" x14ac:dyDescent="0.25">
      <c r="A608" s="7" t="str">
        <f t="shared" ref="A608" si="47">A607</f>
        <v>2022 ALL D90</v>
      </c>
      <c r="B608" s="7">
        <f t="shared" si="38"/>
        <v>46114</v>
      </c>
      <c r="C608" s="7">
        <f t="shared" si="37"/>
        <v>46120</v>
      </c>
      <c r="D608" s="6">
        <v>3280</v>
      </c>
      <c r="E608" s="6">
        <v>337</v>
      </c>
      <c r="F608" s="6">
        <v>4</v>
      </c>
      <c r="G608" s="15">
        <v>1</v>
      </c>
      <c r="H608" s="15"/>
      <c r="I608" s="15" t="s">
        <v>1505</v>
      </c>
      <c r="J608" s="15">
        <v>76460710</v>
      </c>
      <c r="K608" s="15" t="s">
        <v>2618</v>
      </c>
      <c r="L608" s="15" t="s">
        <v>2624</v>
      </c>
      <c r="M608" s="15">
        <v>249900</v>
      </c>
      <c r="N608" s="9">
        <f t="shared" si="41"/>
        <v>0.9</v>
      </c>
      <c r="O608" s="8">
        <f t="shared" si="39"/>
        <v>24990</v>
      </c>
      <c r="P608" s="6" t="s">
        <v>15</v>
      </c>
    </row>
    <row r="609" spans="1:16" x14ac:dyDescent="0.25">
      <c r="A609" s="7" t="str">
        <f t="shared" ref="A609" si="48">A608</f>
        <v>2022 ALL D90</v>
      </c>
      <c r="B609" s="7">
        <f t="shared" si="38"/>
        <v>46114</v>
      </c>
      <c r="C609" s="7">
        <f t="shared" si="37"/>
        <v>46120</v>
      </c>
      <c r="D609" s="6">
        <v>3280</v>
      </c>
      <c r="E609" s="6">
        <v>337</v>
      </c>
      <c r="F609" s="6">
        <v>4</v>
      </c>
      <c r="G609" s="15">
        <v>1</v>
      </c>
      <c r="H609" s="15"/>
      <c r="I609" s="15" t="s">
        <v>1505</v>
      </c>
      <c r="J609" s="15">
        <v>76460603</v>
      </c>
      <c r="K609" s="15" t="s">
        <v>2625</v>
      </c>
      <c r="L609" s="15" t="s">
        <v>2626</v>
      </c>
      <c r="M609" s="15">
        <v>239900</v>
      </c>
      <c r="N609" s="9">
        <f t="shared" si="41"/>
        <v>0.9</v>
      </c>
      <c r="O609" s="8">
        <f t="shared" si="39"/>
        <v>23990</v>
      </c>
      <c r="P609" s="6" t="s">
        <v>15</v>
      </c>
    </row>
    <row r="610" spans="1:16" x14ac:dyDescent="0.25">
      <c r="A610" s="7" t="str">
        <f t="shared" ref="A610" si="49">A609</f>
        <v>2022 ALL D90</v>
      </c>
      <c r="B610" s="7">
        <f t="shared" si="38"/>
        <v>46114</v>
      </c>
      <c r="C610" s="7">
        <f t="shared" si="37"/>
        <v>46120</v>
      </c>
      <c r="D610" s="6">
        <v>3280</v>
      </c>
      <c r="E610" s="6">
        <v>337</v>
      </c>
      <c r="F610" s="6">
        <v>4</v>
      </c>
      <c r="G610" s="15">
        <v>1</v>
      </c>
      <c r="H610" s="15"/>
      <c r="I610" s="15" t="s">
        <v>1505</v>
      </c>
      <c r="J610" s="15">
        <v>76460612</v>
      </c>
      <c r="K610" s="15" t="s">
        <v>2625</v>
      </c>
      <c r="L610" s="15" t="s">
        <v>2627</v>
      </c>
      <c r="M610" s="15">
        <v>239900</v>
      </c>
      <c r="N610" s="9">
        <f t="shared" si="41"/>
        <v>0.9</v>
      </c>
      <c r="O610" s="8">
        <f t="shared" si="39"/>
        <v>23990</v>
      </c>
      <c r="P610" s="6" t="s">
        <v>15</v>
      </c>
    </row>
    <row r="611" spans="1:16" x14ac:dyDescent="0.25">
      <c r="A611" s="7" t="str">
        <f t="shared" ref="A611" si="50">A610</f>
        <v>2022 ALL D90</v>
      </c>
      <c r="B611" s="7">
        <f t="shared" si="38"/>
        <v>46114</v>
      </c>
      <c r="C611" s="7">
        <f t="shared" ref="C611:C626" si="51">C610</f>
        <v>46120</v>
      </c>
      <c r="D611" s="6">
        <v>3280</v>
      </c>
      <c r="E611" s="6">
        <v>337</v>
      </c>
      <c r="F611" s="6">
        <v>4</v>
      </c>
      <c r="G611" s="15">
        <v>1</v>
      </c>
      <c r="H611" s="15"/>
      <c r="I611" s="15" t="s">
        <v>1505</v>
      </c>
      <c r="J611" s="15">
        <v>76460621</v>
      </c>
      <c r="K611" s="15" t="s">
        <v>2625</v>
      </c>
      <c r="L611" s="15" t="s">
        <v>2628</v>
      </c>
      <c r="M611" s="15">
        <v>239900</v>
      </c>
      <c r="N611" s="9">
        <f t="shared" si="41"/>
        <v>0.9</v>
      </c>
      <c r="O611" s="8">
        <f t="shared" si="39"/>
        <v>23990</v>
      </c>
      <c r="P611" s="6" t="s">
        <v>15</v>
      </c>
    </row>
    <row r="612" spans="1:16" x14ac:dyDescent="0.25">
      <c r="A612" s="7" t="str">
        <f t="shared" ref="A612:B612" si="52">A611</f>
        <v>2022 ALL D90</v>
      </c>
      <c r="B612" s="7">
        <f t="shared" si="52"/>
        <v>46114</v>
      </c>
      <c r="C612" s="7">
        <f t="shared" si="51"/>
        <v>46120</v>
      </c>
      <c r="D612" s="6">
        <v>3280</v>
      </c>
      <c r="E612" s="6">
        <v>337</v>
      </c>
      <c r="F612" s="6">
        <v>4</v>
      </c>
      <c r="G612" s="15">
        <v>1</v>
      </c>
      <c r="H612" s="15"/>
      <c r="I612" s="15" t="s">
        <v>1505</v>
      </c>
      <c r="J612" s="15">
        <v>76460630</v>
      </c>
      <c r="K612" s="15" t="s">
        <v>2625</v>
      </c>
      <c r="L612" s="15" t="s">
        <v>2629</v>
      </c>
      <c r="M612" s="15">
        <v>249900</v>
      </c>
      <c r="N612" s="9">
        <f t="shared" si="41"/>
        <v>0.9</v>
      </c>
      <c r="O612" s="8">
        <f t="shared" si="39"/>
        <v>24990</v>
      </c>
      <c r="P612" s="6" t="s">
        <v>15</v>
      </c>
    </row>
    <row r="613" spans="1:16" x14ac:dyDescent="0.25">
      <c r="A613" s="7" t="str">
        <f t="shared" ref="A613:B613" si="53">A612</f>
        <v>2022 ALL D90</v>
      </c>
      <c r="B613" s="7">
        <f t="shared" si="53"/>
        <v>46114</v>
      </c>
      <c r="C613" s="7">
        <f t="shared" si="51"/>
        <v>46120</v>
      </c>
      <c r="D613" s="6">
        <v>3280</v>
      </c>
      <c r="E613" s="6">
        <v>337</v>
      </c>
      <c r="F613" s="6">
        <v>4</v>
      </c>
      <c r="G613" s="15">
        <v>1</v>
      </c>
      <c r="H613" s="15"/>
      <c r="I613" s="15" t="s">
        <v>1505</v>
      </c>
      <c r="J613" s="15">
        <v>76460649</v>
      </c>
      <c r="K613" s="15" t="s">
        <v>2625</v>
      </c>
      <c r="L613" s="15" t="s">
        <v>2630</v>
      </c>
      <c r="M613" s="15">
        <v>249900</v>
      </c>
      <c r="N613" s="9">
        <f t="shared" si="41"/>
        <v>0.9</v>
      </c>
      <c r="O613" s="8">
        <f t="shared" si="39"/>
        <v>24990</v>
      </c>
      <c r="P613" s="6" t="s">
        <v>15</v>
      </c>
    </row>
    <row r="614" spans="1:16" x14ac:dyDescent="0.25">
      <c r="A614" s="7" t="str">
        <f t="shared" ref="A614:B614" si="54">A613</f>
        <v>2022 ALL D90</v>
      </c>
      <c r="B614" s="7">
        <f t="shared" si="54"/>
        <v>46114</v>
      </c>
      <c r="C614" s="7">
        <f t="shared" si="51"/>
        <v>46120</v>
      </c>
      <c r="D614" s="6">
        <v>3280</v>
      </c>
      <c r="E614" s="6">
        <v>337</v>
      </c>
      <c r="F614" s="6">
        <v>4</v>
      </c>
      <c r="G614" s="15">
        <v>1</v>
      </c>
      <c r="H614" s="15"/>
      <c r="I614" s="15" t="s">
        <v>1505</v>
      </c>
      <c r="J614" s="15">
        <v>76460658</v>
      </c>
      <c r="K614" s="15" t="s">
        <v>2625</v>
      </c>
      <c r="L614" s="15" t="s">
        <v>2631</v>
      </c>
      <c r="M614" s="15">
        <v>249900</v>
      </c>
      <c r="N614" s="9">
        <f t="shared" si="41"/>
        <v>0.9</v>
      </c>
      <c r="O614" s="8">
        <f t="shared" si="39"/>
        <v>24990</v>
      </c>
      <c r="P614" s="6" t="s">
        <v>15</v>
      </c>
    </row>
    <row r="615" spans="1:16" x14ac:dyDescent="0.25">
      <c r="A615" s="7" t="str">
        <f t="shared" ref="A615:B615" si="55">A614</f>
        <v>2022 ALL D90</v>
      </c>
      <c r="B615" s="7">
        <f t="shared" si="55"/>
        <v>46114</v>
      </c>
      <c r="C615" s="7">
        <f t="shared" si="51"/>
        <v>46120</v>
      </c>
      <c r="D615" s="6">
        <v>3280</v>
      </c>
      <c r="E615" s="6">
        <v>337</v>
      </c>
      <c r="F615" s="6">
        <v>4</v>
      </c>
      <c r="G615" s="15">
        <v>1</v>
      </c>
      <c r="H615" s="15"/>
      <c r="I615" s="15" t="s">
        <v>1505</v>
      </c>
      <c r="J615" s="15">
        <v>76460729</v>
      </c>
      <c r="K615" s="15" t="s">
        <v>2611</v>
      </c>
      <c r="L615" s="15" t="s">
        <v>2612</v>
      </c>
      <c r="M615" s="15">
        <v>239900</v>
      </c>
      <c r="N615" s="9">
        <f t="shared" si="41"/>
        <v>0.9</v>
      </c>
      <c r="O615" s="8">
        <f t="shared" si="39"/>
        <v>23990</v>
      </c>
      <c r="P615" s="6" t="s">
        <v>15</v>
      </c>
    </row>
    <row r="616" spans="1:16" x14ac:dyDescent="0.25">
      <c r="A616" s="7" t="str">
        <f t="shared" ref="A616:B616" si="56">A615</f>
        <v>2022 ALL D90</v>
      </c>
      <c r="B616" s="7">
        <f t="shared" si="56"/>
        <v>46114</v>
      </c>
      <c r="C616" s="7">
        <f t="shared" si="51"/>
        <v>46120</v>
      </c>
      <c r="D616" s="6">
        <v>3280</v>
      </c>
      <c r="E616" s="6">
        <v>337</v>
      </c>
      <c r="F616" s="6">
        <v>4</v>
      </c>
      <c r="G616" s="15">
        <v>1</v>
      </c>
      <c r="H616" s="15"/>
      <c r="I616" s="15" t="s">
        <v>1505</v>
      </c>
      <c r="J616" s="15">
        <v>76460738</v>
      </c>
      <c r="K616" s="15" t="s">
        <v>2611</v>
      </c>
      <c r="L616" s="15" t="s">
        <v>2613</v>
      </c>
      <c r="M616" s="15">
        <v>239900</v>
      </c>
      <c r="N616" s="9">
        <f t="shared" si="41"/>
        <v>0.9</v>
      </c>
      <c r="O616" s="8">
        <f t="shared" si="39"/>
        <v>23990</v>
      </c>
      <c r="P616" s="6" t="s">
        <v>15</v>
      </c>
    </row>
    <row r="617" spans="1:16" x14ac:dyDescent="0.25">
      <c r="A617" s="7" t="str">
        <f t="shared" ref="A617:B617" si="57">A616</f>
        <v>2022 ALL D90</v>
      </c>
      <c r="B617" s="7">
        <f t="shared" si="57"/>
        <v>46114</v>
      </c>
      <c r="C617" s="7">
        <f t="shared" si="51"/>
        <v>46120</v>
      </c>
      <c r="D617" s="6">
        <v>3280</v>
      </c>
      <c r="E617" s="6">
        <v>337</v>
      </c>
      <c r="F617" s="6">
        <v>4</v>
      </c>
      <c r="G617" s="15">
        <v>1</v>
      </c>
      <c r="H617" s="15"/>
      <c r="I617" s="15" t="s">
        <v>1505</v>
      </c>
      <c r="J617" s="15">
        <v>76460747</v>
      </c>
      <c r="K617" s="15" t="s">
        <v>2611</v>
      </c>
      <c r="L617" s="15" t="s">
        <v>2614</v>
      </c>
      <c r="M617" s="15">
        <v>239900</v>
      </c>
      <c r="N617" s="9">
        <f t="shared" si="41"/>
        <v>0.9</v>
      </c>
      <c r="O617" s="8">
        <f t="shared" si="39"/>
        <v>23990</v>
      </c>
      <c r="P617" s="6" t="s">
        <v>15</v>
      </c>
    </row>
    <row r="618" spans="1:16" x14ac:dyDescent="0.25">
      <c r="A618" s="7" t="str">
        <f t="shared" ref="A618:B618" si="58">A617</f>
        <v>2022 ALL D90</v>
      </c>
      <c r="B618" s="7">
        <f t="shared" si="58"/>
        <v>46114</v>
      </c>
      <c r="C618" s="7">
        <f t="shared" si="51"/>
        <v>46120</v>
      </c>
      <c r="D618" s="6">
        <v>3280</v>
      </c>
      <c r="E618" s="6">
        <v>337</v>
      </c>
      <c r="F618" s="6">
        <v>4</v>
      </c>
      <c r="G618" s="15">
        <v>1</v>
      </c>
      <c r="H618" s="15"/>
      <c r="I618" s="15" t="s">
        <v>1505</v>
      </c>
      <c r="J618" s="15">
        <v>76460756</v>
      </c>
      <c r="K618" s="15" t="s">
        <v>2611</v>
      </c>
      <c r="L618" s="15" t="s">
        <v>2615</v>
      </c>
      <c r="M618" s="15">
        <v>249900</v>
      </c>
      <c r="N618" s="9">
        <f t="shared" si="41"/>
        <v>0.9</v>
      </c>
      <c r="O618" s="8">
        <f t="shared" si="39"/>
        <v>24990</v>
      </c>
      <c r="P618" s="6" t="s">
        <v>15</v>
      </c>
    </row>
    <row r="619" spans="1:16" x14ac:dyDescent="0.25">
      <c r="A619" s="7" t="str">
        <f t="shared" ref="A619:B619" si="59">A618</f>
        <v>2022 ALL D90</v>
      </c>
      <c r="B619" s="7">
        <f t="shared" si="59"/>
        <v>46114</v>
      </c>
      <c r="C619" s="7">
        <f t="shared" si="51"/>
        <v>46120</v>
      </c>
      <c r="D619" s="6">
        <v>3280</v>
      </c>
      <c r="E619" s="6">
        <v>337</v>
      </c>
      <c r="F619" s="6">
        <v>4</v>
      </c>
      <c r="G619" s="15">
        <v>1</v>
      </c>
      <c r="H619" s="15"/>
      <c r="I619" s="15" t="s">
        <v>1505</v>
      </c>
      <c r="J619" s="15">
        <v>76460765</v>
      </c>
      <c r="K619" s="15" t="s">
        <v>2611</v>
      </c>
      <c r="L619" s="15" t="s">
        <v>2616</v>
      </c>
      <c r="M619" s="15">
        <v>249900</v>
      </c>
      <c r="N619" s="9">
        <f t="shared" si="41"/>
        <v>0.9</v>
      </c>
      <c r="O619" s="8">
        <f t="shared" si="39"/>
        <v>24990</v>
      </c>
      <c r="P619" s="6" t="s">
        <v>15</v>
      </c>
    </row>
    <row r="620" spans="1:16" x14ac:dyDescent="0.25">
      <c r="A620" s="7" t="str">
        <f t="shared" ref="A620:B620" si="60">A619</f>
        <v>2022 ALL D90</v>
      </c>
      <c r="B620" s="7">
        <f t="shared" si="60"/>
        <v>46114</v>
      </c>
      <c r="C620" s="7">
        <f t="shared" si="51"/>
        <v>46120</v>
      </c>
      <c r="D620" s="6">
        <v>3280</v>
      </c>
      <c r="E620" s="6">
        <v>337</v>
      </c>
      <c r="F620" s="6">
        <v>4</v>
      </c>
      <c r="G620" s="15">
        <v>1</v>
      </c>
      <c r="H620" s="15"/>
      <c r="I620" s="15" t="s">
        <v>1505</v>
      </c>
      <c r="J620" s="15">
        <v>76460774</v>
      </c>
      <c r="K620" s="15" t="s">
        <v>2611</v>
      </c>
      <c r="L620" s="15" t="s">
        <v>2617</v>
      </c>
      <c r="M620" s="15">
        <v>249900</v>
      </c>
      <c r="N620" s="9">
        <f t="shared" si="41"/>
        <v>0.9</v>
      </c>
      <c r="O620" s="8">
        <f t="shared" si="39"/>
        <v>24990</v>
      </c>
      <c r="P620" s="6" t="s">
        <v>15</v>
      </c>
    </row>
    <row r="621" spans="1:16" x14ac:dyDescent="0.25">
      <c r="A621" s="7" t="str">
        <f t="shared" ref="A621:B621" si="61">A620</f>
        <v>2022 ALL D90</v>
      </c>
      <c r="B621" s="7">
        <f t="shared" si="61"/>
        <v>46114</v>
      </c>
      <c r="C621" s="7">
        <f t="shared" si="51"/>
        <v>46120</v>
      </c>
      <c r="D621" s="6">
        <v>3280</v>
      </c>
      <c r="E621" s="6">
        <v>337</v>
      </c>
      <c r="F621" s="14">
        <v>4</v>
      </c>
      <c r="G621" s="15">
        <v>2</v>
      </c>
      <c r="H621" s="15"/>
      <c r="I621" s="15" t="s">
        <v>1505</v>
      </c>
      <c r="J621" s="15">
        <v>76015666</v>
      </c>
      <c r="K621" s="15" t="s">
        <v>3369</v>
      </c>
      <c r="L621" s="15" t="s">
        <v>3370</v>
      </c>
      <c r="M621" s="20">
        <v>239900</v>
      </c>
      <c r="N621" s="9">
        <f t="shared" si="41"/>
        <v>0.9</v>
      </c>
      <c r="O621" s="8">
        <f t="shared" si="39"/>
        <v>23990</v>
      </c>
      <c r="P621" s="6" t="s">
        <v>15</v>
      </c>
    </row>
    <row r="622" spans="1:16" x14ac:dyDescent="0.25">
      <c r="A622" s="7" t="str">
        <f t="shared" ref="A622:B622" si="62">A621</f>
        <v>2022 ALL D90</v>
      </c>
      <c r="B622" s="7">
        <f t="shared" si="62"/>
        <v>46114</v>
      </c>
      <c r="C622" s="7">
        <f t="shared" si="51"/>
        <v>46120</v>
      </c>
      <c r="D622" s="6">
        <v>3280</v>
      </c>
      <c r="E622" s="6">
        <v>337</v>
      </c>
      <c r="F622" s="14">
        <v>4</v>
      </c>
      <c r="G622" s="15">
        <v>2</v>
      </c>
      <c r="H622" s="15"/>
      <c r="I622" s="15" t="s">
        <v>1505</v>
      </c>
      <c r="J622" s="15">
        <v>76015675</v>
      </c>
      <c r="K622" s="15" t="s">
        <v>3369</v>
      </c>
      <c r="L622" s="15" t="s">
        <v>3371</v>
      </c>
      <c r="M622" s="20">
        <v>239900</v>
      </c>
      <c r="N622" s="9">
        <f t="shared" si="41"/>
        <v>0.9</v>
      </c>
      <c r="O622" s="8">
        <f t="shared" si="39"/>
        <v>23990</v>
      </c>
      <c r="P622" s="6" t="s">
        <v>15</v>
      </c>
    </row>
    <row r="623" spans="1:16" x14ac:dyDescent="0.25">
      <c r="A623" s="7" t="str">
        <f t="shared" ref="A623:B623" si="63">A622</f>
        <v>2022 ALL D90</v>
      </c>
      <c r="B623" s="7">
        <f t="shared" si="63"/>
        <v>46114</v>
      </c>
      <c r="C623" s="7">
        <f t="shared" si="51"/>
        <v>46120</v>
      </c>
      <c r="D623" s="6">
        <v>3280</v>
      </c>
      <c r="E623" s="6">
        <v>337</v>
      </c>
      <c r="F623" s="14">
        <v>4</v>
      </c>
      <c r="G623" s="15">
        <v>3</v>
      </c>
      <c r="H623" s="15"/>
      <c r="I623" s="15" t="s">
        <v>1505</v>
      </c>
      <c r="J623" s="15">
        <v>76015684</v>
      </c>
      <c r="K623" s="15" t="s">
        <v>3369</v>
      </c>
      <c r="L623" s="15" t="s">
        <v>3372</v>
      </c>
      <c r="M623" s="20">
        <v>239900</v>
      </c>
      <c r="N623" s="9">
        <f t="shared" si="41"/>
        <v>0.9</v>
      </c>
      <c r="O623" s="8">
        <f t="shared" si="39"/>
        <v>23990</v>
      </c>
      <c r="P623" s="6" t="s">
        <v>15</v>
      </c>
    </row>
    <row r="624" spans="1:16" x14ac:dyDescent="0.25">
      <c r="A624" s="7" t="str">
        <f t="shared" ref="A624:B624" si="64">A623</f>
        <v>2022 ALL D90</v>
      </c>
      <c r="B624" s="7">
        <f t="shared" si="64"/>
        <v>46114</v>
      </c>
      <c r="C624" s="7">
        <f t="shared" si="51"/>
        <v>46120</v>
      </c>
      <c r="D624" s="6">
        <v>3280</v>
      </c>
      <c r="E624" s="6">
        <v>337</v>
      </c>
      <c r="F624" s="14">
        <v>4</v>
      </c>
      <c r="G624" s="15">
        <v>3</v>
      </c>
      <c r="H624" s="15"/>
      <c r="I624" s="15" t="s">
        <v>1505</v>
      </c>
      <c r="J624" s="15">
        <v>76015693</v>
      </c>
      <c r="K624" s="15" t="s">
        <v>3369</v>
      </c>
      <c r="L624" s="15" t="s">
        <v>3373</v>
      </c>
      <c r="M624" s="20">
        <v>249900</v>
      </c>
      <c r="N624" s="9">
        <f t="shared" si="41"/>
        <v>0.9</v>
      </c>
      <c r="O624" s="8">
        <f t="shared" si="39"/>
        <v>24990</v>
      </c>
      <c r="P624" s="6" t="s">
        <v>15</v>
      </c>
    </row>
    <row r="625" spans="1:16" x14ac:dyDescent="0.25">
      <c r="A625" s="7" t="str">
        <f t="shared" ref="A625:B625" si="65">A624</f>
        <v>2022 ALL D90</v>
      </c>
      <c r="B625" s="7">
        <f t="shared" si="65"/>
        <v>46114</v>
      </c>
      <c r="C625" s="7">
        <f t="shared" si="51"/>
        <v>46120</v>
      </c>
      <c r="D625" s="6">
        <v>3280</v>
      </c>
      <c r="E625" s="6">
        <v>337</v>
      </c>
      <c r="F625" s="14">
        <v>4</v>
      </c>
      <c r="G625" s="15">
        <v>3</v>
      </c>
      <c r="H625" s="15"/>
      <c r="I625" s="15" t="s">
        <v>1505</v>
      </c>
      <c r="J625" s="15">
        <v>76015700</v>
      </c>
      <c r="K625" s="15" t="s">
        <v>3369</v>
      </c>
      <c r="L625" s="15" t="s">
        <v>3374</v>
      </c>
      <c r="M625" s="20">
        <v>249900</v>
      </c>
      <c r="N625" s="9">
        <f t="shared" si="41"/>
        <v>0.9</v>
      </c>
      <c r="O625" s="8">
        <f t="shared" si="39"/>
        <v>24990</v>
      </c>
      <c r="P625" s="6" t="s">
        <v>15</v>
      </c>
    </row>
    <row r="626" spans="1:16" x14ac:dyDescent="0.25">
      <c r="A626" s="7" t="str">
        <f t="shared" ref="A626:B626" si="66">A625</f>
        <v>2022 ALL D90</v>
      </c>
      <c r="B626" s="7">
        <f t="shared" si="66"/>
        <v>46114</v>
      </c>
      <c r="C626" s="7">
        <f t="shared" si="51"/>
        <v>46120</v>
      </c>
      <c r="D626" s="6">
        <v>3280</v>
      </c>
      <c r="E626" s="6">
        <v>337</v>
      </c>
      <c r="F626" s="14">
        <v>4</v>
      </c>
      <c r="G626" s="15">
        <v>3</v>
      </c>
      <c r="H626" s="15"/>
      <c r="I626" s="15" t="s">
        <v>1505</v>
      </c>
      <c r="J626" s="15">
        <v>76015719</v>
      </c>
      <c r="K626" s="15" t="s">
        <v>3369</v>
      </c>
      <c r="L626" s="15" t="s">
        <v>3375</v>
      </c>
      <c r="M626" s="20">
        <v>249900</v>
      </c>
      <c r="N626" s="9">
        <f t="shared" si="41"/>
        <v>0.9</v>
      </c>
      <c r="O626" s="8">
        <f t="shared" si="39"/>
        <v>24990</v>
      </c>
      <c r="P626" s="6" t="s">
        <v>15</v>
      </c>
    </row>
  </sheetData>
  <autoFilter ref="A1:P620" xr:uid="{00000000-0009-0000-0000-000002000000}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200E-91E8-4ABE-B501-9046D5CFEED5}">
  <dimension ref="A1:P701"/>
  <sheetViews>
    <sheetView zoomScale="70" zoomScaleNormal="70" workbookViewId="0">
      <pane ySplit="1" topLeftCell="A2" activePane="bottomLeft" state="frozen"/>
      <selection activeCell="G13" sqref="G13"/>
      <selection pane="bottomLeft" activeCell="B2" sqref="B2"/>
    </sheetView>
  </sheetViews>
  <sheetFormatPr defaultColWidth="8.7109375" defaultRowHeight="15" x14ac:dyDescent="0.25"/>
  <cols>
    <col min="1" max="1" width="24.7109375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" bestFit="1" customWidth="1"/>
    <col min="9" max="9" width="16.5703125" style="2" bestFit="1" customWidth="1"/>
    <col min="10" max="10" width="16.28515625" style="31" bestFit="1" customWidth="1"/>
    <col min="11" max="11" width="21" style="31" bestFit="1" customWidth="1"/>
    <col min="12" max="12" width="101.7109375" style="31" bestFit="1" customWidth="1"/>
    <col min="13" max="13" width="20.7109375" style="4" bestFit="1" customWidth="1"/>
    <col min="14" max="14" width="12.42578125" style="5" bestFit="1" customWidth="1"/>
    <col min="15" max="15" width="19.7109375" style="4" bestFit="1" customWidth="1"/>
    <col min="16" max="16" width="19.7109375" style="2" bestFit="1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29" t="s">
        <v>5</v>
      </c>
      <c r="K1" s="29" t="s">
        <v>6</v>
      </c>
      <c r="L1" s="29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4428</v>
      </c>
      <c r="B2" s="7">
        <f>'2019 ALL D95'!B2</f>
        <v>46114</v>
      </c>
      <c r="C2" s="7">
        <f>'2019 ALL D95'!C2</f>
        <v>46120</v>
      </c>
      <c r="D2" s="6">
        <v>3280</v>
      </c>
      <c r="E2" s="6">
        <v>337</v>
      </c>
      <c r="F2" s="14">
        <v>4</v>
      </c>
      <c r="G2" s="15">
        <v>1</v>
      </c>
      <c r="H2" s="15">
        <v>81698</v>
      </c>
      <c r="I2" s="15" t="s">
        <v>1505</v>
      </c>
      <c r="J2" s="30">
        <v>76460489</v>
      </c>
      <c r="K2" s="30" t="s">
        <v>2744</v>
      </c>
      <c r="L2" s="30" t="s">
        <v>2745</v>
      </c>
      <c r="M2" s="15">
        <v>259900</v>
      </c>
      <c r="N2" s="9">
        <v>0.9</v>
      </c>
      <c r="O2" s="8">
        <f>M2-((90*M2)/100)</f>
        <v>25990</v>
      </c>
      <c r="P2" s="6" t="s">
        <v>15</v>
      </c>
    </row>
    <row r="3" spans="1:16" x14ac:dyDescent="0.25">
      <c r="A3" s="6" t="str">
        <f t="shared" ref="A3:C11" si="0">A2</f>
        <v>2023 ALL D90</v>
      </c>
      <c r="B3" s="7">
        <f>B2</f>
        <v>46114</v>
      </c>
      <c r="C3" s="7">
        <f>C2</f>
        <v>46120</v>
      </c>
      <c r="D3" s="6">
        <v>3280</v>
      </c>
      <c r="E3" s="6">
        <v>337</v>
      </c>
      <c r="F3" s="14">
        <v>4</v>
      </c>
      <c r="G3" s="15">
        <v>1</v>
      </c>
      <c r="H3" s="15">
        <v>81698</v>
      </c>
      <c r="I3" s="15" t="s">
        <v>1505</v>
      </c>
      <c r="J3" s="30">
        <v>76460498</v>
      </c>
      <c r="K3" s="30" t="s">
        <v>2744</v>
      </c>
      <c r="L3" s="30" t="s">
        <v>2746</v>
      </c>
      <c r="M3" s="15">
        <v>259900</v>
      </c>
      <c r="N3" s="9">
        <f t="shared" ref="N3:N66" si="1">N2</f>
        <v>0.9</v>
      </c>
      <c r="O3" s="8">
        <f t="shared" ref="O3:O66" si="2">M3-((90*M3)/100)</f>
        <v>25990</v>
      </c>
      <c r="P3" s="9" t="str">
        <f t="shared" ref="P3:P66" si="3">P2</f>
        <v>PERCENTAGE</v>
      </c>
    </row>
    <row r="4" spans="1:16" x14ac:dyDescent="0.25">
      <c r="A4" s="6" t="str">
        <f t="shared" si="0"/>
        <v>2023 ALL D90</v>
      </c>
      <c r="B4" s="7">
        <f t="shared" si="0"/>
        <v>46114</v>
      </c>
      <c r="C4" s="7">
        <f t="shared" si="0"/>
        <v>46120</v>
      </c>
      <c r="D4" s="6">
        <v>3280</v>
      </c>
      <c r="E4" s="6">
        <v>337</v>
      </c>
      <c r="F4" s="14">
        <v>4</v>
      </c>
      <c r="G4" s="15">
        <v>1</v>
      </c>
      <c r="H4" s="15">
        <v>81698</v>
      </c>
      <c r="I4" s="15" t="s">
        <v>1505</v>
      </c>
      <c r="J4" s="30">
        <v>76460505</v>
      </c>
      <c r="K4" s="30" t="s">
        <v>2744</v>
      </c>
      <c r="L4" s="30" t="s">
        <v>2747</v>
      </c>
      <c r="M4" s="15">
        <v>259900</v>
      </c>
      <c r="N4" s="9">
        <f t="shared" si="1"/>
        <v>0.9</v>
      </c>
      <c r="O4" s="8">
        <f t="shared" si="2"/>
        <v>25990</v>
      </c>
      <c r="P4" s="9" t="str">
        <f t="shared" si="3"/>
        <v>PERCENTAGE</v>
      </c>
    </row>
    <row r="5" spans="1:16" x14ac:dyDescent="0.25">
      <c r="A5" s="6" t="str">
        <f t="shared" si="0"/>
        <v>2023 ALL D90</v>
      </c>
      <c r="B5" s="7">
        <f t="shared" si="0"/>
        <v>46114</v>
      </c>
      <c r="C5" s="7">
        <f t="shared" si="0"/>
        <v>46120</v>
      </c>
      <c r="D5" s="6">
        <v>3280</v>
      </c>
      <c r="E5" s="6">
        <v>337</v>
      </c>
      <c r="F5" s="14">
        <v>4</v>
      </c>
      <c r="G5" s="15">
        <v>1</v>
      </c>
      <c r="H5" s="15">
        <v>81698</v>
      </c>
      <c r="I5" s="15" t="s">
        <v>1505</v>
      </c>
      <c r="J5" s="30">
        <v>76460514</v>
      </c>
      <c r="K5" s="30" t="s">
        <v>2744</v>
      </c>
      <c r="L5" s="30" t="s">
        <v>2748</v>
      </c>
      <c r="M5" s="15">
        <v>269900</v>
      </c>
      <c r="N5" s="9">
        <f t="shared" si="1"/>
        <v>0.9</v>
      </c>
      <c r="O5" s="8">
        <f t="shared" si="2"/>
        <v>26990</v>
      </c>
      <c r="P5" s="9" t="str">
        <f t="shared" si="3"/>
        <v>PERCENTAGE</v>
      </c>
    </row>
    <row r="6" spans="1:16" x14ac:dyDescent="0.25">
      <c r="A6" s="6" t="str">
        <f t="shared" si="0"/>
        <v>2023 ALL D90</v>
      </c>
      <c r="B6" s="7">
        <f t="shared" si="0"/>
        <v>46114</v>
      </c>
      <c r="C6" s="7">
        <f t="shared" si="0"/>
        <v>46120</v>
      </c>
      <c r="D6" s="6">
        <v>3280</v>
      </c>
      <c r="E6" s="6">
        <v>337</v>
      </c>
      <c r="F6" s="14">
        <v>4</v>
      </c>
      <c r="G6" s="15">
        <v>1</v>
      </c>
      <c r="H6" s="15">
        <v>81698</v>
      </c>
      <c r="I6" s="15" t="s">
        <v>1505</v>
      </c>
      <c r="J6" s="30">
        <v>76460523</v>
      </c>
      <c r="K6" s="30" t="s">
        <v>2744</v>
      </c>
      <c r="L6" s="30" t="s">
        <v>2749</v>
      </c>
      <c r="M6" s="15">
        <v>269900</v>
      </c>
      <c r="N6" s="9">
        <f t="shared" si="1"/>
        <v>0.9</v>
      </c>
      <c r="O6" s="8">
        <f t="shared" si="2"/>
        <v>26990</v>
      </c>
      <c r="P6" s="9" t="str">
        <f t="shared" si="3"/>
        <v>PERCENTAGE</v>
      </c>
    </row>
    <row r="7" spans="1:16" x14ac:dyDescent="0.25">
      <c r="A7" s="6" t="str">
        <f t="shared" si="0"/>
        <v>2023 ALL D90</v>
      </c>
      <c r="B7" s="7">
        <f t="shared" si="0"/>
        <v>46114</v>
      </c>
      <c r="C7" s="7">
        <f t="shared" si="0"/>
        <v>46120</v>
      </c>
      <c r="D7" s="6">
        <v>3280</v>
      </c>
      <c r="E7" s="6">
        <v>337</v>
      </c>
      <c r="F7" s="14">
        <v>4</v>
      </c>
      <c r="G7" s="15">
        <v>1</v>
      </c>
      <c r="H7" s="15">
        <v>81698</v>
      </c>
      <c r="I7" s="15" t="s">
        <v>1505</v>
      </c>
      <c r="J7" s="30">
        <v>76460532</v>
      </c>
      <c r="K7" s="30" t="s">
        <v>2744</v>
      </c>
      <c r="L7" s="30" t="s">
        <v>2750</v>
      </c>
      <c r="M7" s="15">
        <v>269900</v>
      </c>
      <c r="N7" s="9">
        <f t="shared" si="1"/>
        <v>0.9</v>
      </c>
      <c r="O7" s="8">
        <f t="shared" si="2"/>
        <v>26990</v>
      </c>
      <c r="P7" s="9" t="str">
        <f t="shared" si="3"/>
        <v>PERCENTAGE</v>
      </c>
    </row>
    <row r="8" spans="1:16" x14ac:dyDescent="0.25">
      <c r="A8" s="6" t="str">
        <f t="shared" si="0"/>
        <v>2023 ALL D90</v>
      </c>
      <c r="B8" s="7">
        <f t="shared" si="0"/>
        <v>46114</v>
      </c>
      <c r="C8" s="7">
        <f t="shared" si="0"/>
        <v>46120</v>
      </c>
      <c r="D8" s="6">
        <v>3280</v>
      </c>
      <c r="E8" s="6">
        <v>337</v>
      </c>
      <c r="F8" s="14">
        <v>4</v>
      </c>
      <c r="G8" s="15">
        <v>1</v>
      </c>
      <c r="H8" s="15">
        <v>81698</v>
      </c>
      <c r="I8" s="15" t="s">
        <v>1505</v>
      </c>
      <c r="J8" s="30">
        <v>78904960</v>
      </c>
      <c r="K8" s="30" t="s">
        <v>2772</v>
      </c>
      <c r="L8" s="30" t="s">
        <v>2773</v>
      </c>
      <c r="M8" s="15">
        <v>249900</v>
      </c>
      <c r="N8" s="9">
        <f t="shared" si="1"/>
        <v>0.9</v>
      </c>
      <c r="O8" s="8">
        <f t="shared" si="2"/>
        <v>24990</v>
      </c>
      <c r="P8" s="9" t="str">
        <f t="shared" si="3"/>
        <v>PERCENTAGE</v>
      </c>
    </row>
    <row r="9" spans="1:16" x14ac:dyDescent="0.25">
      <c r="A9" s="6" t="str">
        <f t="shared" si="0"/>
        <v>2023 ALL D90</v>
      </c>
      <c r="B9" s="7">
        <f t="shared" si="0"/>
        <v>46114</v>
      </c>
      <c r="C9" s="7">
        <f t="shared" si="0"/>
        <v>46120</v>
      </c>
      <c r="D9" s="6">
        <v>3280</v>
      </c>
      <c r="E9" s="6">
        <v>337</v>
      </c>
      <c r="F9" s="14">
        <v>4</v>
      </c>
      <c r="G9" s="15">
        <v>1</v>
      </c>
      <c r="H9" s="15">
        <v>81698</v>
      </c>
      <c r="I9" s="15" t="s">
        <v>1505</v>
      </c>
      <c r="J9" s="30">
        <v>78904979</v>
      </c>
      <c r="K9" s="30" t="s">
        <v>2772</v>
      </c>
      <c r="L9" s="30" t="s">
        <v>2774</v>
      </c>
      <c r="M9" s="15">
        <v>249900</v>
      </c>
      <c r="N9" s="9">
        <f t="shared" si="1"/>
        <v>0.9</v>
      </c>
      <c r="O9" s="8">
        <f t="shared" si="2"/>
        <v>24990</v>
      </c>
      <c r="P9" s="9" t="str">
        <f t="shared" si="3"/>
        <v>PERCENTAGE</v>
      </c>
    </row>
    <row r="10" spans="1:16" x14ac:dyDescent="0.25">
      <c r="A10" s="6" t="str">
        <f t="shared" si="0"/>
        <v>2023 ALL D90</v>
      </c>
      <c r="B10" s="7">
        <f t="shared" si="0"/>
        <v>46114</v>
      </c>
      <c r="C10" s="7">
        <f t="shared" si="0"/>
        <v>46120</v>
      </c>
      <c r="D10" s="6">
        <v>3280</v>
      </c>
      <c r="E10" s="6">
        <v>337</v>
      </c>
      <c r="F10" s="14">
        <v>4</v>
      </c>
      <c r="G10" s="15">
        <v>1</v>
      </c>
      <c r="H10" s="15">
        <v>81698</v>
      </c>
      <c r="I10" s="15" t="s">
        <v>1505</v>
      </c>
      <c r="J10" s="30">
        <v>78904988</v>
      </c>
      <c r="K10" s="30" t="s">
        <v>2772</v>
      </c>
      <c r="L10" s="30" t="s">
        <v>2775</v>
      </c>
      <c r="M10" s="15">
        <v>249900</v>
      </c>
      <c r="N10" s="9">
        <f t="shared" si="1"/>
        <v>0.9</v>
      </c>
      <c r="O10" s="8">
        <f t="shared" si="2"/>
        <v>24990</v>
      </c>
      <c r="P10" s="9" t="str">
        <f t="shared" si="3"/>
        <v>PERCENTAGE</v>
      </c>
    </row>
    <row r="11" spans="1:16" x14ac:dyDescent="0.25">
      <c r="A11" s="6" t="str">
        <f t="shared" si="0"/>
        <v>2023 ALL D90</v>
      </c>
      <c r="B11" s="7">
        <f t="shared" si="0"/>
        <v>46114</v>
      </c>
      <c r="C11" s="7">
        <f t="shared" si="0"/>
        <v>46120</v>
      </c>
      <c r="D11" s="6">
        <v>3280</v>
      </c>
      <c r="E11" s="6">
        <v>337</v>
      </c>
      <c r="F11" s="14">
        <v>4</v>
      </c>
      <c r="G11" s="15">
        <v>1</v>
      </c>
      <c r="H11" s="15">
        <v>81698</v>
      </c>
      <c r="I11" s="15" t="s">
        <v>1505</v>
      </c>
      <c r="J11" s="30">
        <v>78904997</v>
      </c>
      <c r="K11" s="30" t="s">
        <v>2772</v>
      </c>
      <c r="L11" s="30" t="s">
        <v>2776</v>
      </c>
      <c r="M11" s="15">
        <v>259900</v>
      </c>
      <c r="N11" s="9">
        <f t="shared" si="1"/>
        <v>0.9</v>
      </c>
      <c r="O11" s="8">
        <f t="shared" si="2"/>
        <v>25990</v>
      </c>
      <c r="P11" s="9" t="str">
        <f t="shared" si="3"/>
        <v>PERCENTAGE</v>
      </c>
    </row>
    <row r="12" spans="1:16" x14ac:dyDescent="0.25">
      <c r="A12" s="6" t="str">
        <f>A11</f>
        <v>2023 ALL D90</v>
      </c>
      <c r="B12" s="7">
        <f t="shared" ref="B12:B75" si="4">B11</f>
        <v>46114</v>
      </c>
      <c r="C12" s="7">
        <f t="shared" ref="C12:C75" si="5">C11</f>
        <v>46120</v>
      </c>
      <c r="D12" s="6">
        <v>3280</v>
      </c>
      <c r="E12" s="6">
        <v>337</v>
      </c>
      <c r="F12" s="14">
        <v>4</v>
      </c>
      <c r="G12" s="15">
        <v>1</v>
      </c>
      <c r="H12" s="15">
        <v>81698</v>
      </c>
      <c r="I12" s="15" t="s">
        <v>1505</v>
      </c>
      <c r="J12" s="30">
        <v>78905003</v>
      </c>
      <c r="K12" s="30" t="s">
        <v>2772</v>
      </c>
      <c r="L12" s="30" t="s">
        <v>2777</v>
      </c>
      <c r="M12" s="15">
        <v>259900</v>
      </c>
      <c r="N12" s="9">
        <f t="shared" si="1"/>
        <v>0.9</v>
      </c>
      <c r="O12" s="8">
        <f t="shared" si="2"/>
        <v>25990</v>
      </c>
      <c r="P12" s="9" t="str">
        <f t="shared" si="3"/>
        <v>PERCENTAGE</v>
      </c>
    </row>
    <row r="13" spans="1:16" x14ac:dyDescent="0.25">
      <c r="A13" s="6" t="str">
        <f t="shared" ref="A13:A76" si="6">A12</f>
        <v>2023 ALL D90</v>
      </c>
      <c r="B13" s="7">
        <f t="shared" si="4"/>
        <v>46114</v>
      </c>
      <c r="C13" s="7">
        <f t="shared" si="5"/>
        <v>46120</v>
      </c>
      <c r="D13" s="6">
        <v>3280</v>
      </c>
      <c r="E13" s="6">
        <v>337</v>
      </c>
      <c r="F13" s="14">
        <v>4</v>
      </c>
      <c r="G13" s="15">
        <v>1</v>
      </c>
      <c r="H13" s="15">
        <v>81698</v>
      </c>
      <c r="I13" s="15" t="s">
        <v>1505</v>
      </c>
      <c r="J13" s="30">
        <v>78905012</v>
      </c>
      <c r="K13" s="30" t="s">
        <v>2772</v>
      </c>
      <c r="L13" s="30" t="s">
        <v>2778</v>
      </c>
      <c r="M13" s="15">
        <v>259900</v>
      </c>
      <c r="N13" s="9">
        <v>0.9</v>
      </c>
      <c r="O13" s="8">
        <f t="shared" si="2"/>
        <v>25990</v>
      </c>
      <c r="P13" s="9" t="str">
        <f t="shared" si="3"/>
        <v>PERCENTAGE</v>
      </c>
    </row>
    <row r="14" spans="1:16" x14ac:dyDescent="0.25">
      <c r="A14" s="6" t="str">
        <f t="shared" si="6"/>
        <v>2023 ALL D90</v>
      </c>
      <c r="B14" s="7">
        <f t="shared" si="4"/>
        <v>46114</v>
      </c>
      <c r="C14" s="7">
        <f t="shared" si="5"/>
        <v>46120</v>
      </c>
      <c r="D14" s="6">
        <v>3280</v>
      </c>
      <c r="E14" s="6">
        <v>337</v>
      </c>
      <c r="F14" s="14">
        <v>4</v>
      </c>
      <c r="G14" s="15">
        <v>1</v>
      </c>
      <c r="H14" s="15">
        <v>81698</v>
      </c>
      <c r="I14" s="15" t="s">
        <v>1505</v>
      </c>
      <c r="J14" s="30">
        <v>78905021</v>
      </c>
      <c r="K14" s="30" t="s">
        <v>2779</v>
      </c>
      <c r="L14" s="30" t="s">
        <v>2780</v>
      </c>
      <c r="M14" s="15">
        <v>249900</v>
      </c>
      <c r="N14" s="9">
        <f t="shared" si="1"/>
        <v>0.9</v>
      </c>
      <c r="O14" s="8">
        <f t="shared" si="2"/>
        <v>24990</v>
      </c>
      <c r="P14" s="9" t="str">
        <f t="shared" si="3"/>
        <v>PERCENTAGE</v>
      </c>
    </row>
    <row r="15" spans="1:16" x14ac:dyDescent="0.25">
      <c r="A15" s="6" t="str">
        <f t="shared" si="6"/>
        <v>2023 ALL D90</v>
      </c>
      <c r="B15" s="7">
        <f t="shared" si="4"/>
        <v>46114</v>
      </c>
      <c r="C15" s="7">
        <f t="shared" si="5"/>
        <v>46120</v>
      </c>
      <c r="D15" s="6">
        <v>3280</v>
      </c>
      <c r="E15" s="6">
        <v>337</v>
      </c>
      <c r="F15" s="14">
        <v>4</v>
      </c>
      <c r="G15" s="15">
        <v>1</v>
      </c>
      <c r="H15" s="15">
        <v>81698</v>
      </c>
      <c r="I15" s="15" t="s">
        <v>1505</v>
      </c>
      <c r="J15" s="30">
        <v>78905030</v>
      </c>
      <c r="K15" s="30" t="s">
        <v>2779</v>
      </c>
      <c r="L15" s="30" t="s">
        <v>2781</v>
      </c>
      <c r="M15" s="15">
        <v>249900</v>
      </c>
      <c r="N15" s="9">
        <f t="shared" si="1"/>
        <v>0.9</v>
      </c>
      <c r="O15" s="8">
        <f t="shared" si="2"/>
        <v>24990</v>
      </c>
      <c r="P15" s="9" t="str">
        <f t="shared" si="3"/>
        <v>PERCENTAGE</v>
      </c>
    </row>
    <row r="16" spans="1:16" x14ac:dyDescent="0.25">
      <c r="A16" s="6" t="str">
        <f t="shared" si="6"/>
        <v>2023 ALL D90</v>
      </c>
      <c r="B16" s="7">
        <f t="shared" si="4"/>
        <v>46114</v>
      </c>
      <c r="C16" s="7">
        <f t="shared" si="5"/>
        <v>46120</v>
      </c>
      <c r="D16" s="6">
        <v>3280</v>
      </c>
      <c r="E16" s="6">
        <v>337</v>
      </c>
      <c r="F16" s="14">
        <v>4</v>
      </c>
      <c r="G16" s="15">
        <v>1</v>
      </c>
      <c r="H16" s="15">
        <v>81698</v>
      </c>
      <c r="I16" s="15" t="s">
        <v>1505</v>
      </c>
      <c r="J16" s="30">
        <v>78905049</v>
      </c>
      <c r="K16" s="30" t="s">
        <v>2779</v>
      </c>
      <c r="L16" s="30" t="s">
        <v>2782</v>
      </c>
      <c r="M16" s="15">
        <v>249900</v>
      </c>
      <c r="N16" s="9">
        <f t="shared" si="1"/>
        <v>0.9</v>
      </c>
      <c r="O16" s="8">
        <f t="shared" si="2"/>
        <v>24990</v>
      </c>
      <c r="P16" s="9" t="str">
        <f t="shared" si="3"/>
        <v>PERCENTAGE</v>
      </c>
    </row>
    <row r="17" spans="1:16" x14ac:dyDescent="0.25">
      <c r="A17" s="6" t="str">
        <f t="shared" si="6"/>
        <v>2023 ALL D90</v>
      </c>
      <c r="B17" s="7">
        <f t="shared" si="4"/>
        <v>46114</v>
      </c>
      <c r="C17" s="7">
        <f t="shared" si="5"/>
        <v>46120</v>
      </c>
      <c r="D17" s="6">
        <v>3280</v>
      </c>
      <c r="E17" s="6">
        <v>337</v>
      </c>
      <c r="F17" s="14">
        <v>4</v>
      </c>
      <c r="G17" s="15">
        <v>1</v>
      </c>
      <c r="H17" s="15">
        <v>81698</v>
      </c>
      <c r="I17" s="15" t="s">
        <v>1505</v>
      </c>
      <c r="J17" s="30">
        <v>78905058</v>
      </c>
      <c r="K17" s="30" t="s">
        <v>2779</v>
      </c>
      <c r="L17" s="30" t="s">
        <v>2783</v>
      </c>
      <c r="M17" s="15">
        <v>259900</v>
      </c>
      <c r="N17" s="9">
        <f t="shared" si="1"/>
        <v>0.9</v>
      </c>
      <c r="O17" s="8">
        <f t="shared" si="2"/>
        <v>25990</v>
      </c>
      <c r="P17" s="9" t="str">
        <f t="shared" si="3"/>
        <v>PERCENTAGE</v>
      </c>
    </row>
    <row r="18" spans="1:16" x14ac:dyDescent="0.25">
      <c r="A18" s="6" t="str">
        <f t="shared" si="6"/>
        <v>2023 ALL D90</v>
      </c>
      <c r="B18" s="7">
        <f t="shared" si="4"/>
        <v>46114</v>
      </c>
      <c r="C18" s="7">
        <f t="shared" si="5"/>
        <v>46120</v>
      </c>
      <c r="D18" s="6">
        <v>3280</v>
      </c>
      <c r="E18" s="6">
        <v>337</v>
      </c>
      <c r="F18" s="14">
        <v>4</v>
      </c>
      <c r="G18" s="15">
        <v>1</v>
      </c>
      <c r="H18" s="15">
        <v>81698</v>
      </c>
      <c r="I18" s="15" t="s">
        <v>1505</v>
      </c>
      <c r="J18" s="30">
        <v>78905067</v>
      </c>
      <c r="K18" s="30" t="s">
        <v>2779</v>
      </c>
      <c r="L18" s="30" t="s">
        <v>2784</v>
      </c>
      <c r="M18" s="15">
        <v>259900</v>
      </c>
      <c r="N18" s="9">
        <f t="shared" si="1"/>
        <v>0.9</v>
      </c>
      <c r="O18" s="8">
        <f t="shared" si="2"/>
        <v>25990</v>
      </c>
      <c r="P18" s="9" t="str">
        <f t="shared" si="3"/>
        <v>PERCENTAGE</v>
      </c>
    </row>
    <row r="19" spans="1:16" x14ac:dyDescent="0.25">
      <c r="A19" s="6" t="str">
        <f t="shared" si="6"/>
        <v>2023 ALL D90</v>
      </c>
      <c r="B19" s="7">
        <f t="shared" si="4"/>
        <v>46114</v>
      </c>
      <c r="C19" s="7">
        <f t="shared" si="5"/>
        <v>46120</v>
      </c>
      <c r="D19" s="6">
        <v>3280</v>
      </c>
      <c r="E19" s="6">
        <v>337</v>
      </c>
      <c r="F19" s="14">
        <v>4</v>
      </c>
      <c r="G19" s="15">
        <v>1</v>
      </c>
      <c r="H19" s="15">
        <v>81698</v>
      </c>
      <c r="I19" s="15" t="s">
        <v>1505</v>
      </c>
      <c r="J19" s="30">
        <v>78905076</v>
      </c>
      <c r="K19" s="30" t="s">
        <v>2779</v>
      </c>
      <c r="L19" s="30" t="s">
        <v>2785</v>
      </c>
      <c r="M19" s="15">
        <v>259900</v>
      </c>
      <c r="N19" s="9">
        <f t="shared" si="1"/>
        <v>0.9</v>
      </c>
      <c r="O19" s="8">
        <f t="shared" si="2"/>
        <v>25990</v>
      </c>
      <c r="P19" s="9" t="str">
        <f t="shared" si="3"/>
        <v>PERCENTAGE</v>
      </c>
    </row>
    <row r="20" spans="1:16" x14ac:dyDescent="0.25">
      <c r="A20" s="6" t="str">
        <f t="shared" si="6"/>
        <v>2023 ALL D90</v>
      </c>
      <c r="B20" s="7">
        <f t="shared" si="4"/>
        <v>46114</v>
      </c>
      <c r="C20" s="7">
        <f t="shared" si="5"/>
        <v>46120</v>
      </c>
      <c r="D20" s="6">
        <v>3280</v>
      </c>
      <c r="E20" s="6">
        <v>337</v>
      </c>
      <c r="F20" s="14">
        <v>4</v>
      </c>
      <c r="G20" s="15">
        <v>1</v>
      </c>
      <c r="H20" s="15">
        <v>81698</v>
      </c>
      <c r="I20" s="15" t="s">
        <v>1505</v>
      </c>
      <c r="J20" s="30">
        <v>78905852</v>
      </c>
      <c r="K20" s="30" t="s">
        <v>2864</v>
      </c>
      <c r="L20" s="30" t="s">
        <v>2865</v>
      </c>
      <c r="M20" s="15">
        <v>259900</v>
      </c>
      <c r="N20" s="9">
        <f t="shared" si="1"/>
        <v>0.9</v>
      </c>
      <c r="O20" s="8">
        <f t="shared" si="2"/>
        <v>25990</v>
      </c>
      <c r="P20" s="9" t="str">
        <f t="shared" si="3"/>
        <v>PERCENTAGE</v>
      </c>
    </row>
    <row r="21" spans="1:16" x14ac:dyDescent="0.25">
      <c r="A21" s="6" t="str">
        <f t="shared" si="6"/>
        <v>2023 ALL D90</v>
      </c>
      <c r="B21" s="7">
        <f t="shared" si="4"/>
        <v>46114</v>
      </c>
      <c r="C21" s="7">
        <f t="shared" si="5"/>
        <v>46120</v>
      </c>
      <c r="D21" s="6">
        <v>3280</v>
      </c>
      <c r="E21" s="6">
        <v>337</v>
      </c>
      <c r="F21" s="14">
        <v>4</v>
      </c>
      <c r="G21" s="15">
        <v>1</v>
      </c>
      <c r="H21" s="15">
        <v>81698</v>
      </c>
      <c r="I21" s="15" t="s">
        <v>1505</v>
      </c>
      <c r="J21" s="30">
        <v>78905861</v>
      </c>
      <c r="K21" s="30" t="s">
        <v>2864</v>
      </c>
      <c r="L21" s="30" t="s">
        <v>2866</v>
      </c>
      <c r="M21" s="15">
        <v>259900</v>
      </c>
      <c r="N21" s="9">
        <f t="shared" si="1"/>
        <v>0.9</v>
      </c>
      <c r="O21" s="8">
        <f t="shared" si="2"/>
        <v>25990</v>
      </c>
      <c r="P21" s="9" t="str">
        <f t="shared" si="3"/>
        <v>PERCENTAGE</v>
      </c>
    </row>
    <row r="22" spans="1:16" x14ac:dyDescent="0.25">
      <c r="A22" s="6" t="str">
        <f t="shared" si="6"/>
        <v>2023 ALL D90</v>
      </c>
      <c r="B22" s="7">
        <f t="shared" si="4"/>
        <v>46114</v>
      </c>
      <c r="C22" s="7">
        <f t="shared" si="5"/>
        <v>46120</v>
      </c>
      <c r="D22" s="6">
        <v>3280</v>
      </c>
      <c r="E22" s="6">
        <v>337</v>
      </c>
      <c r="F22" s="14">
        <v>4</v>
      </c>
      <c r="G22" s="15">
        <v>1</v>
      </c>
      <c r="H22" s="15">
        <v>81698</v>
      </c>
      <c r="I22" s="15" t="s">
        <v>1505</v>
      </c>
      <c r="J22" s="30">
        <v>78905870</v>
      </c>
      <c r="K22" s="30" t="s">
        <v>2864</v>
      </c>
      <c r="L22" s="30" t="s">
        <v>2867</v>
      </c>
      <c r="M22" s="15">
        <v>259900</v>
      </c>
      <c r="N22" s="9">
        <f t="shared" si="1"/>
        <v>0.9</v>
      </c>
      <c r="O22" s="8">
        <f t="shared" si="2"/>
        <v>25990</v>
      </c>
      <c r="P22" s="9" t="str">
        <f t="shared" si="3"/>
        <v>PERCENTAGE</v>
      </c>
    </row>
    <row r="23" spans="1:16" x14ac:dyDescent="0.25">
      <c r="A23" s="6" t="str">
        <f t="shared" si="6"/>
        <v>2023 ALL D90</v>
      </c>
      <c r="B23" s="7">
        <f t="shared" si="4"/>
        <v>46114</v>
      </c>
      <c r="C23" s="7">
        <f t="shared" si="5"/>
        <v>46120</v>
      </c>
      <c r="D23" s="6">
        <v>3280</v>
      </c>
      <c r="E23" s="6">
        <v>337</v>
      </c>
      <c r="F23" s="14">
        <v>4</v>
      </c>
      <c r="G23" s="15">
        <v>1</v>
      </c>
      <c r="H23" s="15">
        <v>81698</v>
      </c>
      <c r="I23" s="15" t="s">
        <v>1505</v>
      </c>
      <c r="J23" s="30">
        <v>78905889</v>
      </c>
      <c r="K23" s="30" t="s">
        <v>2864</v>
      </c>
      <c r="L23" s="30" t="s">
        <v>2868</v>
      </c>
      <c r="M23" s="15">
        <v>269900</v>
      </c>
      <c r="N23" s="9">
        <f t="shared" si="1"/>
        <v>0.9</v>
      </c>
      <c r="O23" s="8">
        <f t="shared" si="2"/>
        <v>26990</v>
      </c>
      <c r="P23" s="9" t="str">
        <f t="shared" si="3"/>
        <v>PERCENTAGE</v>
      </c>
    </row>
    <row r="24" spans="1:16" x14ac:dyDescent="0.25">
      <c r="A24" s="6" t="str">
        <f t="shared" si="6"/>
        <v>2023 ALL D90</v>
      </c>
      <c r="B24" s="7">
        <f t="shared" si="4"/>
        <v>46114</v>
      </c>
      <c r="C24" s="7">
        <f t="shared" si="5"/>
        <v>46120</v>
      </c>
      <c r="D24" s="6">
        <v>3280</v>
      </c>
      <c r="E24" s="6">
        <v>337</v>
      </c>
      <c r="F24" s="14">
        <v>4</v>
      </c>
      <c r="G24" s="15">
        <v>1</v>
      </c>
      <c r="H24" s="15">
        <v>81698</v>
      </c>
      <c r="I24" s="15" t="s">
        <v>1505</v>
      </c>
      <c r="J24" s="30">
        <v>78905898</v>
      </c>
      <c r="K24" s="30" t="s">
        <v>2864</v>
      </c>
      <c r="L24" s="30" t="s">
        <v>2869</v>
      </c>
      <c r="M24" s="15">
        <v>269900</v>
      </c>
      <c r="N24" s="9">
        <f t="shared" si="1"/>
        <v>0.9</v>
      </c>
      <c r="O24" s="8">
        <f t="shared" si="2"/>
        <v>26990</v>
      </c>
      <c r="P24" s="9" t="str">
        <f t="shared" si="3"/>
        <v>PERCENTAGE</v>
      </c>
    </row>
    <row r="25" spans="1:16" x14ac:dyDescent="0.25">
      <c r="A25" s="6" t="str">
        <f t="shared" si="6"/>
        <v>2023 ALL D90</v>
      </c>
      <c r="B25" s="7">
        <f t="shared" si="4"/>
        <v>46114</v>
      </c>
      <c r="C25" s="7">
        <f t="shared" si="5"/>
        <v>46120</v>
      </c>
      <c r="D25" s="6">
        <v>3280</v>
      </c>
      <c r="E25" s="6">
        <v>337</v>
      </c>
      <c r="F25" s="14">
        <v>4</v>
      </c>
      <c r="G25" s="15">
        <v>1</v>
      </c>
      <c r="H25" s="15">
        <v>81698</v>
      </c>
      <c r="I25" s="15" t="s">
        <v>1505</v>
      </c>
      <c r="J25" s="30">
        <v>78905905</v>
      </c>
      <c r="K25" s="30" t="s">
        <v>2864</v>
      </c>
      <c r="L25" s="30" t="s">
        <v>2870</v>
      </c>
      <c r="M25" s="15">
        <v>269900</v>
      </c>
      <c r="N25" s="9">
        <f t="shared" si="1"/>
        <v>0.9</v>
      </c>
      <c r="O25" s="8">
        <f t="shared" si="2"/>
        <v>26990</v>
      </c>
      <c r="P25" s="9" t="str">
        <f t="shared" si="3"/>
        <v>PERCENTAGE</v>
      </c>
    </row>
    <row r="26" spans="1:16" x14ac:dyDescent="0.25">
      <c r="A26" s="6" t="str">
        <f t="shared" si="6"/>
        <v>2023 ALL D90</v>
      </c>
      <c r="B26" s="7">
        <f t="shared" si="4"/>
        <v>46114</v>
      </c>
      <c r="C26" s="7">
        <f t="shared" si="5"/>
        <v>46120</v>
      </c>
      <c r="D26" s="6">
        <v>3280</v>
      </c>
      <c r="E26" s="6">
        <v>337</v>
      </c>
      <c r="F26" s="14">
        <v>4</v>
      </c>
      <c r="G26" s="15">
        <v>1</v>
      </c>
      <c r="H26" s="15">
        <v>81698</v>
      </c>
      <c r="I26" s="15" t="s">
        <v>1505</v>
      </c>
      <c r="J26" s="30">
        <v>78905432</v>
      </c>
      <c r="K26" s="30" t="s">
        <v>2825</v>
      </c>
      <c r="L26" s="30" t="s">
        <v>2826</v>
      </c>
      <c r="M26" s="15">
        <v>269900</v>
      </c>
      <c r="N26" s="9">
        <f t="shared" si="1"/>
        <v>0.9</v>
      </c>
      <c r="O26" s="8">
        <f t="shared" si="2"/>
        <v>26990</v>
      </c>
      <c r="P26" s="9" t="str">
        <f t="shared" si="3"/>
        <v>PERCENTAGE</v>
      </c>
    </row>
    <row r="27" spans="1:16" x14ac:dyDescent="0.25">
      <c r="A27" s="6" t="str">
        <f t="shared" si="6"/>
        <v>2023 ALL D90</v>
      </c>
      <c r="B27" s="7">
        <f t="shared" si="4"/>
        <v>46114</v>
      </c>
      <c r="C27" s="7">
        <f t="shared" si="5"/>
        <v>46120</v>
      </c>
      <c r="D27" s="6">
        <v>3280</v>
      </c>
      <c r="E27" s="6">
        <v>337</v>
      </c>
      <c r="F27" s="14">
        <v>4</v>
      </c>
      <c r="G27" s="15">
        <v>1</v>
      </c>
      <c r="H27" s="15">
        <v>81698</v>
      </c>
      <c r="I27" s="15" t="s">
        <v>1505</v>
      </c>
      <c r="J27" s="30">
        <v>78905441</v>
      </c>
      <c r="K27" s="30" t="s">
        <v>2825</v>
      </c>
      <c r="L27" s="30" t="s">
        <v>2827</v>
      </c>
      <c r="M27" s="15">
        <v>269900</v>
      </c>
      <c r="N27" s="9">
        <f t="shared" si="1"/>
        <v>0.9</v>
      </c>
      <c r="O27" s="8">
        <f t="shared" si="2"/>
        <v>26990</v>
      </c>
      <c r="P27" s="9" t="str">
        <f t="shared" si="3"/>
        <v>PERCENTAGE</v>
      </c>
    </row>
    <row r="28" spans="1:16" x14ac:dyDescent="0.25">
      <c r="A28" s="6" t="str">
        <f t="shared" si="6"/>
        <v>2023 ALL D90</v>
      </c>
      <c r="B28" s="7">
        <f t="shared" si="4"/>
        <v>46114</v>
      </c>
      <c r="C28" s="7">
        <f t="shared" si="5"/>
        <v>46120</v>
      </c>
      <c r="D28" s="6">
        <v>3280</v>
      </c>
      <c r="E28" s="6">
        <v>337</v>
      </c>
      <c r="F28" s="14">
        <v>4</v>
      </c>
      <c r="G28" s="15">
        <v>1</v>
      </c>
      <c r="H28" s="15">
        <v>81698</v>
      </c>
      <c r="I28" s="15" t="s">
        <v>1505</v>
      </c>
      <c r="J28" s="30">
        <v>78905450</v>
      </c>
      <c r="K28" s="30" t="s">
        <v>2825</v>
      </c>
      <c r="L28" s="30" t="s">
        <v>2828</v>
      </c>
      <c r="M28" s="15">
        <v>269900</v>
      </c>
      <c r="N28" s="9">
        <f t="shared" si="1"/>
        <v>0.9</v>
      </c>
      <c r="O28" s="8">
        <f t="shared" si="2"/>
        <v>26990</v>
      </c>
      <c r="P28" s="9" t="str">
        <f t="shared" si="3"/>
        <v>PERCENTAGE</v>
      </c>
    </row>
    <row r="29" spans="1:16" x14ac:dyDescent="0.25">
      <c r="A29" s="6" t="str">
        <f t="shared" si="6"/>
        <v>2023 ALL D90</v>
      </c>
      <c r="B29" s="7">
        <f t="shared" si="4"/>
        <v>46114</v>
      </c>
      <c r="C29" s="7">
        <f t="shared" si="5"/>
        <v>46120</v>
      </c>
      <c r="D29" s="6">
        <v>3280</v>
      </c>
      <c r="E29" s="6">
        <v>337</v>
      </c>
      <c r="F29" s="14">
        <v>4</v>
      </c>
      <c r="G29" s="15">
        <v>1</v>
      </c>
      <c r="H29" s="15">
        <v>81698</v>
      </c>
      <c r="I29" s="15" t="s">
        <v>1505</v>
      </c>
      <c r="J29" s="30">
        <v>78905469</v>
      </c>
      <c r="K29" s="30" t="s">
        <v>2825</v>
      </c>
      <c r="L29" s="30" t="s">
        <v>2829</v>
      </c>
      <c r="M29" s="15">
        <v>279900</v>
      </c>
      <c r="N29" s="9">
        <f t="shared" si="1"/>
        <v>0.9</v>
      </c>
      <c r="O29" s="8">
        <f t="shared" si="2"/>
        <v>27990</v>
      </c>
      <c r="P29" s="9" t="str">
        <f t="shared" si="3"/>
        <v>PERCENTAGE</v>
      </c>
    </row>
    <row r="30" spans="1:16" x14ac:dyDescent="0.25">
      <c r="A30" s="6" t="str">
        <f t="shared" si="6"/>
        <v>2023 ALL D90</v>
      </c>
      <c r="B30" s="7">
        <f t="shared" si="4"/>
        <v>46114</v>
      </c>
      <c r="C30" s="7">
        <f t="shared" si="5"/>
        <v>46120</v>
      </c>
      <c r="D30" s="6">
        <v>3280</v>
      </c>
      <c r="E30" s="6">
        <v>337</v>
      </c>
      <c r="F30" s="14">
        <v>4</v>
      </c>
      <c r="G30" s="15">
        <v>1</v>
      </c>
      <c r="H30" s="15">
        <v>81698</v>
      </c>
      <c r="I30" s="15" t="s">
        <v>1505</v>
      </c>
      <c r="J30" s="30">
        <v>78905478</v>
      </c>
      <c r="K30" s="30" t="s">
        <v>2825</v>
      </c>
      <c r="L30" s="30" t="s">
        <v>2830</v>
      </c>
      <c r="M30" s="15">
        <v>279900</v>
      </c>
      <c r="N30" s="9">
        <f t="shared" si="1"/>
        <v>0.9</v>
      </c>
      <c r="O30" s="8">
        <f t="shared" si="2"/>
        <v>27990</v>
      </c>
      <c r="P30" s="9" t="str">
        <f t="shared" si="3"/>
        <v>PERCENTAGE</v>
      </c>
    </row>
    <row r="31" spans="1:16" x14ac:dyDescent="0.25">
      <c r="A31" s="6" t="str">
        <f t="shared" si="6"/>
        <v>2023 ALL D90</v>
      </c>
      <c r="B31" s="7">
        <f t="shared" si="4"/>
        <v>46114</v>
      </c>
      <c r="C31" s="7">
        <f t="shared" si="5"/>
        <v>46120</v>
      </c>
      <c r="D31" s="6">
        <v>3280</v>
      </c>
      <c r="E31" s="6">
        <v>337</v>
      </c>
      <c r="F31" s="14">
        <v>4</v>
      </c>
      <c r="G31" s="15">
        <v>1</v>
      </c>
      <c r="H31" s="15">
        <v>81698</v>
      </c>
      <c r="I31" s="15" t="s">
        <v>1505</v>
      </c>
      <c r="J31" s="30">
        <v>78905487</v>
      </c>
      <c r="K31" s="30" t="s">
        <v>2825</v>
      </c>
      <c r="L31" s="30" t="s">
        <v>2831</v>
      </c>
      <c r="M31" s="15">
        <v>279900</v>
      </c>
      <c r="N31" s="9">
        <f t="shared" si="1"/>
        <v>0.9</v>
      </c>
      <c r="O31" s="8">
        <f t="shared" si="2"/>
        <v>27990</v>
      </c>
      <c r="P31" s="9" t="str">
        <f t="shared" si="3"/>
        <v>PERCENTAGE</v>
      </c>
    </row>
    <row r="32" spans="1:16" x14ac:dyDescent="0.25">
      <c r="A32" s="6" t="str">
        <f t="shared" si="6"/>
        <v>2023 ALL D90</v>
      </c>
      <c r="B32" s="7">
        <f t="shared" si="4"/>
        <v>46114</v>
      </c>
      <c r="C32" s="7">
        <f t="shared" si="5"/>
        <v>46120</v>
      </c>
      <c r="D32" s="6">
        <v>3280</v>
      </c>
      <c r="E32" s="6">
        <v>337</v>
      </c>
      <c r="F32" s="14">
        <v>4</v>
      </c>
      <c r="G32" s="15">
        <v>1</v>
      </c>
      <c r="H32" s="15">
        <v>81698</v>
      </c>
      <c r="I32" s="15" t="s">
        <v>1505</v>
      </c>
      <c r="J32" s="30">
        <v>78905914</v>
      </c>
      <c r="K32" s="30" t="s">
        <v>2871</v>
      </c>
      <c r="L32" s="30" t="s">
        <v>2872</v>
      </c>
      <c r="M32" s="15">
        <v>259900</v>
      </c>
      <c r="N32" s="9">
        <f t="shared" si="1"/>
        <v>0.9</v>
      </c>
      <c r="O32" s="8">
        <f t="shared" si="2"/>
        <v>25990</v>
      </c>
      <c r="P32" s="9" t="str">
        <f t="shared" si="3"/>
        <v>PERCENTAGE</v>
      </c>
    </row>
    <row r="33" spans="1:16" x14ac:dyDescent="0.25">
      <c r="A33" s="6" t="str">
        <f t="shared" si="6"/>
        <v>2023 ALL D90</v>
      </c>
      <c r="B33" s="7">
        <f t="shared" si="4"/>
        <v>46114</v>
      </c>
      <c r="C33" s="7">
        <f t="shared" si="5"/>
        <v>46120</v>
      </c>
      <c r="D33" s="6">
        <v>3280</v>
      </c>
      <c r="E33" s="6">
        <v>337</v>
      </c>
      <c r="F33" s="14">
        <v>4</v>
      </c>
      <c r="G33" s="15">
        <v>1</v>
      </c>
      <c r="H33" s="15">
        <v>81698</v>
      </c>
      <c r="I33" s="15" t="s">
        <v>1505</v>
      </c>
      <c r="J33" s="30">
        <v>78905923</v>
      </c>
      <c r="K33" s="30" t="s">
        <v>2871</v>
      </c>
      <c r="L33" s="30" t="s">
        <v>2873</v>
      </c>
      <c r="M33" s="15">
        <v>259900</v>
      </c>
      <c r="N33" s="9">
        <f t="shared" si="1"/>
        <v>0.9</v>
      </c>
      <c r="O33" s="8">
        <f t="shared" si="2"/>
        <v>25990</v>
      </c>
      <c r="P33" s="9" t="str">
        <f t="shared" si="3"/>
        <v>PERCENTAGE</v>
      </c>
    </row>
    <row r="34" spans="1:16" x14ac:dyDescent="0.25">
      <c r="A34" s="6" t="str">
        <f t="shared" si="6"/>
        <v>2023 ALL D90</v>
      </c>
      <c r="B34" s="7">
        <f t="shared" si="4"/>
        <v>46114</v>
      </c>
      <c r="C34" s="7">
        <f t="shared" si="5"/>
        <v>46120</v>
      </c>
      <c r="D34" s="6">
        <v>3280</v>
      </c>
      <c r="E34" s="6">
        <v>337</v>
      </c>
      <c r="F34" s="14">
        <v>4</v>
      </c>
      <c r="G34" s="15">
        <v>1</v>
      </c>
      <c r="H34" s="15">
        <v>81698</v>
      </c>
      <c r="I34" s="15" t="s">
        <v>1505</v>
      </c>
      <c r="J34" s="30">
        <v>78905932</v>
      </c>
      <c r="K34" s="30" t="s">
        <v>2871</v>
      </c>
      <c r="L34" s="30" t="s">
        <v>2874</v>
      </c>
      <c r="M34" s="15">
        <v>259900</v>
      </c>
      <c r="N34" s="9">
        <f t="shared" si="1"/>
        <v>0.9</v>
      </c>
      <c r="O34" s="8">
        <f t="shared" si="2"/>
        <v>25990</v>
      </c>
      <c r="P34" s="9" t="str">
        <f t="shared" si="3"/>
        <v>PERCENTAGE</v>
      </c>
    </row>
    <row r="35" spans="1:16" x14ac:dyDescent="0.25">
      <c r="A35" s="6" t="str">
        <f t="shared" si="6"/>
        <v>2023 ALL D90</v>
      </c>
      <c r="B35" s="7">
        <f t="shared" si="4"/>
        <v>46114</v>
      </c>
      <c r="C35" s="7">
        <f t="shared" si="5"/>
        <v>46120</v>
      </c>
      <c r="D35" s="6">
        <v>3280</v>
      </c>
      <c r="E35" s="6">
        <v>337</v>
      </c>
      <c r="F35" s="14">
        <v>4</v>
      </c>
      <c r="G35" s="15">
        <v>1</v>
      </c>
      <c r="H35" s="15">
        <v>81698</v>
      </c>
      <c r="I35" s="15" t="s">
        <v>1505</v>
      </c>
      <c r="J35" s="30">
        <v>78905941</v>
      </c>
      <c r="K35" s="30" t="s">
        <v>2871</v>
      </c>
      <c r="L35" s="30" t="s">
        <v>2875</v>
      </c>
      <c r="M35" s="15">
        <v>269900</v>
      </c>
      <c r="N35" s="9">
        <f t="shared" si="1"/>
        <v>0.9</v>
      </c>
      <c r="O35" s="8">
        <f t="shared" si="2"/>
        <v>26990</v>
      </c>
      <c r="P35" s="9" t="str">
        <f t="shared" si="3"/>
        <v>PERCENTAGE</v>
      </c>
    </row>
    <row r="36" spans="1:16" x14ac:dyDescent="0.25">
      <c r="A36" s="6" t="str">
        <f t="shared" si="6"/>
        <v>2023 ALL D90</v>
      </c>
      <c r="B36" s="7">
        <f t="shared" si="4"/>
        <v>46114</v>
      </c>
      <c r="C36" s="7">
        <f t="shared" si="5"/>
        <v>46120</v>
      </c>
      <c r="D36" s="6">
        <v>3280</v>
      </c>
      <c r="E36" s="6">
        <v>337</v>
      </c>
      <c r="F36" s="14">
        <v>4</v>
      </c>
      <c r="G36" s="15">
        <v>1</v>
      </c>
      <c r="H36" s="15">
        <v>81698</v>
      </c>
      <c r="I36" s="15" t="s">
        <v>1505</v>
      </c>
      <c r="J36" s="30">
        <v>78905950</v>
      </c>
      <c r="K36" s="30" t="s">
        <v>2871</v>
      </c>
      <c r="L36" s="30" t="s">
        <v>2876</v>
      </c>
      <c r="M36" s="15">
        <v>269900</v>
      </c>
      <c r="N36" s="9">
        <f t="shared" si="1"/>
        <v>0.9</v>
      </c>
      <c r="O36" s="8">
        <f t="shared" si="2"/>
        <v>26990</v>
      </c>
      <c r="P36" s="9" t="str">
        <f t="shared" si="3"/>
        <v>PERCENTAGE</v>
      </c>
    </row>
    <row r="37" spans="1:16" x14ac:dyDescent="0.25">
      <c r="A37" s="6" t="str">
        <f t="shared" si="6"/>
        <v>2023 ALL D90</v>
      </c>
      <c r="B37" s="7">
        <f t="shared" si="4"/>
        <v>46114</v>
      </c>
      <c r="C37" s="7">
        <f t="shared" si="5"/>
        <v>46120</v>
      </c>
      <c r="D37" s="6">
        <v>3280</v>
      </c>
      <c r="E37" s="6">
        <v>337</v>
      </c>
      <c r="F37" s="14">
        <v>4</v>
      </c>
      <c r="G37" s="15">
        <v>1</v>
      </c>
      <c r="H37" s="15">
        <v>81698</v>
      </c>
      <c r="I37" s="15" t="s">
        <v>1505</v>
      </c>
      <c r="J37" s="30">
        <v>78905969</v>
      </c>
      <c r="K37" s="30" t="s">
        <v>2871</v>
      </c>
      <c r="L37" s="30" t="s">
        <v>2877</v>
      </c>
      <c r="M37" s="15">
        <v>269900</v>
      </c>
      <c r="N37" s="9">
        <f t="shared" si="1"/>
        <v>0.9</v>
      </c>
      <c r="O37" s="8">
        <f t="shared" si="2"/>
        <v>26990</v>
      </c>
      <c r="P37" s="9" t="str">
        <f t="shared" si="3"/>
        <v>PERCENTAGE</v>
      </c>
    </row>
    <row r="38" spans="1:16" x14ac:dyDescent="0.25">
      <c r="A38" s="6" t="str">
        <f t="shared" si="6"/>
        <v>2023 ALL D90</v>
      </c>
      <c r="B38" s="7">
        <f t="shared" si="4"/>
        <v>46114</v>
      </c>
      <c r="C38" s="7">
        <f t="shared" si="5"/>
        <v>46120</v>
      </c>
      <c r="D38" s="6">
        <v>3280</v>
      </c>
      <c r="E38" s="6">
        <v>337</v>
      </c>
      <c r="F38" s="14">
        <v>4</v>
      </c>
      <c r="G38" s="15">
        <v>2</v>
      </c>
      <c r="H38" s="15">
        <v>81306</v>
      </c>
      <c r="I38" s="15" t="s">
        <v>1505</v>
      </c>
      <c r="J38" s="30">
        <v>76460541</v>
      </c>
      <c r="K38" s="30" t="s">
        <v>2751</v>
      </c>
      <c r="L38" s="30" t="s">
        <v>2752</v>
      </c>
      <c r="M38" s="15">
        <v>239900</v>
      </c>
      <c r="N38" s="9">
        <f t="shared" si="1"/>
        <v>0.9</v>
      </c>
      <c r="O38" s="8">
        <f t="shared" si="2"/>
        <v>23990</v>
      </c>
      <c r="P38" s="9" t="str">
        <f t="shared" si="3"/>
        <v>PERCENTAGE</v>
      </c>
    </row>
    <row r="39" spans="1:16" x14ac:dyDescent="0.25">
      <c r="A39" s="6" t="str">
        <f t="shared" si="6"/>
        <v>2023 ALL D90</v>
      </c>
      <c r="B39" s="7">
        <f t="shared" si="4"/>
        <v>46114</v>
      </c>
      <c r="C39" s="7">
        <f t="shared" si="5"/>
        <v>46120</v>
      </c>
      <c r="D39" s="6">
        <v>3280</v>
      </c>
      <c r="E39" s="6">
        <v>337</v>
      </c>
      <c r="F39" s="14">
        <v>4</v>
      </c>
      <c r="G39" s="15">
        <v>2</v>
      </c>
      <c r="H39" s="15">
        <v>81306</v>
      </c>
      <c r="I39" s="15" t="s">
        <v>1505</v>
      </c>
      <c r="J39" s="30">
        <v>76460550</v>
      </c>
      <c r="K39" s="30" t="s">
        <v>2751</v>
      </c>
      <c r="L39" s="30" t="s">
        <v>2753</v>
      </c>
      <c r="M39" s="15">
        <v>239900</v>
      </c>
      <c r="N39" s="9">
        <f t="shared" si="1"/>
        <v>0.9</v>
      </c>
      <c r="O39" s="8">
        <f t="shared" si="2"/>
        <v>23990</v>
      </c>
      <c r="P39" s="9" t="str">
        <f t="shared" si="3"/>
        <v>PERCENTAGE</v>
      </c>
    </row>
    <row r="40" spans="1:16" x14ac:dyDescent="0.25">
      <c r="A40" s="6" t="str">
        <f t="shared" si="6"/>
        <v>2023 ALL D90</v>
      </c>
      <c r="B40" s="7">
        <f t="shared" si="4"/>
        <v>46114</v>
      </c>
      <c r="C40" s="7">
        <f t="shared" si="5"/>
        <v>46120</v>
      </c>
      <c r="D40" s="6">
        <v>3280</v>
      </c>
      <c r="E40" s="6">
        <v>337</v>
      </c>
      <c r="F40" s="14">
        <v>4</v>
      </c>
      <c r="G40" s="15">
        <v>2</v>
      </c>
      <c r="H40" s="15">
        <v>81306</v>
      </c>
      <c r="I40" s="15" t="s">
        <v>1505</v>
      </c>
      <c r="J40" s="30">
        <v>76460569</v>
      </c>
      <c r="K40" s="30" t="s">
        <v>2751</v>
      </c>
      <c r="L40" s="30" t="s">
        <v>2754</v>
      </c>
      <c r="M40" s="15">
        <v>239900</v>
      </c>
      <c r="N40" s="9">
        <f t="shared" si="1"/>
        <v>0.9</v>
      </c>
      <c r="O40" s="8">
        <f t="shared" si="2"/>
        <v>23990</v>
      </c>
      <c r="P40" s="9" t="str">
        <f t="shared" si="3"/>
        <v>PERCENTAGE</v>
      </c>
    </row>
    <row r="41" spans="1:16" x14ac:dyDescent="0.25">
      <c r="A41" s="6" t="str">
        <f t="shared" si="6"/>
        <v>2023 ALL D90</v>
      </c>
      <c r="B41" s="7">
        <f t="shared" si="4"/>
        <v>46114</v>
      </c>
      <c r="C41" s="7">
        <f t="shared" si="5"/>
        <v>46120</v>
      </c>
      <c r="D41" s="6">
        <v>3280</v>
      </c>
      <c r="E41" s="6">
        <v>337</v>
      </c>
      <c r="F41" s="14">
        <v>4</v>
      </c>
      <c r="G41" s="15">
        <v>2</v>
      </c>
      <c r="H41" s="15">
        <v>81306</v>
      </c>
      <c r="I41" s="15" t="s">
        <v>1505</v>
      </c>
      <c r="J41" s="30">
        <v>76460578</v>
      </c>
      <c r="K41" s="30" t="s">
        <v>2751</v>
      </c>
      <c r="L41" s="30" t="s">
        <v>2755</v>
      </c>
      <c r="M41" s="15">
        <v>249900</v>
      </c>
      <c r="N41" s="9">
        <f t="shared" si="1"/>
        <v>0.9</v>
      </c>
      <c r="O41" s="8">
        <f t="shared" si="2"/>
        <v>24990</v>
      </c>
      <c r="P41" s="9" t="str">
        <f t="shared" si="3"/>
        <v>PERCENTAGE</v>
      </c>
    </row>
    <row r="42" spans="1:16" x14ac:dyDescent="0.25">
      <c r="A42" s="6" t="str">
        <f t="shared" si="6"/>
        <v>2023 ALL D90</v>
      </c>
      <c r="B42" s="7">
        <f t="shared" si="4"/>
        <v>46114</v>
      </c>
      <c r="C42" s="7">
        <f t="shared" si="5"/>
        <v>46120</v>
      </c>
      <c r="D42" s="6">
        <v>3280</v>
      </c>
      <c r="E42" s="6">
        <v>337</v>
      </c>
      <c r="F42" s="14">
        <v>4</v>
      </c>
      <c r="G42" s="15">
        <v>2</v>
      </c>
      <c r="H42" s="15">
        <v>81306</v>
      </c>
      <c r="I42" s="15" t="s">
        <v>1505</v>
      </c>
      <c r="J42" s="30">
        <v>76460587</v>
      </c>
      <c r="K42" s="30" t="s">
        <v>2751</v>
      </c>
      <c r="L42" s="30" t="s">
        <v>2756</v>
      </c>
      <c r="M42" s="15">
        <v>249900</v>
      </c>
      <c r="N42" s="9">
        <f t="shared" si="1"/>
        <v>0.9</v>
      </c>
      <c r="O42" s="8">
        <f t="shared" si="2"/>
        <v>24990</v>
      </c>
      <c r="P42" s="9" t="str">
        <f t="shared" si="3"/>
        <v>PERCENTAGE</v>
      </c>
    </row>
    <row r="43" spans="1:16" x14ac:dyDescent="0.25">
      <c r="A43" s="6" t="str">
        <f t="shared" si="6"/>
        <v>2023 ALL D90</v>
      </c>
      <c r="B43" s="7">
        <f t="shared" si="4"/>
        <v>46114</v>
      </c>
      <c r="C43" s="7">
        <f t="shared" si="5"/>
        <v>46120</v>
      </c>
      <c r="D43" s="6">
        <v>3280</v>
      </c>
      <c r="E43" s="6">
        <v>337</v>
      </c>
      <c r="F43" s="14">
        <v>4</v>
      </c>
      <c r="G43" s="15">
        <v>2</v>
      </c>
      <c r="H43" s="15">
        <v>81306</v>
      </c>
      <c r="I43" s="15" t="s">
        <v>1505</v>
      </c>
      <c r="J43" s="30">
        <v>76460596</v>
      </c>
      <c r="K43" s="30" t="s">
        <v>2751</v>
      </c>
      <c r="L43" s="30" t="s">
        <v>2757</v>
      </c>
      <c r="M43" s="15">
        <v>249900</v>
      </c>
      <c r="N43" s="9">
        <f t="shared" si="1"/>
        <v>0.9</v>
      </c>
      <c r="O43" s="8">
        <f t="shared" si="2"/>
        <v>24990</v>
      </c>
      <c r="P43" s="9" t="str">
        <f t="shared" si="3"/>
        <v>PERCENTAGE</v>
      </c>
    </row>
    <row r="44" spans="1:16" x14ac:dyDescent="0.25">
      <c r="A44" s="6" t="str">
        <f t="shared" si="6"/>
        <v>2023 ALL D90</v>
      </c>
      <c r="B44" s="7">
        <f t="shared" si="4"/>
        <v>46114</v>
      </c>
      <c r="C44" s="7">
        <f t="shared" si="5"/>
        <v>46120</v>
      </c>
      <c r="D44" s="6">
        <v>3280</v>
      </c>
      <c r="E44" s="6">
        <v>337</v>
      </c>
      <c r="F44" s="14">
        <v>4</v>
      </c>
      <c r="G44" s="15">
        <v>2</v>
      </c>
      <c r="H44" s="15">
        <v>81306</v>
      </c>
      <c r="I44" s="15" t="s">
        <v>1505</v>
      </c>
      <c r="J44" s="30">
        <v>78925750</v>
      </c>
      <c r="K44" s="30" t="s">
        <v>2912</v>
      </c>
      <c r="L44" s="30" t="s">
        <v>2913</v>
      </c>
      <c r="M44" s="15">
        <v>239900</v>
      </c>
      <c r="N44" s="9">
        <f t="shared" si="1"/>
        <v>0.9</v>
      </c>
      <c r="O44" s="8">
        <f t="shared" si="2"/>
        <v>23990</v>
      </c>
      <c r="P44" s="9" t="str">
        <f t="shared" si="3"/>
        <v>PERCENTAGE</v>
      </c>
    </row>
    <row r="45" spans="1:16" x14ac:dyDescent="0.25">
      <c r="A45" s="6" t="str">
        <f t="shared" si="6"/>
        <v>2023 ALL D90</v>
      </c>
      <c r="B45" s="7">
        <f t="shared" si="4"/>
        <v>46114</v>
      </c>
      <c r="C45" s="7">
        <f t="shared" si="5"/>
        <v>46120</v>
      </c>
      <c r="D45" s="6">
        <v>3280</v>
      </c>
      <c r="E45" s="6">
        <v>337</v>
      </c>
      <c r="F45" s="14">
        <v>4</v>
      </c>
      <c r="G45" s="15">
        <v>2</v>
      </c>
      <c r="H45" s="15">
        <v>81306</v>
      </c>
      <c r="I45" s="15" t="s">
        <v>1505</v>
      </c>
      <c r="J45" s="30">
        <v>78925769</v>
      </c>
      <c r="K45" s="30" t="s">
        <v>2912</v>
      </c>
      <c r="L45" s="30" t="s">
        <v>2914</v>
      </c>
      <c r="M45" s="15">
        <v>239900</v>
      </c>
      <c r="N45" s="9">
        <f t="shared" si="1"/>
        <v>0.9</v>
      </c>
      <c r="O45" s="8">
        <f t="shared" si="2"/>
        <v>23990</v>
      </c>
      <c r="P45" s="9" t="str">
        <f t="shared" si="3"/>
        <v>PERCENTAGE</v>
      </c>
    </row>
    <row r="46" spans="1:16" x14ac:dyDescent="0.25">
      <c r="A46" s="6" t="str">
        <f t="shared" si="6"/>
        <v>2023 ALL D90</v>
      </c>
      <c r="B46" s="7">
        <f t="shared" si="4"/>
        <v>46114</v>
      </c>
      <c r="C46" s="7">
        <f t="shared" si="5"/>
        <v>46120</v>
      </c>
      <c r="D46" s="6">
        <v>3280</v>
      </c>
      <c r="E46" s="6">
        <v>337</v>
      </c>
      <c r="F46" s="14">
        <v>4</v>
      </c>
      <c r="G46" s="15">
        <v>2</v>
      </c>
      <c r="H46" s="15">
        <v>81306</v>
      </c>
      <c r="I46" s="15" t="s">
        <v>1505</v>
      </c>
      <c r="J46" s="30">
        <v>78925778</v>
      </c>
      <c r="K46" s="30" t="s">
        <v>2912</v>
      </c>
      <c r="L46" s="30" t="s">
        <v>2915</v>
      </c>
      <c r="M46" s="15">
        <v>239900</v>
      </c>
      <c r="N46" s="9">
        <f t="shared" si="1"/>
        <v>0.9</v>
      </c>
      <c r="O46" s="8">
        <f t="shared" si="2"/>
        <v>23990</v>
      </c>
      <c r="P46" s="9" t="str">
        <f t="shared" si="3"/>
        <v>PERCENTAGE</v>
      </c>
    </row>
    <row r="47" spans="1:16" x14ac:dyDescent="0.25">
      <c r="A47" s="6" t="str">
        <f t="shared" si="6"/>
        <v>2023 ALL D90</v>
      </c>
      <c r="B47" s="7">
        <f t="shared" si="4"/>
        <v>46114</v>
      </c>
      <c r="C47" s="7">
        <f t="shared" si="5"/>
        <v>46120</v>
      </c>
      <c r="D47" s="6">
        <v>3280</v>
      </c>
      <c r="E47" s="6">
        <v>337</v>
      </c>
      <c r="F47" s="14">
        <v>4</v>
      </c>
      <c r="G47" s="15">
        <v>2</v>
      </c>
      <c r="H47" s="15">
        <v>81306</v>
      </c>
      <c r="I47" s="15" t="s">
        <v>1505</v>
      </c>
      <c r="J47" s="30">
        <v>78925787</v>
      </c>
      <c r="K47" s="30" t="s">
        <v>2912</v>
      </c>
      <c r="L47" s="30" t="s">
        <v>2916</v>
      </c>
      <c r="M47" s="15">
        <v>249900</v>
      </c>
      <c r="N47" s="9">
        <f t="shared" si="1"/>
        <v>0.9</v>
      </c>
      <c r="O47" s="8">
        <f t="shared" si="2"/>
        <v>24990</v>
      </c>
      <c r="P47" s="9" t="str">
        <f t="shared" si="3"/>
        <v>PERCENTAGE</v>
      </c>
    </row>
    <row r="48" spans="1:16" x14ac:dyDescent="0.25">
      <c r="A48" s="6" t="str">
        <f t="shared" si="6"/>
        <v>2023 ALL D90</v>
      </c>
      <c r="B48" s="7">
        <f t="shared" si="4"/>
        <v>46114</v>
      </c>
      <c r="C48" s="7">
        <f t="shared" si="5"/>
        <v>46120</v>
      </c>
      <c r="D48" s="6">
        <v>3280</v>
      </c>
      <c r="E48" s="6">
        <v>337</v>
      </c>
      <c r="F48" s="14">
        <v>4</v>
      </c>
      <c r="G48" s="15">
        <v>2</v>
      </c>
      <c r="H48" s="15">
        <v>81306</v>
      </c>
      <c r="I48" s="15" t="s">
        <v>1505</v>
      </c>
      <c r="J48" s="30">
        <v>78925796</v>
      </c>
      <c r="K48" s="30" t="s">
        <v>2912</v>
      </c>
      <c r="L48" s="30" t="s">
        <v>2917</v>
      </c>
      <c r="M48" s="15">
        <v>249900</v>
      </c>
      <c r="N48" s="9">
        <f t="shared" si="1"/>
        <v>0.9</v>
      </c>
      <c r="O48" s="8">
        <f t="shared" si="2"/>
        <v>24990</v>
      </c>
      <c r="P48" s="9" t="str">
        <f t="shared" si="3"/>
        <v>PERCENTAGE</v>
      </c>
    </row>
    <row r="49" spans="1:16" x14ac:dyDescent="0.25">
      <c r="A49" s="6" t="str">
        <f t="shared" si="6"/>
        <v>2023 ALL D90</v>
      </c>
      <c r="B49" s="7">
        <f t="shared" si="4"/>
        <v>46114</v>
      </c>
      <c r="C49" s="7">
        <f t="shared" si="5"/>
        <v>46120</v>
      </c>
      <c r="D49" s="6">
        <v>3280</v>
      </c>
      <c r="E49" s="6">
        <v>337</v>
      </c>
      <c r="F49" s="14">
        <v>4</v>
      </c>
      <c r="G49" s="15">
        <v>2</v>
      </c>
      <c r="H49" s="15">
        <v>81306</v>
      </c>
      <c r="I49" s="15" t="s">
        <v>1505</v>
      </c>
      <c r="J49" s="30">
        <v>78925803</v>
      </c>
      <c r="K49" s="30" t="s">
        <v>2912</v>
      </c>
      <c r="L49" s="30" t="s">
        <v>2918</v>
      </c>
      <c r="M49" s="15">
        <v>249900</v>
      </c>
      <c r="N49" s="9">
        <f t="shared" si="1"/>
        <v>0.9</v>
      </c>
      <c r="O49" s="8">
        <f t="shared" si="2"/>
        <v>24990</v>
      </c>
      <c r="P49" s="9" t="str">
        <f t="shared" si="3"/>
        <v>PERCENTAGE</v>
      </c>
    </row>
    <row r="50" spans="1:16" x14ac:dyDescent="0.25">
      <c r="A50" s="6" t="str">
        <f t="shared" si="6"/>
        <v>2023 ALL D90</v>
      </c>
      <c r="B50" s="7">
        <f t="shared" si="4"/>
        <v>46114</v>
      </c>
      <c r="C50" s="7">
        <f t="shared" si="5"/>
        <v>46120</v>
      </c>
      <c r="D50" s="6">
        <v>3280</v>
      </c>
      <c r="E50" s="6">
        <v>337</v>
      </c>
      <c r="F50" s="14">
        <v>4</v>
      </c>
      <c r="G50" s="15">
        <v>2</v>
      </c>
      <c r="H50" s="15">
        <v>81622</v>
      </c>
      <c r="I50" s="15" t="s">
        <v>1505</v>
      </c>
      <c r="J50" s="30">
        <v>78925572</v>
      </c>
      <c r="K50" s="30" t="s">
        <v>2891</v>
      </c>
      <c r="L50" s="30" t="s">
        <v>2892</v>
      </c>
      <c r="M50" s="15">
        <v>239900</v>
      </c>
      <c r="N50" s="9">
        <f t="shared" si="1"/>
        <v>0.9</v>
      </c>
      <c r="O50" s="8">
        <f t="shared" si="2"/>
        <v>23990</v>
      </c>
      <c r="P50" s="9" t="str">
        <f t="shared" si="3"/>
        <v>PERCENTAGE</v>
      </c>
    </row>
    <row r="51" spans="1:16" x14ac:dyDescent="0.25">
      <c r="A51" s="6" t="str">
        <f t="shared" si="6"/>
        <v>2023 ALL D90</v>
      </c>
      <c r="B51" s="7">
        <f t="shared" si="4"/>
        <v>46114</v>
      </c>
      <c r="C51" s="7">
        <f t="shared" si="5"/>
        <v>46120</v>
      </c>
      <c r="D51" s="6">
        <v>3280</v>
      </c>
      <c r="E51" s="6">
        <v>337</v>
      </c>
      <c r="F51" s="14">
        <v>4</v>
      </c>
      <c r="G51" s="15">
        <v>2</v>
      </c>
      <c r="H51" s="15">
        <v>81622</v>
      </c>
      <c r="I51" s="15" t="s">
        <v>1505</v>
      </c>
      <c r="J51" s="30">
        <v>78925581</v>
      </c>
      <c r="K51" s="30" t="s">
        <v>2891</v>
      </c>
      <c r="L51" s="30" t="s">
        <v>2893</v>
      </c>
      <c r="M51" s="15">
        <v>239900</v>
      </c>
      <c r="N51" s="9">
        <f t="shared" si="1"/>
        <v>0.9</v>
      </c>
      <c r="O51" s="8">
        <f t="shared" si="2"/>
        <v>23990</v>
      </c>
      <c r="P51" s="9" t="str">
        <f t="shared" si="3"/>
        <v>PERCENTAGE</v>
      </c>
    </row>
    <row r="52" spans="1:16" x14ac:dyDescent="0.25">
      <c r="A52" s="6" t="str">
        <f t="shared" si="6"/>
        <v>2023 ALL D90</v>
      </c>
      <c r="B52" s="7">
        <f t="shared" si="4"/>
        <v>46114</v>
      </c>
      <c r="C52" s="7">
        <f t="shared" si="5"/>
        <v>46120</v>
      </c>
      <c r="D52" s="6">
        <v>3280</v>
      </c>
      <c r="E52" s="6">
        <v>337</v>
      </c>
      <c r="F52" s="14">
        <v>4</v>
      </c>
      <c r="G52" s="15">
        <v>2</v>
      </c>
      <c r="H52" s="15">
        <v>81622</v>
      </c>
      <c r="I52" s="15" t="s">
        <v>1505</v>
      </c>
      <c r="J52" s="30">
        <v>78925590</v>
      </c>
      <c r="K52" s="30" t="s">
        <v>2891</v>
      </c>
      <c r="L52" s="30" t="s">
        <v>2894</v>
      </c>
      <c r="M52" s="15">
        <v>239900</v>
      </c>
      <c r="N52" s="9">
        <f t="shared" si="1"/>
        <v>0.9</v>
      </c>
      <c r="O52" s="8">
        <f t="shared" si="2"/>
        <v>23990</v>
      </c>
      <c r="P52" s="9" t="str">
        <f t="shared" si="3"/>
        <v>PERCENTAGE</v>
      </c>
    </row>
    <row r="53" spans="1:16" x14ac:dyDescent="0.25">
      <c r="A53" s="6" t="str">
        <f t="shared" si="6"/>
        <v>2023 ALL D90</v>
      </c>
      <c r="B53" s="7">
        <f t="shared" si="4"/>
        <v>46114</v>
      </c>
      <c r="C53" s="7">
        <f t="shared" si="5"/>
        <v>46120</v>
      </c>
      <c r="D53" s="6">
        <v>3280</v>
      </c>
      <c r="E53" s="6">
        <v>337</v>
      </c>
      <c r="F53" s="14">
        <v>4</v>
      </c>
      <c r="G53" s="15">
        <v>2</v>
      </c>
      <c r="H53" s="15">
        <v>81622</v>
      </c>
      <c r="I53" s="15" t="s">
        <v>1505</v>
      </c>
      <c r="J53" s="30">
        <v>78925607</v>
      </c>
      <c r="K53" s="30" t="s">
        <v>2891</v>
      </c>
      <c r="L53" s="30" t="s">
        <v>2895</v>
      </c>
      <c r="M53" s="15">
        <v>249900</v>
      </c>
      <c r="N53" s="9">
        <f t="shared" si="1"/>
        <v>0.9</v>
      </c>
      <c r="O53" s="8">
        <f t="shared" si="2"/>
        <v>24990</v>
      </c>
      <c r="P53" s="9" t="str">
        <f t="shared" si="3"/>
        <v>PERCENTAGE</v>
      </c>
    </row>
    <row r="54" spans="1:16" x14ac:dyDescent="0.25">
      <c r="A54" s="6" t="str">
        <f t="shared" si="6"/>
        <v>2023 ALL D90</v>
      </c>
      <c r="B54" s="7">
        <f t="shared" si="4"/>
        <v>46114</v>
      </c>
      <c r="C54" s="7">
        <f t="shared" si="5"/>
        <v>46120</v>
      </c>
      <c r="D54" s="6">
        <v>3280</v>
      </c>
      <c r="E54" s="6">
        <v>337</v>
      </c>
      <c r="F54" s="14">
        <v>4</v>
      </c>
      <c r="G54" s="15">
        <v>2</v>
      </c>
      <c r="H54" s="15">
        <v>81622</v>
      </c>
      <c r="I54" s="15" t="s">
        <v>1505</v>
      </c>
      <c r="J54" s="30">
        <v>78925616</v>
      </c>
      <c r="K54" s="30" t="s">
        <v>2891</v>
      </c>
      <c r="L54" s="30" t="s">
        <v>2896</v>
      </c>
      <c r="M54" s="15">
        <v>249900</v>
      </c>
      <c r="N54" s="9">
        <f t="shared" si="1"/>
        <v>0.9</v>
      </c>
      <c r="O54" s="8">
        <f t="shared" si="2"/>
        <v>24990</v>
      </c>
      <c r="P54" s="9" t="str">
        <f t="shared" si="3"/>
        <v>PERCENTAGE</v>
      </c>
    </row>
    <row r="55" spans="1:16" x14ac:dyDescent="0.25">
      <c r="A55" s="6" t="str">
        <f t="shared" si="6"/>
        <v>2023 ALL D90</v>
      </c>
      <c r="B55" s="7">
        <f t="shared" si="4"/>
        <v>46114</v>
      </c>
      <c r="C55" s="7">
        <f t="shared" si="5"/>
        <v>46120</v>
      </c>
      <c r="D55" s="6">
        <v>3280</v>
      </c>
      <c r="E55" s="6">
        <v>337</v>
      </c>
      <c r="F55" s="14">
        <v>4</v>
      </c>
      <c r="G55" s="15">
        <v>2</v>
      </c>
      <c r="H55" s="15">
        <v>81622</v>
      </c>
      <c r="I55" s="15" t="s">
        <v>1505</v>
      </c>
      <c r="J55" s="30">
        <v>78925625</v>
      </c>
      <c r="K55" s="30" t="s">
        <v>2891</v>
      </c>
      <c r="L55" s="30" t="s">
        <v>2897</v>
      </c>
      <c r="M55" s="15">
        <v>249900</v>
      </c>
      <c r="N55" s="9">
        <f t="shared" si="1"/>
        <v>0.9</v>
      </c>
      <c r="O55" s="8">
        <f t="shared" si="2"/>
        <v>24990</v>
      </c>
      <c r="P55" s="9" t="str">
        <f t="shared" si="3"/>
        <v>PERCENTAGE</v>
      </c>
    </row>
    <row r="56" spans="1:16" x14ac:dyDescent="0.25">
      <c r="A56" s="6" t="str">
        <f t="shared" si="6"/>
        <v>2023 ALL D90</v>
      </c>
      <c r="B56" s="7">
        <f t="shared" si="4"/>
        <v>46114</v>
      </c>
      <c r="C56" s="7">
        <f t="shared" si="5"/>
        <v>46120</v>
      </c>
      <c r="D56" s="6">
        <v>3280</v>
      </c>
      <c r="E56" s="6">
        <v>337</v>
      </c>
      <c r="F56" s="14">
        <v>4</v>
      </c>
      <c r="G56" s="15">
        <v>2</v>
      </c>
      <c r="H56" s="15">
        <v>81306</v>
      </c>
      <c r="I56" s="15" t="s">
        <v>1505</v>
      </c>
      <c r="J56" s="30">
        <v>79049535</v>
      </c>
      <c r="K56" s="30" t="s">
        <v>2953</v>
      </c>
      <c r="L56" s="30" t="s">
        <v>2954</v>
      </c>
      <c r="M56" s="15">
        <v>239900</v>
      </c>
      <c r="N56" s="9">
        <f t="shared" si="1"/>
        <v>0.9</v>
      </c>
      <c r="O56" s="8">
        <f t="shared" si="2"/>
        <v>23990</v>
      </c>
      <c r="P56" s="9" t="str">
        <f t="shared" si="3"/>
        <v>PERCENTAGE</v>
      </c>
    </row>
    <row r="57" spans="1:16" x14ac:dyDescent="0.25">
      <c r="A57" s="6" t="str">
        <f t="shared" si="6"/>
        <v>2023 ALL D90</v>
      </c>
      <c r="B57" s="7">
        <f t="shared" si="4"/>
        <v>46114</v>
      </c>
      <c r="C57" s="7">
        <f t="shared" si="5"/>
        <v>46120</v>
      </c>
      <c r="D57" s="6">
        <v>3280</v>
      </c>
      <c r="E57" s="6">
        <v>337</v>
      </c>
      <c r="F57" s="14">
        <v>4</v>
      </c>
      <c r="G57" s="15">
        <v>2</v>
      </c>
      <c r="H57" s="15">
        <v>81306</v>
      </c>
      <c r="I57" s="15" t="s">
        <v>1505</v>
      </c>
      <c r="J57" s="30">
        <v>79049544</v>
      </c>
      <c r="K57" s="30" t="s">
        <v>2953</v>
      </c>
      <c r="L57" s="30" t="s">
        <v>2955</v>
      </c>
      <c r="M57" s="15">
        <v>239900</v>
      </c>
      <c r="N57" s="9">
        <f t="shared" si="1"/>
        <v>0.9</v>
      </c>
      <c r="O57" s="8">
        <f t="shared" si="2"/>
        <v>23990</v>
      </c>
      <c r="P57" s="9" t="str">
        <f t="shared" si="3"/>
        <v>PERCENTAGE</v>
      </c>
    </row>
    <row r="58" spans="1:16" x14ac:dyDescent="0.25">
      <c r="A58" s="6" t="str">
        <f t="shared" si="6"/>
        <v>2023 ALL D90</v>
      </c>
      <c r="B58" s="7">
        <f t="shared" si="4"/>
        <v>46114</v>
      </c>
      <c r="C58" s="7">
        <f t="shared" si="5"/>
        <v>46120</v>
      </c>
      <c r="D58" s="6">
        <v>3280</v>
      </c>
      <c r="E58" s="6">
        <v>337</v>
      </c>
      <c r="F58" s="14">
        <v>4</v>
      </c>
      <c r="G58" s="15">
        <v>2</v>
      </c>
      <c r="H58" s="15">
        <v>81306</v>
      </c>
      <c r="I58" s="15" t="s">
        <v>1505</v>
      </c>
      <c r="J58" s="30">
        <v>79049553</v>
      </c>
      <c r="K58" s="30" t="s">
        <v>2953</v>
      </c>
      <c r="L58" s="30" t="s">
        <v>2956</v>
      </c>
      <c r="M58" s="15">
        <v>239900</v>
      </c>
      <c r="N58" s="9">
        <f t="shared" si="1"/>
        <v>0.9</v>
      </c>
      <c r="O58" s="8">
        <f t="shared" si="2"/>
        <v>23990</v>
      </c>
      <c r="P58" s="9" t="str">
        <f t="shared" si="3"/>
        <v>PERCENTAGE</v>
      </c>
    </row>
    <row r="59" spans="1:16" x14ac:dyDescent="0.25">
      <c r="A59" s="6" t="str">
        <f t="shared" si="6"/>
        <v>2023 ALL D90</v>
      </c>
      <c r="B59" s="7">
        <f t="shared" si="4"/>
        <v>46114</v>
      </c>
      <c r="C59" s="7">
        <f t="shared" si="5"/>
        <v>46120</v>
      </c>
      <c r="D59" s="6">
        <v>3280</v>
      </c>
      <c r="E59" s="6">
        <v>337</v>
      </c>
      <c r="F59" s="14">
        <v>4</v>
      </c>
      <c r="G59" s="15">
        <v>2</v>
      </c>
      <c r="H59" s="15">
        <v>81306</v>
      </c>
      <c r="I59" s="15" t="s">
        <v>1505</v>
      </c>
      <c r="J59" s="30">
        <v>79049562</v>
      </c>
      <c r="K59" s="30" t="s">
        <v>2953</v>
      </c>
      <c r="L59" s="30" t="s">
        <v>2957</v>
      </c>
      <c r="M59" s="15">
        <v>249900</v>
      </c>
      <c r="N59" s="9">
        <f t="shared" si="1"/>
        <v>0.9</v>
      </c>
      <c r="O59" s="8">
        <f t="shared" si="2"/>
        <v>24990</v>
      </c>
      <c r="P59" s="9" t="str">
        <f t="shared" si="3"/>
        <v>PERCENTAGE</v>
      </c>
    </row>
    <row r="60" spans="1:16" x14ac:dyDescent="0.25">
      <c r="A60" s="6" t="str">
        <f t="shared" si="6"/>
        <v>2023 ALL D90</v>
      </c>
      <c r="B60" s="7">
        <f t="shared" si="4"/>
        <v>46114</v>
      </c>
      <c r="C60" s="7">
        <f t="shared" si="5"/>
        <v>46120</v>
      </c>
      <c r="D60" s="6">
        <v>3280</v>
      </c>
      <c r="E60" s="6">
        <v>337</v>
      </c>
      <c r="F60" s="14">
        <v>4</v>
      </c>
      <c r="G60" s="15">
        <v>2</v>
      </c>
      <c r="H60" s="15">
        <v>81306</v>
      </c>
      <c r="I60" s="15" t="s">
        <v>1505</v>
      </c>
      <c r="J60" s="30">
        <v>79049571</v>
      </c>
      <c r="K60" s="30" t="s">
        <v>2953</v>
      </c>
      <c r="L60" s="30" t="s">
        <v>2958</v>
      </c>
      <c r="M60" s="15">
        <v>249900</v>
      </c>
      <c r="N60" s="9">
        <f t="shared" si="1"/>
        <v>0.9</v>
      </c>
      <c r="O60" s="8">
        <f t="shared" si="2"/>
        <v>24990</v>
      </c>
      <c r="P60" s="9" t="str">
        <f t="shared" si="3"/>
        <v>PERCENTAGE</v>
      </c>
    </row>
    <row r="61" spans="1:16" x14ac:dyDescent="0.25">
      <c r="A61" s="6" t="str">
        <f t="shared" si="6"/>
        <v>2023 ALL D90</v>
      </c>
      <c r="B61" s="7">
        <f t="shared" si="4"/>
        <v>46114</v>
      </c>
      <c r="C61" s="7">
        <f t="shared" si="5"/>
        <v>46120</v>
      </c>
      <c r="D61" s="6">
        <v>3280</v>
      </c>
      <c r="E61" s="6">
        <v>337</v>
      </c>
      <c r="F61" s="14">
        <v>4</v>
      </c>
      <c r="G61" s="15">
        <v>2</v>
      </c>
      <c r="H61" s="15">
        <v>81306</v>
      </c>
      <c r="I61" s="15" t="s">
        <v>1505</v>
      </c>
      <c r="J61" s="30">
        <v>78925812</v>
      </c>
      <c r="K61" s="30" t="s">
        <v>2919</v>
      </c>
      <c r="L61" s="30" t="s">
        <v>2920</v>
      </c>
      <c r="M61" s="15">
        <v>229900</v>
      </c>
      <c r="N61" s="9">
        <f t="shared" si="1"/>
        <v>0.9</v>
      </c>
      <c r="O61" s="8">
        <f t="shared" si="2"/>
        <v>22990</v>
      </c>
      <c r="P61" s="9" t="str">
        <f t="shared" si="3"/>
        <v>PERCENTAGE</v>
      </c>
    </row>
    <row r="62" spans="1:16" x14ac:dyDescent="0.25">
      <c r="A62" s="6" t="str">
        <f t="shared" si="6"/>
        <v>2023 ALL D90</v>
      </c>
      <c r="B62" s="7">
        <f t="shared" si="4"/>
        <v>46114</v>
      </c>
      <c r="C62" s="7">
        <f t="shared" si="5"/>
        <v>46120</v>
      </c>
      <c r="D62" s="6">
        <v>3280</v>
      </c>
      <c r="E62" s="6">
        <v>337</v>
      </c>
      <c r="F62" s="14">
        <v>4</v>
      </c>
      <c r="G62" s="15">
        <v>2</v>
      </c>
      <c r="H62" s="15">
        <v>81306</v>
      </c>
      <c r="I62" s="15" t="s">
        <v>1505</v>
      </c>
      <c r="J62" s="30">
        <v>78925821</v>
      </c>
      <c r="K62" s="30" t="s">
        <v>2919</v>
      </c>
      <c r="L62" s="30" t="s">
        <v>2921</v>
      </c>
      <c r="M62" s="15">
        <v>229900</v>
      </c>
      <c r="N62" s="9">
        <f t="shared" si="1"/>
        <v>0.9</v>
      </c>
      <c r="O62" s="8">
        <f t="shared" si="2"/>
        <v>22990</v>
      </c>
      <c r="P62" s="9" t="str">
        <f t="shared" si="3"/>
        <v>PERCENTAGE</v>
      </c>
    </row>
    <row r="63" spans="1:16" x14ac:dyDescent="0.25">
      <c r="A63" s="6" t="str">
        <f t="shared" si="6"/>
        <v>2023 ALL D90</v>
      </c>
      <c r="B63" s="7">
        <f t="shared" si="4"/>
        <v>46114</v>
      </c>
      <c r="C63" s="7">
        <f t="shared" si="5"/>
        <v>46120</v>
      </c>
      <c r="D63" s="6">
        <v>3280</v>
      </c>
      <c r="E63" s="6">
        <v>337</v>
      </c>
      <c r="F63" s="14">
        <v>4</v>
      </c>
      <c r="G63" s="15">
        <v>2</v>
      </c>
      <c r="H63" s="15">
        <v>81306</v>
      </c>
      <c r="I63" s="15" t="s">
        <v>1505</v>
      </c>
      <c r="J63" s="30">
        <v>78925830</v>
      </c>
      <c r="K63" s="30" t="s">
        <v>2919</v>
      </c>
      <c r="L63" s="30" t="s">
        <v>2922</v>
      </c>
      <c r="M63" s="15">
        <v>229900</v>
      </c>
      <c r="N63" s="9">
        <f t="shared" si="1"/>
        <v>0.9</v>
      </c>
      <c r="O63" s="8">
        <f t="shared" si="2"/>
        <v>22990</v>
      </c>
      <c r="P63" s="9" t="str">
        <f t="shared" si="3"/>
        <v>PERCENTAGE</v>
      </c>
    </row>
    <row r="64" spans="1:16" x14ac:dyDescent="0.25">
      <c r="A64" s="6" t="str">
        <f t="shared" si="6"/>
        <v>2023 ALL D90</v>
      </c>
      <c r="B64" s="7">
        <f t="shared" si="4"/>
        <v>46114</v>
      </c>
      <c r="C64" s="7">
        <f t="shared" si="5"/>
        <v>46120</v>
      </c>
      <c r="D64" s="6">
        <v>3280</v>
      </c>
      <c r="E64" s="6">
        <v>337</v>
      </c>
      <c r="F64" s="14">
        <v>4</v>
      </c>
      <c r="G64" s="15">
        <v>2</v>
      </c>
      <c r="H64" s="15">
        <v>81306</v>
      </c>
      <c r="I64" s="15" t="s">
        <v>1505</v>
      </c>
      <c r="J64" s="30">
        <v>78925849</v>
      </c>
      <c r="K64" s="30" t="s">
        <v>2919</v>
      </c>
      <c r="L64" s="30" t="s">
        <v>2923</v>
      </c>
      <c r="M64" s="15">
        <v>239900</v>
      </c>
      <c r="N64" s="9">
        <f t="shared" si="1"/>
        <v>0.9</v>
      </c>
      <c r="O64" s="8">
        <f t="shared" si="2"/>
        <v>23990</v>
      </c>
      <c r="P64" s="9" t="str">
        <f t="shared" si="3"/>
        <v>PERCENTAGE</v>
      </c>
    </row>
    <row r="65" spans="1:16" x14ac:dyDescent="0.25">
      <c r="A65" s="6" t="str">
        <f t="shared" si="6"/>
        <v>2023 ALL D90</v>
      </c>
      <c r="B65" s="7">
        <f t="shared" si="4"/>
        <v>46114</v>
      </c>
      <c r="C65" s="7">
        <f t="shared" si="5"/>
        <v>46120</v>
      </c>
      <c r="D65" s="6">
        <v>3280</v>
      </c>
      <c r="E65" s="6">
        <v>337</v>
      </c>
      <c r="F65" s="14">
        <v>4</v>
      </c>
      <c r="G65" s="15">
        <v>2</v>
      </c>
      <c r="H65" s="15">
        <v>81306</v>
      </c>
      <c r="I65" s="15" t="s">
        <v>1505</v>
      </c>
      <c r="J65" s="30">
        <v>78925858</v>
      </c>
      <c r="K65" s="30" t="s">
        <v>2919</v>
      </c>
      <c r="L65" s="30" t="s">
        <v>2924</v>
      </c>
      <c r="M65" s="15">
        <v>239900</v>
      </c>
      <c r="N65" s="9">
        <f t="shared" si="1"/>
        <v>0.9</v>
      </c>
      <c r="O65" s="8">
        <f t="shared" si="2"/>
        <v>23990</v>
      </c>
      <c r="P65" s="9" t="str">
        <f t="shared" si="3"/>
        <v>PERCENTAGE</v>
      </c>
    </row>
    <row r="66" spans="1:16" x14ac:dyDescent="0.25">
      <c r="A66" s="6" t="str">
        <f t="shared" si="6"/>
        <v>2023 ALL D90</v>
      </c>
      <c r="B66" s="7">
        <f t="shared" si="4"/>
        <v>46114</v>
      </c>
      <c r="C66" s="7">
        <f t="shared" si="5"/>
        <v>46120</v>
      </c>
      <c r="D66" s="6">
        <v>3280</v>
      </c>
      <c r="E66" s="6">
        <v>337</v>
      </c>
      <c r="F66" s="14">
        <v>4</v>
      </c>
      <c r="G66" s="15">
        <v>2</v>
      </c>
      <c r="H66" s="15">
        <v>81306</v>
      </c>
      <c r="I66" s="15" t="s">
        <v>1505</v>
      </c>
      <c r="J66" s="30">
        <v>78925867</v>
      </c>
      <c r="K66" s="30" t="s">
        <v>2919</v>
      </c>
      <c r="L66" s="30" t="s">
        <v>2925</v>
      </c>
      <c r="M66" s="15">
        <v>239900</v>
      </c>
      <c r="N66" s="9">
        <f t="shared" si="1"/>
        <v>0.9</v>
      </c>
      <c r="O66" s="8">
        <f t="shared" si="2"/>
        <v>23990</v>
      </c>
      <c r="P66" s="9" t="str">
        <f t="shared" si="3"/>
        <v>PERCENTAGE</v>
      </c>
    </row>
    <row r="67" spans="1:16" x14ac:dyDescent="0.25">
      <c r="A67" s="6" t="str">
        <f t="shared" si="6"/>
        <v>2023 ALL D90</v>
      </c>
      <c r="B67" s="7">
        <f t="shared" si="4"/>
        <v>46114</v>
      </c>
      <c r="C67" s="7">
        <f t="shared" si="5"/>
        <v>46120</v>
      </c>
      <c r="D67" s="6">
        <v>3280</v>
      </c>
      <c r="E67" s="6">
        <v>337</v>
      </c>
      <c r="F67" s="14">
        <v>4</v>
      </c>
      <c r="G67" s="15">
        <v>2</v>
      </c>
      <c r="H67" s="15">
        <v>81622</v>
      </c>
      <c r="I67" s="15" t="s">
        <v>1505</v>
      </c>
      <c r="J67" s="30">
        <v>76439637</v>
      </c>
      <c r="K67" s="30" t="s">
        <v>2737</v>
      </c>
      <c r="L67" s="30" t="s">
        <v>2738</v>
      </c>
      <c r="M67" s="15">
        <v>239900</v>
      </c>
      <c r="N67" s="9">
        <f t="shared" ref="N67:N130" si="7">N66</f>
        <v>0.9</v>
      </c>
      <c r="O67" s="8">
        <f t="shared" ref="O67:O130" si="8">M67-((90*M67)/100)</f>
        <v>23990</v>
      </c>
      <c r="P67" s="9" t="str">
        <f t="shared" ref="P67:P130" si="9">P66</f>
        <v>PERCENTAGE</v>
      </c>
    </row>
    <row r="68" spans="1:16" x14ac:dyDescent="0.25">
      <c r="A68" s="6" t="str">
        <f t="shared" si="6"/>
        <v>2023 ALL D90</v>
      </c>
      <c r="B68" s="7">
        <f t="shared" si="4"/>
        <v>46114</v>
      </c>
      <c r="C68" s="7">
        <f t="shared" si="5"/>
        <v>46120</v>
      </c>
      <c r="D68" s="6">
        <v>3280</v>
      </c>
      <c r="E68" s="6">
        <v>337</v>
      </c>
      <c r="F68" s="14">
        <v>4</v>
      </c>
      <c r="G68" s="15">
        <v>2</v>
      </c>
      <c r="H68" s="15">
        <v>81622</v>
      </c>
      <c r="I68" s="15" t="s">
        <v>1505</v>
      </c>
      <c r="J68" s="30">
        <v>76439646</v>
      </c>
      <c r="K68" s="30" t="s">
        <v>2737</v>
      </c>
      <c r="L68" s="30" t="s">
        <v>2739</v>
      </c>
      <c r="M68" s="15">
        <v>239900</v>
      </c>
      <c r="N68" s="9">
        <f t="shared" si="7"/>
        <v>0.9</v>
      </c>
      <c r="O68" s="8">
        <f t="shared" si="8"/>
        <v>23990</v>
      </c>
      <c r="P68" s="9" t="str">
        <f t="shared" si="9"/>
        <v>PERCENTAGE</v>
      </c>
    </row>
    <row r="69" spans="1:16" x14ac:dyDescent="0.25">
      <c r="A69" s="6" t="str">
        <f t="shared" si="6"/>
        <v>2023 ALL D90</v>
      </c>
      <c r="B69" s="7">
        <f t="shared" si="4"/>
        <v>46114</v>
      </c>
      <c r="C69" s="7">
        <f t="shared" si="5"/>
        <v>46120</v>
      </c>
      <c r="D69" s="6">
        <v>3280</v>
      </c>
      <c r="E69" s="6">
        <v>337</v>
      </c>
      <c r="F69" s="14">
        <v>4</v>
      </c>
      <c r="G69" s="15">
        <v>2</v>
      </c>
      <c r="H69" s="15">
        <v>81622</v>
      </c>
      <c r="I69" s="15" t="s">
        <v>1505</v>
      </c>
      <c r="J69" s="30">
        <v>76439655</v>
      </c>
      <c r="K69" s="30" t="s">
        <v>2737</v>
      </c>
      <c r="L69" s="30" t="s">
        <v>2740</v>
      </c>
      <c r="M69" s="15">
        <v>239900</v>
      </c>
      <c r="N69" s="9">
        <f t="shared" si="7"/>
        <v>0.9</v>
      </c>
      <c r="O69" s="8">
        <f t="shared" si="8"/>
        <v>23990</v>
      </c>
      <c r="P69" s="9" t="str">
        <f t="shared" si="9"/>
        <v>PERCENTAGE</v>
      </c>
    </row>
    <row r="70" spans="1:16" x14ac:dyDescent="0.25">
      <c r="A70" s="6" t="str">
        <f t="shared" si="6"/>
        <v>2023 ALL D90</v>
      </c>
      <c r="B70" s="7">
        <f t="shared" si="4"/>
        <v>46114</v>
      </c>
      <c r="C70" s="7">
        <f t="shared" si="5"/>
        <v>46120</v>
      </c>
      <c r="D70" s="6">
        <v>3280</v>
      </c>
      <c r="E70" s="6">
        <v>337</v>
      </c>
      <c r="F70" s="14">
        <v>4</v>
      </c>
      <c r="G70" s="15">
        <v>2</v>
      </c>
      <c r="H70" s="15">
        <v>81622</v>
      </c>
      <c r="I70" s="15" t="s">
        <v>1505</v>
      </c>
      <c r="J70" s="30">
        <v>76439664</v>
      </c>
      <c r="K70" s="30" t="s">
        <v>2737</v>
      </c>
      <c r="L70" s="30" t="s">
        <v>2741</v>
      </c>
      <c r="M70" s="15">
        <v>249900</v>
      </c>
      <c r="N70" s="9">
        <f t="shared" si="7"/>
        <v>0.9</v>
      </c>
      <c r="O70" s="8">
        <f t="shared" si="8"/>
        <v>24990</v>
      </c>
      <c r="P70" s="9" t="str">
        <f t="shared" si="9"/>
        <v>PERCENTAGE</v>
      </c>
    </row>
    <row r="71" spans="1:16" x14ac:dyDescent="0.25">
      <c r="A71" s="6" t="str">
        <f t="shared" si="6"/>
        <v>2023 ALL D90</v>
      </c>
      <c r="B71" s="7">
        <f t="shared" si="4"/>
        <v>46114</v>
      </c>
      <c r="C71" s="7">
        <f t="shared" si="5"/>
        <v>46120</v>
      </c>
      <c r="D71" s="6">
        <v>3280</v>
      </c>
      <c r="E71" s="6">
        <v>337</v>
      </c>
      <c r="F71" s="14">
        <v>4</v>
      </c>
      <c r="G71" s="15">
        <v>2</v>
      </c>
      <c r="H71" s="15">
        <v>81622</v>
      </c>
      <c r="I71" s="15" t="s">
        <v>1505</v>
      </c>
      <c r="J71" s="30">
        <v>76439673</v>
      </c>
      <c r="K71" s="30" t="s">
        <v>2737</v>
      </c>
      <c r="L71" s="30" t="s">
        <v>2742</v>
      </c>
      <c r="M71" s="15">
        <v>249900</v>
      </c>
      <c r="N71" s="9">
        <f t="shared" si="7"/>
        <v>0.9</v>
      </c>
      <c r="O71" s="8">
        <f t="shared" si="8"/>
        <v>24990</v>
      </c>
      <c r="P71" s="9" t="str">
        <f t="shared" si="9"/>
        <v>PERCENTAGE</v>
      </c>
    </row>
    <row r="72" spans="1:16" x14ac:dyDescent="0.25">
      <c r="A72" s="6" t="str">
        <f t="shared" si="6"/>
        <v>2023 ALL D90</v>
      </c>
      <c r="B72" s="7">
        <f t="shared" si="4"/>
        <v>46114</v>
      </c>
      <c r="C72" s="7">
        <f t="shared" si="5"/>
        <v>46120</v>
      </c>
      <c r="D72" s="6">
        <v>3280</v>
      </c>
      <c r="E72" s="6">
        <v>337</v>
      </c>
      <c r="F72" s="14">
        <v>4</v>
      </c>
      <c r="G72" s="15">
        <v>2</v>
      </c>
      <c r="H72" s="15">
        <v>81622</v>
      </c>
      <c r="I72" s="15" t="s">
        <v>1505</v>
      </c>
      <c r="J72" s="30">
        <v>76439682</v>
      </c>
      <c r="K72" s="30" t="s">
        <v>2737</v>
      </c>
      <c r="L72" s="30" t="s">
        <v>2743</v>
      </c>
      <c r="M72" s="15">
        <v>249900</v>
      </c>
      <c r="N72" s="9">
        <f t="shared" si="7"/>
        <v>0.9</v>
      </c>
      <c r="O72" s="8">
        <f t="shared" si="8"/>
        <v>24990</v>
      </c>
      <c r="P72" s="9" t="str">
        <f t="shared" si="9"/>
        <v>PERCENTAGE</v>
      </c>
    </row>
    <row r="73" spans="1:16" x14ac:dyDescent="0.25">
      <c r="A73" s="6" t="str">
        <f t="shared" si="6"/>
        <v>2023 ALL D90</v>
      </c>
      <c r="B73" s="7">
        <f t="shared" si="4"/>
        <v>46114</v>
      </c>
      <c r="C73" s="7">
        <f t="shared" si="5"/>
        <v>46120</v>
      </c>
      <c r="D73" s="6">
        <v>3280</v>
      </c>
      <c r="E73" s="6">
        <v>337</v>
      </c>
      <c r="F73" s="14">
        <v>4</v>
      </c>
      <c r="G73" s="15">
        <v>2</v>
      </c>
      <c r="H73" s="15">
        <v>81622</v>
      </c>
      <c r="I73" s="15" t="s">
        <v>1505</v>
      </c>
      <c r="J73" s="30">
        <v>78925518</v>
      </c>
      <c r="K73" s="30" t="s">
        <v>2884</v>
      </c>
      <c r="L73" s="30" t="s">
        <v>2885</v>
      </c>
      <c r="M73" s="15">
        <v>249900</v>
      </c>
      <c r="N73" s="9">
        <f t="shared" si="7"/>
        <v>0.9</v>
      </c>
      <c r="O73" s="8">
        <f t="shared" si="8"/>
        <v>24990</v>
      </c>
      <c r="P73" s="9" t="str">
        <f t="shared" si="9"/>
        <v>PERCENTAGE</v>
      </c>
    </row>
    <row r="74" spans="1:16" x14ac:dyDescent="0.25">
      <c r="A74" s="6" t="str">
        <f t="shared" si="6"/>
        <v>2023 ALL D90</v>
      </c>
      <c r="B74" s="7">
        <f t="shared" si="4"/>
        <v>46114</v>
      </c>
      <c r="C74" s="7">
        <f t="shared" si="5"/>
        <v>46120</v>
      </c>
      <c r="D74" s="6">
        <v>3280</v>
      </c>
      <c r="E74" s="6">
        <v>337</v>
      </c>
      <c r="F74" s="14">
        <v>4</v>
      </c>
      <c r="G74" s="15">
        <v>2</v>
      </c>
      <c r="H74" s="15">
        <v>81622</v>
      </c>
      <c r="I74" s="15" t="s">
        <v>1505</v>
      </c>
      <c r="J74" s="30">
        <v>78925527</v>
      </c>
      <c r="K74" s="30" t="s">
        <v>2884</v>
      </c>
      <c r="L74" s="30" t="s">
        <v>2886</v>
      </c>
      <c r="M74" s="15">
        <v>249900</v>
      </c>
      <c r="N74" s="9">
        <f t="shared" si="7"/>
        <v>0.9</v>
      </c>
      <c r="O74" s="8">
        <f t="shared" si="8"/>
        <v>24990</v>
      </c>
      <c r="P74" s="9" t="str">
        <f t="shared" si="9"/>
        <v>PERCENTAGE</v>
      </c>
    </row>
    <row r="75" spans="1:16" x14ac:dyDescent="0.25">
      <c r="A75" s="6" t="str">
        <f t="shared" si="6"/>
        <v>2023 ALL D90</v>
      </c>
      <c r="B75" s="7">
        <f t="shared" si="4"/>
        <v>46114</v>
      </c>
      <c r="C75" s="7">
        <f t="shared" si="5"/>
        <v>46120</v>
      </c>
      <c r="D75" s="6">
        <v>3280</v>
      </c>
      <c r="E75" s="6">
        <v>337</v>
      </c>
      <c r="F75" s="14">
        <v>4</v>
      </c>
      <c r="G75" s="15">
        <v>2</v>
      </c>
      <c r="H75" s="15">
        <v>81622</v>
      </c>
      <c r="I75" s="15" t="s">
        <v>1505</v>
      </c>
      <c r="J75" s="30">
        <v>78925536</v>
      </c>
      <c r="K75" s="30" t="s">
        <v>2884</v>
      </c>
      <c r="L75" s="30" t="s">
        <v>2887</v>
      </c>
      <c r="M75" s="15">
        <v>249900</v>
      </c>
      <c r="N75" s="9">
        <f t="shared" si="7"/>
        <v>0.9</v>
      </c>
      <c r="O75" s="8">
        <f t="shared" si="8"/>
        <v>24990</v>
      </c>
      <c r="P75" s="9" t="str">
        <f t="shared" si="9"/>
        <v>PERCENTAGE</v>
      </c>
    </row>
    <row r="76" spans="1:16" x14ac:dyDescent="0.25">
      <c r="A76" s="6" t="str">
        <f t="shared" si="6"/>
        <v>2023 ALL D90</v>
      </c>
      <c r="B76" s="7">
        <f t="shared" ref="B76:B139" si="10">B75</f>
        <v>46114</v>
      </c>
      <c r="C76" s="7">
        <f t="shared" ref="C76:C139" si="11">C75</f>
        <v>46120</v>
      </c>
      <c r="D76" s="6">
        <v>3280</v>
      </c>
      <c r="E76" s="6">
        <v>337</v>
      </c>
      <c r="F76" s="14">
        <v>4</v>
      </c>
      <c r="G76" s="15">
        <v>2</v>
      </c>
      <c r="H76" s="15">
        <v>81622</v>
      </c>
      <c r="I76" s="15" t="s">
        <v>1505</v>
      </c>
      <c r="J76" s="30">
        <v>78925545</v>
      </c>
      <c r="K76" s="30" t="s">
        <v>2884</v>
      </c>
      <c r="L76" s="30" t="s">
        <v>2888</v>
      </c>
      <c r="M76" s="15">
        <v>259900</v>
      </c>
      <c r="N76" s="9">
        <f t="shared" si="7"/>
        <v>0.9</v>
      </c>
      <c r="O76" s="8">
        <f t="shared" si="8"/>
        <v>25990</v>
      </c>
      <c r="P76" s="9" t="str">
        <f t="shared" si="9"/>
        <v>PERCENTAGE</v>
      </c>
    </row>
    <row r="77" spans="1:16" x14ac:dyDescent="0.25">
      <c r="A77" s="6" t="str">
        <f t="shared" ref="A77:A140" si="12">A76</f>
        <v>2023 ALL D90</v>
      </c>
      <c r="B77" s="7">
        <f t="shared" si="10"/>
        <v>46114</v>
      </c>
      <c r="C77" s="7">
        <f t="shared" si="11"/>
        <v>46120</v>
      </c>
      <c r="D77" s="6">
        <v>3280</v>
      </c>
      <c r="E77" s="6">
        <v>337</v>
      </c>
      <c r="F77" s="14">
        <v>4</v>
      </c>
      <c r="G77" s="15">
        <v>2</v>
      </c>
      <c r="H77" s="15">
        <v>81622</v>
      </c>
      <c r="I77" s="15" t="s">
        <v>1505</v>
      </c>
      <c r="J77" s="30">
        <v>78925554</v>
      </c>
      <c r="K77" s="30" t="s">
        <v>2884</v>
      </c>
      <c r="L77" s="30" t="s">
        <v>2889</v>
      </c>
      <c r="M77" s="15">
        <v>259900</v>
      </c>
      <c r="N77" s="9">
        <f t="shared" si="7"/>
        <v>0.9</v>
      </c>
      <c r="O77" s="8">
        <f t="shared" si="8"/>
        <v>25990</v>
      </c>
      <c r="P77" s="9" t="str">
        <f t="shared" si="9"/>
        <v>PERCENTAGE</v>
      </c>
    </row>
    <row r="78" spans="1:16" x14ac:dyDescent="0.25">
      <c r="A78" s="6" t="str">
        <f t="shared" si="12"/>
        <v>2023 ALL D90</v>
      </c>
      <c r="B78" s="7">
        <f t="shared" si="10"/>
        <v>46114</v>
      </c>
      <c r="C78" s="7">
        <f t="shared" si="11"/>
        <v>46120</v>
      </c>
      <c r="D78" s="6">
        <v>3280</v>
      </c>
      <c r="E78" s="6">
        <v>337</v>
      </c>
      <c r="F78" s="14">
        <v>4</v>
      </c>
      <c r="G78" s="15">
        <v>2</v>
      </c>
      <c r="H78" s="15">
        <v>81622</v>
      </c>
      <c r="I78" s="15" t="s">
        <v>1505</v>
      </c>
      <c r="J78" s="30">
        <v>78925563</v>
      </c>
      <c r="K78" s="30" t="s">
        <v>2884</v>
      </c>
      <c r="L78" s="30" t="s">
        <v>2890</v>
      </c>
      <c r="M78" s="15">
        <v>259900</v>
      </c>
      <c r="N78" s="9">
        <f t="shared" si="7"/>
        <v>0.9</v>
      </c>
      <c r="O78" s="8">
        <f t="shared" si="8"/>
        <v>25990</v>
      </c>
      <c r="P78" s="9" t="str">
        <f t="shared" si="9"/>
        <v>PERCENTAGE</v>
      </c>
    </row>
    <row r="79" spans="1:16" x14ac:dyDescent="0.25">
      <c r="A79" s="6" t="str">
        <f t="shared" si="12"/>
        <v>2023 ALL D90</v>
      </c>
      <c r="B79" s="7">
        <f t="shared" si="10"/>
        <v>46114</v>
      </c>
      <c r="C79" s="7">
        <f t="shared" si="11"/>
        <v>46120</v>
      </c>
      <c r="D79" s="6">
        <v>3280</v>
      </c>
      <c r="E79" s="6">
        <v>337</v>
      </c>
      <c r="F79" s="14">
        <v>4</v>
      </c>
      <c r="G79" s="15">
        <v>3</v>
      </c>
      <c r="H79" s="15">
        <v>81495</v>
      </c>
      <c r="I79" s="15" t="s">
        <v>1505</v>
      </c>
      <c r="J79" s="30">
        <v>79080661</v>
      </c>
      <c r="K79" s="30" t="s">
        <v>3399</v>
      </c>
      <c r="L79" s="30" t="s">
        <v>3435</v>
      </c>
      <c r="M79" s="15">
        <v>319900</v>
      </c>
      <c r="N79" s="9">
        <f t="shared" si="7"/>
        <v>0.9</v>
      </c>
      <c r="O79" s="8">
        <f t="shared" si="8"/>
        <v>31990</v>
      </c>
      <c r="P79" s="9" t="str">
        <f t="shared" si="9"/>
        <v>PERCENTAGE</v>
      </c>
    </row>
    <row r="80" spans="1:16" x14ac:dyDescent="0.25">
      <c r="A80" s="6" t="str">
        <f t="shared" si="12"/>
        <v>2023 ALL D90</v>
      </c>
      <c r="B80" s="7">
        <f t="shared" si="10"/>
        <v>46114</v>
      </c>
      <c r="C80" s="7">
        <f t="shared" si="11"/>
        <v>46120</v>
      </c>
      <c r="D80" s="6">
        <v>3280</v>
      </c>
      <c r="E80" s="6">
        <v>337</v>
      </c>
      <c r="F80" s="14">
        <v>4</v>
      </c>
      <c r="G80" s="15">
        <v>3</v>
      </c>
      <c r="H80" s="15">
        <v>81495</v>
      </c>
      <c r="I80" s="15" t="s">
        <v>1505</v>
      </c>
      <c r="J80" s="30">
        <v>79080670</v>
      </c>
      <c r="K80" s="30" t="s">
        <v>3399</v>
      </c>
      <c r="L80" s="30" t="s">
        <v>3436</v>
      </c>
      <c r="M80" s="15">
        <v>319900</v>
      </c>
      <c r="N80" s="9">
        <f t="shared" si="7"/>
        <v>0.9</v>
      </c>
      <c r="O80" s="8">
        <f t="shared" si="8"/>
        <v>31990</v>
      </c>
      <c r="P80" s="9" t="str">
        <f t="shared" si="9"/>
        <v>PERCENTAGE</v>
      </c>
    </row>
    <row r="81" spans="1:16" x14ac:dyDescent="0.25">
      <c r="A81" s="6" t="str">
        <f t="shared" si="12"/>
        <v>2023 ALL D90</v>
      </c>
      <c r="B81" s="7">
        <f t="shared" si="10"/>
        <v>46114</v>
      </c>
      <c r="C81" s="7">
        <f t="shared" si="11"/>
        <v>46120</v>
      </c>
      <c r="D81" s="6">
        <v>3280</v>
      </c>
      <c r="E81" s="6">
        <v>337</v>
      </c>
      <c r="F81" s="14">
        <v>4</v>
      </c>
      <c r="G81" s="15">
        <v>3</v>
      </c>
      <c r="H81" s="15">
        <v>81495</v>
      </c>
      <c r="I81" s="15" t="s">
        <v>1505</v>
      </c>
      <c r="J81" s="30">
        <v>79080689</v>
      </c>
      <c r="K81" s="30" t="s">
        <v>3399</v>
      </c>
      <c r="L81" s="30" t="s">
        <v>3437</v>
      </c>
      <c r="M81" s="15">
        <v>319900</v>
      </c>
      <c r="N81" s="9">
        <f t="shared" si="7"/>
        <v>0.9</v>
      </c>
      <c r="O81" s="8">
        <f t="shared" si="8"/>
        <v>31990</v>
      </c>
      <c r="P81" s="9" t="str">
        <f t="shared" si="9"/>
        <v>PERCENTAGE</v>
      </c>
    </row>
    <row r="82" spans="1:16" x14ac:dyDescent="0.25">
      <c r="A82" s="6" t="str">
        <f t="shared" si="12"/>
        <v>2023 ALL D90</v>
      </c>
      <c r="B82" s="7">
        <f t="shared" si="10"/>
        <v>46114</v>
      </c>
      <c r="C82" s="7">
        <f t="shared" si="11"/>
        <v>46120</v>
      </c>
      <c r="D82" s="6">
        <v>3280</v>
      </c>
      <c r="E82" s="6">
        <v>337</v>
      </c>
      <c r="F82" s="14">
        <v>4</v>
      </c>
      <c r="G82" s="15">
        <v>3</v>
      </c>
      <c r="H82" s="15">
        <v>81495</v>
      </c>
      <c r="I82" s="15" t="s">
        <v>1505</v>
      </c>
      <c r="J82" s="30">
        <v>79080698</v>
      </c>
      <c r="K82" s="30" t="s">
        <v>3399</v>
      </c>
      <c r="L82" s="30" t="s">
        <v>3438</v>
      </c>
      <c r="M82" s="15">
        <v>319900</v>
      </c>
      <c r="N82" s="9">
        <f t="shared" si="7"/>
        <v>0.9</v>
      </c>
      <c r="O82" s="8">
        <f t="shared" si="8"/>
        <v>31990</v>
      </c>
      <c r="P82" s="9" t="str">
        <f t="shared" si="9"/>
        <v>PERCENTAGE</v>
      </c>
    </row>
    <row r="83" spans="1:16" x14ac:dyDescent="0.25">
      <c r="A83" s="6" t="str">
        <f t="shared" si="12"/>
        <v>2023 ALL D90</v>
      </c>
      <c r="B83" s="7">
        <f t="shared" si="10"/>
        <v>46114</v>
      </c>
      <c r="C83" s="7">
        <f t="shared" si="11"/>
        <v>46120</v>
      </c>
      <c r="D83" s="6">
        <v>3280</v>
      </c>
      <c r="E83" s="6">
        <v>337</v>
      </c>
      <c r="F83" s="14">
        <v>4</v>
      </c>
      <c r="G83" s="15">
        <v>3</v>
      </c>
      <c r="H83" s="15">
        <v>81495</v>
      </c>
      <c r="I83" s="15" t="s">
        <v>1505</v>
      </c>
      <c r="J83" s="30">
        <v>79080705</v>
      </c>
      <c r="K83" s="30" t="s">
        <v>3399</v>
      </c>
      <c r="L83" s="30" t="s">
        <v>3439</v>
      </c>
      <c r="M83" s="15">
        <v>319900</v>
      </c>
      <c r="N83" s="9">
        <f t="shared" si="7"/>
        <v>0.9</v>
      </c>
      <c r="O83" s="8">
        <f t="shared" si="8"/>
        <v>31990</v>
      </c>
      <c r="P83" s="9" t="str">
        <f t="shared" si="9"/>
        <v>PERCENTAGE</v>
      </c>
    </row>
    <row r="84" spans="1:16" x14ac:dyDescent="0.25">
      <c r="A84" s="6" t="str">
        <f t="shared" si="12"/>
        <v>2023 ALL D90</v>
      </c>
      <c r="B84" s="7">
        <f t="shared" si="10"/>
        <v>46114</v>
      </c>
      <c r="C84" s="7">
        <f t="shared" si="11"/>
        <v>46120</v>
      </c>
      <c r="D84" s="6">
        <v>3280</v>
      </c>
      <c r="E84" s="6">
        <v>337</v>
      </c>
      <c r="F84" s="14">
        <v>4</v>
      </c>
      <c r="G84" s="15">
        <v>3</v>
      </c>
      <c r="H84" s="15">
        <v>81495</v>
      </c>
      <c r="I84" s="15" t="s">
        <v>1505</v>
      </c>
      <c r="J84" s="30">
        <v>79080714</v>
      </c>
      <c r="K84" s="30" t="s">
        <v>3399</v>
      </c>
      <c r="L84" s="30" t="s">
        <v>3440</v>
      </c>
      <c r="M84" s="15">
        <v>319900</v>
      </c>
      <c r="N84" s="9">
        <f t="shared" si="7"/>
        <v>0.9</v>
      </c>
      <c r="O84" s="8">
        <f t="shared" si="8"/>
        <v>31990</v>
      </c>
      <c r="P84" s="9" t="str">
        <f t="shared" si="9"/>
        <v>PERCENTAGE</v>
      </c>
    </row>
    <row r="85" spans="1:16" x14ac:dyDescent="0.25">
      <c r="A85" s="6" t="str">
        <f t="shared" si="12"/>
        <v>2023 ALL D90</v>
      </c>
      <c r="B85" s="7">
        <f t="shared" si="10"/>
        <v>46114</v>
      </c>
      <c r="C85" s="7">
        <f t="shared" si="11"/>
        <v>46120</v>
      </c>
      <c r="D85" s="6">
        <v>3280</v>
      </c>
      <c r="E85" s="6">
        <v>337</v>
      </c>
      <c r="F85" s="14">
        <v>4</v>
      </c>
      <c r="G85" s="15">
        <v>3</v>
      </c>
      <c r="H85" s="15">
        <v>81495</v>
      </c>
      <c r="I85" s="15" t="s">
        <v>1505</v>
      </c>
      <c r="J85" s="30">
        <v>79080849</v>
      </c>
      <c r="K85" s="30" t="s">
        <v>3402</v>
      </c>
      <c r="L85" s="30" t="s">
        <v>3454</v>
      </c>
      <c r="M85" s="15">
        <v>319900</v>
      </c>
      <c r="N85" s="9">
        <f t="shared" si="7"/>
        <v>0.9</v>
      </c>
      <c r="O85" s="8">
        <f t="shared" si="8"/>
        <v>31990</v>
      </c>
      <c r="P85" s="9" t="str">
        <f t="shared" si="9"/>
        <v>PERCENTAGE</v>
      </c>
    </row>
    <row r="86" spans="1:16" x14ac:dyDescent="0.25">
      <c r="A86" s="6" t="str">
        <f t="shared" si="12"/>
        <v>2023 ALL D90</v>
      </c>
      <c r="B86" s="7">
        <f t="shared" si="10"/>
        <v>46114</v>
      </c>
      <c r="C86" s="7">
        <f t="shared" si="11"/>
        <v>46120</v>
      </c>
      <c r="D86" s="6">
        <v>3280</v>
      </c>
      <c r="E86" s="6">
        <v>337</v>
      </c>
      <c r="F86" s="14">
        <v>4</v>
      </c>
      <c r="G86" s="15">
        <v>3</v>
      </c>
      <c r="H86" s="15">
        <v>81495</v>
      </c>
      <c r="I86" s="15" t="s">
        <v>1505</v>
      </c>
      <c r="J86" s="30">
        <v>79080858</v>
      </c>
      <c r="K86" s="30" t="s">
        <v>3402</v>
      </c>
      <c r="L86" s="30" t="s">
        <v>3455</v>
      </c>
      <c r="M86" s="15">
        <v>319900</v>
      </c>
      <c r="N86" s="9">
        <f t="shared" si="7"/>
        <v>0.9</v>
      </c>
      <c r="O86" s="8">
        <f t="shared" si="8"/>
        <v>31990</v>
      </c>
      <c r="P86" s="9" t="str">
        <f t="shared" si="9"/>
        <v>PERCENTAGE</v>
      </c>
    </row>
    <row r="87" spans="1:16" x14ac:dyDescent="0.25">
      <c r="A87" s="6" t="str">
        <f t="shared" si="12"/>
        <v>2023 ALL D90</v>
      </c>
      <c r="B87" s="7">
        <f t="shared" si="10"/>
        <v>46114</v>
      </c>
      <c r="C87" s="7">
        <f t="shared" si="11"/>
        <v>46120</v>
      </c>
      <c r="D87" s="6">
        <v>3280</v>
      </c>
      <c r="E87" s="6">
        <v>337</v>
      </c>
      <c r="F87" s="14">
        <v>4</v>
      </c>
      <c r="G87" s="15">
        <v>3</v>
      </c>
      <c r="H87" s="15">
        <v>81495</v>
      </c>
      <c r="I87" s="15" t="s">
        <v>1505</v>
      </c>
      <c r="J87" s="30">
        <v>79080867</v>
      </c>
      <c r="K87" s="30" t="s">
        <v>3402</v>
      </c>
      <c r="L87" s="30" t="s">
        <v>3456</v>
      </c>
      <c r="M87" s="15">
        <v>319900</v>
      </c>
      <c r="N87" s="9">
        <f t="shared" si="7"/>
        <v>0.9</v>
      </c>
      <c r="O87" s="8">
        <f t="shared" si="8"/>
        <v>31990</v>
      </c>
      <c r="P87" s="9" t="str">
        <f t="shared" si="9"/>
        <v>PERCENTAGE</v>
      </c>
    </row>
    <row r="88" spans="1:16" x14ac:dyDescent="0.25">
      <c r="A88" s="6" t="str">
        <f t="shared" si="12"/>
        <v>2023 ALL D90</v>
      </c>
      <c r="B88" s="7">
        <f t="shared" si="10"/>
        <v>46114</v>
      </c>
      <c r="C88" s="7">
        <f t="shared" si="11"/>
        <v>46120</v>
      </c>
      <c r="D88" s="6">
        <v>3280</v>
      </c>
      <c r="E88" s="6">
        <v>337</v>
      </c>
      <c r="F88" s="14">
        <v>4</v>
      </c>
      <c r="G88" s="15">
        <v>3</v>
      </c>
      <c r="H88" s="15">
        <v>81495</v>
      </c>
      <c r="I88" s="15" t="s">
        <v>1505</v>
      </c>
      <c r="J88" s="30">
        <v>79080876</v>
      </c>
      <c r="K88" s="30" t="s">
        <v>3402</v>
      </c>
      <c r="L88" s="30" t="s">
        <v>3457</v>
      </c>
      <c r="M88" s="15">
        <v>319900</v>
      </c>
      <c r="N88" s="9">
        <f t="shared" si="7"/>
        <v>0.9</v>
      </c>
      <c r="O88" s="8">
        <f t="shared" si="8"/>
        <v>31990</v>
      </c>
      <c r="P88" s="9" t="str">
        <f t="shared" si="9"/>
        <v>PERCENTAGE</v>
      </c>
    </row>
    <row r="89" spans="1:16" x14ac:dyDescent="0.25">
      <c r="A89" s="6" t="str">
        <f t="shared" si="12"/>
        <v>2023 ALL D90</v>
      </c>
      <c r="B89" s="7">
        <f t="shared" si="10"/>
        <v>46114</v>
      </c>
      <c r="C89" s="7">
        <f t="shared" si="11"/>
        <v>46120</v>
      </c>
      <c r="D89" s="6">
        <v>3280</v>
      </c>
      <c r="E89" s="6">
        <v>337</v>
      </c>
      <c r="F89" s="14">
        <v>4</v>
      </c>
      <c r="G89" s="15">
        <v>3</v>
      </c>
      <c r="H89" s="15">
        <v>81495</v>
      </c>
      <c r="I89" s="15" t="s">
        <v>1505</v>
      </c>
      <c r="J89" s="30">
        <v>79080885</v>
      </c>
      <c r="K89" s="30" t="s">
        <v>3402</v>
      </c>
      <c r="L89" s="30" t="s">
        <v>3458</v>
      </c>
      <c r="M89" s="15">
        <v>319900</v>
      </c>
      <c r="N89" s="9">
        <f t="shared" si="7"/>
        <v>0.9</v>
      </c>
      <c r="O89" s="8">
        <f t="shared" si="8"/>
        <v>31990</v>
      </c>
      <c r="P89" s="9" t="str">
        <f t="shared" si="9"/>
        <v>PERCENTAGE</v>
      </c>
    </row>
    <row r="90" spans="1:16" x14ac:dyDescent="0.25">
      <c r="A90" s="6" t="str">
        <f t="shared" si="12"/>
        <v>2023 ALL D90</v>
      </c>
      <c r="B90" s="7">
        <f t="shared" si="10"/>
        <v>46114</v>
      </c>
      <c r="C90" s="7">
        <f t="shared" si="11"/>
        <v>46120</v>
      </c>
      <c r="D90" s="6">
        <v>3280</v>
      </c>
      <c r="E90" s="6">
        <v>337</v>
      </c>
      <c r="F90" s="14">
        <v>4</v>
      </c>
      <c r="G90" s="15">
        <v>3</v>
      </c>
      <c r="H90" s="15">
        <v>81495</v>
      </c>
      <c r="I90" s="15" t="s">
        <v>1505</v>
      </c>
      <c r="J90" s="30">
        <v>79080894</v>
      </c>
      <c r="K90" s="30" t="s">
        <v>3402</v>
      </c>
      <c r="L90" s="30" t="s">
        <v>3459</v>
      </c>
      <c r="M90" s="15">
        <v>319900</v>
      </c>
      <c r="N90" s="9">
        <f t="shared" si="7"/>
        <v>0.9</v>
      </c>
      <c r="O90" s="8">
        <f t="shared" si="8"/>
        <v>31990</v>
      </c>
      <c r="P90" s="9" t="str">
        <f t="shared" si="9"/>
        <v>PERCENTAGE</v>
      </c>
    </row>
    <row r="91" spans="1:16" x14ac:dyDescent="0.25">
      <c r="A91" s="6" t="str">
        <f t="shared" si="12"/>
        <v>2023 ALL D90</v>
      </c>
      <c r="B91" s="7">
        <f t="shared" si="10"/>
        <v>46114</v>
      </c>
      <c r="C91" s="7">
        <f t="shared" si="11"/>
        <v>46120</v>
      </c>
      <c r="D91" s="6">
        <v>3280</v>
      </c>
      <c r="E91" s="6">
        <v>337</v>
      </c>
      <c r="F91" s="14">
        <v>4</v>
      </c>
      <c r="G91" s="15">
        <v>3</v>
      </c>
      <c r="H91" s="15">
        <v>81495</v>
      </c>
      <c r="I91" s="15" t="s">
        <v>1505</v>
      </c>
      <c r="J91" s="30">
        <v>79356337</v>
      </c>
      <c r="K91" s="30" t="s">
        <v>3402</v>
      </c>
      <c r="L91" s="30" t="s">
        <v>3460</v>
      </c>
      <c r="M91" s="15">
        <v>319900</v>
      </c>
      <c r="N91" s="9">
        <f t="shared" si="7"/>
        <v>0.9</v>
      </c>
      <c r="O91" s="8">
        <f t="shared" si="8"/>
        <v>31990</v>
      </c>
      <c r="P91" s="9" t="str">
        <f t="shared" si="9"/>
        <v>PERCENTAGE</v>
      </c>
    </row>
    <row r="92" spans="1:16" x14ac:dyDescent="0.25">
      <c r="A92" s="6" t="str">
        <f t="shared" si="12"/>
        <v>2023 ALL D90</v>
      </c>
      <c r="B92" s="7">
        <f t="shared" si="10"/>
        <v>46114</v>
      </c>
      <c r="C92" s="7">
        <f t="shared" si="11"/>
        <v>46120</v>
      </c>
      <c r="D92" s="6">
        <v>3280</v>
      </c>
      <c r="E92" s="6">
        <v>337</v>
      </c>
      <c r="F92" s="14">
        <v>4</v>
      </c>
      <c r="G92" s="15">
        <v>3</v>
      </c>
      <c r="H92" s="15">
        <v>81490</v>
      </c>
      <c r="I92" s="15" t="s">
        <v>1505</v>
      </c>
      <c r="J92" s="30">
        <v>79081384</v>
      </c>
      <c r="K92" s="30" t="s">
        <v>3411</v>
      </c>
      <c r="L92" s="30" t="s">
        <v>3513</v>
      </c>
      <c r="M92" s="15">
        <v>319900</v>
      </c>
      <c r="N92" s="9">
        <f t="shared" si="7"/>
        <v>0.9</v>
      </c>
      <c r="O92" s="8">
        <f t="shared" si="8"/>
        <v>31990</v>
      </c>
      <c r="P92" s="9" t="str">
        <f t="shared" si="9"/>
        <v>PERCENTAGE</v>
      </c>
    </row>
    <row r="93" spans="1:16" x14ac:dyDescent="0.25">
      <c r="A93" s="6" t="str">
        <f t="shared" si="12"/>
        <v>2023 ALL D90</v>
      </c>
      <c r="B93" s="7">
        <f t="shared" si="10"/>
        <v>46114</v>
      </c>
      <c r="C93" s="7">
        <f t="shared" si="11"/>
        <v>46120</v>
      </c>
      <c r="D93" s="6">
        <v>3280</v>
      </c>
      <c r="E93" s="6">
        <v>337</v>
      </c>
      <c r="F93" s="14">
        <v>4</v>
      </c>
      <c r="G93" s="15">
        <v>3</v>
      </c>
      <c r="H93" s="15">
        <v>81490</v>
      </c>
      <c r="I93" s="15" t="s">
        <v>1505</v>
      </c>
      <c r="J93" s="30">
        <v>79081393</v>
      </c>
      <c r="K93" s="30" t="s">
        <v>3411</v>
      </c>
      <c r="L93" s="30" t="s">
        <v>3514</v>
      </c>
      <c r="M93" s="15">
        <v>319900</v>
      </c>
      <c r="N93" s="9">
        <f t="shared" si="7"/>
        <v>0.9</v>
      </c>
      <c r="O93" s="8">
        <f t="shared" si="8"/>
        <v>31990</v>
      </c>
      <c r="P93" s="9" t="str">
        <f t="shared" si="9"/>
        <v>PERCENTAGE</v>
      </c>
    </row>
    <row r="94" spans="1:16" x14ac:dyDescent="0.25">
      <c r="A94" s="6" t="str">
        <f t="shared" si="12"/>
        <v>2023 ALL D90</v>
      </c>
      <c r="B94" s="7">
        <f t="shared" si="10"/>
        <v>46114</v>
      </c>
      <c r="C94" s="7">
        <f t="shared" si="11"/>
        <v>46120</v>
      </c>
      <c r="D94" s="6">
        <v>3280</v>
      </c>
      <c r="E94" s="6">
        <v>337</v>
      </c>
      <c r="F94" s="14">
        <v>4</v>
      </c>
      <c r="G94" s="15">
        <v>3</v>
      </c>
      <c r="H94" s="15">
        <v>81490</v>
      </c>
      <c r="I94" s="15" t="s">
        <v>1505</v>
      </c>
      <c r="J94" s="30">
        <v>79081400</v>
      </c>
      <c r="K94" s="30" t="s">
        <v>3411</v>
      </c>
      <c r="L94" s="30" t="s">
        <v>3515</v>
      </c>
      <c r="M94" s="15">
        <v>319900</v>
      </c>
      <c r="N94" s="9">
        <f t="shared" si="7"/>
        <v>0.9</v>
      </c>
      <c r="O94" s="8">
        <f t="shared" si="8"/>
        <v>31990</v>
      </c>
      <c r="P94" s="9" t="str">
        <f t="shared" si="9"/>
        <v>PERCENTAGE</v>
      </c>
    </row>
    <row r="95" spans="1:16" x14ac:dyDescent="0.25">
      <c r="A95" s="6" t="str">
        <f t="shared" si="12"/>
        <v>2023 ALL D90</v>
      </c>
      <c r="B95" s="7">
        <f t="shared" si="10"/>
        <v>46114</v>
      </c>
      <c r="C95" s="7">
        <f t="shared" si="11"/>
        <v>46120</v>
      </c>
      <c r="D95" s="6">
        <v>3280</v>
      </c>
      <c r="E95" s="6">
        <v>337</v>
      </c>
      <c r="F95" s="14">
        <v>4</v>
      </c>
      <c r="G95" s="15">
        <v>3</v>
      </c>
      <c r="H95" s="15">
        <v>81490</v>
      </c>
      <c r="I95" s="15" t="s">
        <v>1505</v>
      </c>
      <c r="J95" s="30">
        <v>79081419</v>
      </c>
      <c r="K95" s="30" t="s">
        <v>3411</v>
      </c>
      <c r="L95" s="30" t="s">
        <v>3516</v>
      </c>
      <c r="M95" s="15">
        <v>319900</v>
      </c>
      <c r="N95" s="9">
        <f t="shared" si="7"/>
        <v>0.9</v>
      </c>
      <c r="O95" s="8">
        <f t="shared" si="8"/>
        <v>31990</v>
      </c>
      <c r="P95" s="9" t="str">
        <f t="shared" si="9"/>
        <v>PERCENTAGE</v>
      </c>
    </row>
    <row r="96" spans="1:16" x14ac:dyDescent="0.25">
      <c r="A96" s="6" t="str">
        <f t="shared" si="12"/>
        <v>2023 ALL D90</v>
      </c>
      <c r="B96" s="7">
        <f t="shared" si="10"/>
        <v>46114</v>
      </c>
      <c r="C96" s="7">
        <f t="shared" si="11"/>
        <v>46120</v>
      </c>
      <c r="D96" s="6">
        <v>3280</v>
      </c>
      <c r="E96" s="6">
        <v>337</v>
      </c>
      <c r="F96" s="14">
        <v>4</v>
      </c>
      <c r="G96" s="15">
        <v>3</v>
      </c>
      <c r="H96" s="15">
        <v>81490</v>
      </c>
      <c r="I96" s="15" t="s">
        <v>1505</v>
      </c>
      <c r="J96" s="30">
        <v>79081428</v>
      </c>
      <c r="K96" s="30" t="s">
        <v>3411</v>
      </c>
      <c r="L96" s="30" t="s">
        <v>3517</v>
      </c>
      <c r="M96" s="15">
        <v>319900</v>
      </c>
      <c r="N96" s="9">
        <f t="shared" si="7"/>
        <v>0.9</v>
      </c>
      <c r="O96" s="8">
        <f t="shared" si="8"/>
        <v>31990</v>
      </c>
      <c r="P96" s="9" t="str">
        <f t="shared" si="9"/>
        <v>PERCENTAGE</v>
      </c>
    </row>
    <row r="97" spans="1:16" x14ac:dyDescent="0.25">
      <c r="A97" s="6" t="str">
        <f t="shared" si="12"/>
        <v>2023 ALL D90</v>
      </c>
      <c r="B97" s="7">
        <f t="shared" si="10"/>
        <v>46114</v>
      </c>
      <c r="C97" s="7">
        <f t="shared" si="11"/>
        <v>46120</v>
      </c>
      <c r="D97" s="6">
        <v>3280</v>
      </c>
      <c r="E97" s="6">
        <v>337</v>
      </c>
      <c r="F97" s="14">
        <v>4</v>
      </c>
      <c r="G97" s="15">
        <v>3</v>
      </c>
      <c r="H97" s="15">
        <v>81490</v>
      </c>
      <c r="I97" s="15" t="s">
        <v>1505</v>
      </c>
      <c r="J97" s="30">
        <v>79081437</v>
      </c>
      <c r="K97" s="30" t="s">
        <v>3411</v>
      </c>
      <c r="L97" s="30" t="s">
        <v>3518</v>
      </c>
      <c r="M97" s="15">
        <v>319900</v>
      </c>
      <c r="N97" s="9">
        <f t="shared" si="7"/>
        <v>0.9</v>
      </c>
      <c r="O97" s="8">
        <f t="shared" si="8"/>
        <v>31990</v>
      </c>
      <c r="P97" s="9" t="str">
        <f t="shared" si="9"/>
        <v>PERCENTAGE</v>
      </c>
    </row>
    <row r="98" spans="1:16" x14ac:dyDescent="0.25">
      <c r="A98" s="6" t="str">
        <f t="shared" si="12"/>
        <v>2023 ALL D90</v>
      </c>
      <c r="B98" s="7">
        <f t="shared" si="10"/>
        <v>46114</v>
      </c>
      <c r="C98" s="7">
        <f t="shared" si="11"/>
        <v>46120</v>
      </c>
      <c r="D98" s="6">
        <v>3280</v>
      </c>
      <c r="E98" s="6">
        <v>337</v>
      </c>
      <c r="F98" s="14">
        <v>4</v>
      </c>
      <c r="G98" s="15">
        <v>3</v>
      </c>
      <c r="H98" s="15">
        <v>81490</v>
      </c>
      <c r="I98" s="15" t="s">
        <v>1505</v>
      </c>
      <c r="J98" s="30">
        <v>79356373</v>
      </c>
      <c r="K98" s="30" t="s">
        <v>3411</v>
      </c>
      <c r="L98" s="30" t="s">
        <v>3519</v>
      </c>
      <c r="M98" s="15">
        <v>319900</v>
      </c>
      <c r="N98" s="9">
        <f t="shared" si="7"/>
        <v>0.9</v>
      </c>
      <c r="O98" s="8">
        <f t="shared" si="8"/>
        <v>31990</v>
      </c>
      <c r="P98" s="9" t="str">
        <f t="shared" si="9"/>
        <v>PERCENTAGE</v>
      </c>
    </row>
    <row r="99" spans="1:16" x14ac:dyDescent="0.25">
      <c r="A99" s="6" t="str">
        <f t="shared" si="12"/>
        <v>2023 ALL D90</v>
      </c>
      <c r="B99" s="7">
        <f t="shared" si="10"/>
        <v>46114</v>
      </c>
      <c r="C99" s="7">
        <f t="shared" si="11"/>
        <v>46120</v>
      </c>
      <c r="D99" s="6">
        <v>3280</v>
      </c>
      <c r="E99" s="6">
        <v>337</v>
      </c>
      <c r="F99" s="14">
        <v>4</v>
      </c>
      <c r="G99" s="15">
        <v>3</v>
      </c>
      <c r="H99" s="15">
        <v>81490</v>
      </c>
      <c r="I99" s="15" t="s">
        <v>1505</v>
      </c>
      <c r="J99" s="30">
        <v>79081508</v>
      </c>
      <c r="K99" s="30" t="s">
        <v>3412</v>
      </c>
      <c r="L99" s="30" t="s">
        <v>3520</v>
      </c>
      <c r="M99" s="15">
        <v>319900</v>
      </c>
      <c r="N99" s="9">
        <f t="shared" si="7"/>
        <v>0.9</v>
      </c>
      <c r="O99" s="8">
        <f t="shared" si="8"/>
        <v>31990</v>
      </c>
      <c r="P99" s="9" t="str">
        <f t="shared" si="9"/>
        <v>PERCENTAGE</v>
      </c>
    </row>
    <row r="100" spans="1:16" x14ac:dyDescent="0.25">
      <c r="A100" s="6" t="str">
        <f t="shared" si="12"/>
        <v>2023 ALL D90</v>
      </c>
      <c r="B100" s="7">
        <f t="shared" si="10"/>
        <v>46114</v>
      </c>
      <c r="C100" s="7">
        <f t="shared" si="11"/>
        <v>46120</v>
      </c>
      <c r="D100" s="6">
        <v>3280</v>
      </c>
      <c r="E100" s="6">
        <v>337</v>
      </c>
      <c r="F100" s="14">
        <v>4</v>
      </c>
      <c r="G100" s="15">
        <v>3</v>
      </c>
      <c r="H100" s="15">
        <v>81490</v>
      </c>
      <c r="I100" s="15" t="s">
        <v>1505</v>
      </c>
      <c r="J100" s="30">
        <v>79081517</v>
      </c>
      <c r="K100" s="30" t="s">
        <v>3412</v>
      </c>
      <c r="L100" s="30" t="s">
        <v>3521</v>
      </c>
      <c r="M100" s="15">
        <v>319900</v>
      </c>
      <c r="N100" s="9">
        <f t="shared" si="7"/>
        <v>0.9</v>
      </c>
      <c r="O100" s="8">
        <f t="shared" si="8"/>
        <v>31990</v>
      </c>
      <c r="P100" s="9" t="str">
        <f t="shared" si="9"/>
        <v>PERCENTAGE</v>
      </c>
    </row>
    <row r="101" spans="1:16" x14ac:dyDescent="0.25">
      <c r="A101" s="6" t="str">
        <f t="shared" si="12"/>
        <v>2023 ALL D90</v>
      </c>
      <c r="B101" s="7">
        <f t="shared" si="10"/>
        <v>46114</v>
      </c>
      <c r="C101" s="7">
        <f t="shared" si="11"/>
        <v>46120</v>
      </c>
      <c r="D101" s="6">
        <v>3280</v>
      </c>
      <c r="E101" s="6">
        <v>337</v>
      </c>
      <c r="F101" s="14">
        <v>4</v>
      </c>
      <c r="G101" s="15">
        <v>3</v>
      </c>
      <c r="H101" s="15">
        <v>81490</v>
      </c>
      <c r="I101" s="15" t="s">
        <v>1505</v>
      </c>
      <c r="J101" s="30">
        <v>79081526</v>
      </c>
      <c r="K101" s="30" t="s">
        <v>3412</v>
      </c>
      <c r="L101" s="30" t="s">
        <v>3522</v>
      </c>
      <c r="M101" s="15">
        <v>319900</v>
      </c>
      <c r="N101" s="9">
        <f t="shared" si="7"/>
        <v>0.9</v>
      </c>
      <c r="O101" s="8">
        <f t="shared" si="8"/>
        <v>31990</v>
      </c>
      <c r="P101" s="9" t="str">
        <f t="shared" si="9"/>
        <v>PERCENTAGE</v>
      </c>
    </row>
    <row r="102" spans="1:16" x14ac:dyDescent="0.25">
      <c r="A102" s="6" t="str">
        <f t="shared" si="12"/>
        <v>2023 ALL D90</v>
      </c>
      <c r="B102" s="7">
        <f t="shared" si="10"/>
        <v>46114</v>
      </c>
      <c r="C102" s="7">
        <f t="shared" si="11"/>
        <v>46120</v>
      </c>
      <c r="D102" s="6">
        <v>3280</v>
      </c>
      <c r="E102" s="6">
        <v>337</v>
      </c>
      <c r="F102" s="14">
        <v>4</v>
      </c>
      <c r="G102" s="15">
        <v>3</v>
      </c>
      <c r="H102" s="15">
        <v>81490</v>
      </c>
      <c r="I102" s="15" t="s">
        <v>1505</v>
      </c>
      <c r="J102" s="30">
        <v>79081535</v>
      </c>
      <c r="K102" s="30" t="s">
        <v>3412</v>
      </c>
      <c r="L102" s="30" t="s">
        <v>3523</v>
      </c>
      <c r="M102" s="15">
        <v>319900</v>
      </c>
      <c r="N102" s="9">
        <f t="shared" si="7"/>
        <v>0.9</v>
      </c>
      <c r="O102" s="8">
        <f t="shared" si="8"/>
        <v>31990</v>
      </c>
      <c r="P102" s="9" t="str">
        <f t="shared" si="9"/>
        <v>PERCENTAGE</v>
      </c>
    </row>
    <row r="103" spans="1:16" x14ac:dyDescent="0.25">
      <c r="A103" s="6" t="str">
        <f t="shared" si="12"/>
        <v>2023 ALL D90</v>
      </c>
      <c r="B103" s="7">
        <f t="shared" si="10"/>
        <v>46114</v>
      </c>
      <c r="C103" s="7">
        <f t="shared" si="11"/>
        <v>46120</v>
      </c>
      <c r="D103" s="6">
        <v>3280</v>
      </c>
      <c r="E103" s="6">
        <v>337</v>
      </c>
      <c r="F103" s="14">
        <v>4</v>
      </c>
      <c r="G103" s="15">
        <v>3</v>
      </c>
      <c r="H103" s="15">
        <v>81490</v>
      </c>
      <c r="I103" s="15" t="s">
        <v>1505</v>
      </c>
      <c r="J103" s="30">
        <v>79081544</v>
      </c>
      <c r="K103" s="30" t="s">
        <v>3412</v>
      </c>
      <c r="L103" s="30" t="s">
        <v>3524</v>
      </c>
      <c r="M103" s="15">
        <v>319900</v>
      </c>
      <c r="N103" s="9">
        <f t="shared" si="7"/>
        <v>0.9</v>
      </c>
      <c r="O103" s="8">
        <f t="shared" si="8"/>
        <v>31990</v>
      </c>
      <c r="P103" s="9" t="str">
        <f t="shared" si="9"/>
        <v>PERCENTAGE</v>
      </c>
    </row>
    <row r="104" spans="1:16" x14ac:dyDescent="0.25">
      <c r="A104" s="6" t="str">
        <f t="shared" si="12"/>
        <v>2023 ALL D90</v>
      </c>
      <c r="B104" s="7">
        <f t="shared" si="10"/>
        <v>46114</v>
      </c>
      <c r="C104" s="7">
        <f t="shared" si="11"/>
        <v>46120</v>
      </c>
      <c r="D104" s="6">
        <v>3280</v>
      </c>
      <c r="E104" s="6">
        <v>337</v>
      </c>
      <c r="F104" s="14">
        <v>4</v>
      </c>
      <c r="G104" s="15">
        <v>3</v>
      </c>
      <c r="H104" s="15">
        <v>81490</v>
      </c>
      <c r="I104" s="15" t="s">
        <v>1505</v>
      </c>
      <c r="J104" s="30">
        <v>79081553</v>
      </c>
      <c r="K104" s="30" t="s">
        <v>3412</v>
      </c>
      <c r="L104" s="30" t="s">
        <v>3525</v>
      </c>
      <c r="M104" s="15">
        <v>319900</v>
      </c>
      <c r="N104" s="9">
        <f t="shared" si="7"/>
        <v>0.9</v>
      </c>
      <c r="O104" s="8">
        <f t="shared" si="8"/>
        <v>31990</v>
      </c>
      <c r="P104" s="9" t="str">
        <f t="shared" si="9"/>
        <v>PERCENTAGE</v>
      </c>
    </row>
    <row r="105" spans="1:16" x14ac:dyDescent="0.25">
      <c r="A105" s="6" t="str">
        <f t="shared" si="12"/>
        <v>2023 ALL D90</v>
      </c>
      <c r="B105" s="7">
        <f t="shared" si="10"/>
        <v>46114</v>
      </c>
      <c r="C105" s="7">
        <f t="shared" si="11"/>
        <v>46120</v>
      </c>
      <c r="D105" s="6">
        <v>3280</v>
      </c>
      <c r="E105" s="6">
        <v>337</v>
      </c>
      <c r="F105" s="14">
        <v>4</v>
      </c>
      <c r="G105" s="15">
        <v>3</v>
      </c>
      <c r="H105" s="15">
        <v>81490</v>
      </c>
      <c r="I105" s="15" t="s">
        <v>1505</v>
      </c>
      <c r="J105" s="30">
        <v>79356391</v>
      </c>
      <c r="K105" s="30" t="s">
        <v>3412</v>
      </c>
      <c r="L105" s="30" t="s">
        <v>3526</v>
      </c>
      <c r="M105" s="15">
        <v>319900</v>
      </c>
      <c r="N105" s="9">
        <f t="shared" si="7"/>
        <v>0.9</v>
      </c>
      <c r="O105" s="8">
        <f t="shared" si="8"/>
        <v>31990</v>
      </c>
      <c r="P105" s="9" t="str">
        <f t="shared" si="9"/>
        <v>PERCENTAGE</v>
      </c>
    </row>
    <row r="106" spans="1:16" x14ac:dyDescent="0.25">
      <c r="A106" s="6" t="str">
        <f t="shared" si="12"/>
        <v>2023 ALL D90</v>
      </c>
      <c r="B106" s="7">
        <f t="shared" si="10"/>
        <v>46114</v>
      </c>
      <c r="C106" s="7">
        <f t="shared" si="11"/>
        <v>46120</v>
      </c>
      <c r="D106" s="6">
        <v>3280</v>
      </c>
      <c r="E106" s="6">
        <v>337</v>
      </c>
      <c r="F106" s="14">
        <v>4</v>
      </c>
      <c r="G106" s="15">
        <v>3</v>
      </c>
      <c r="H106" s="15">
        <v>81495</v>
      </c>
      <c r="I106" s="15" t="s">
        <v>1505</v>
      </c>
      <c r="J106" s="30">
        <v>79080723</v>
      </c>
      <c r="K106" s="30" t="s">
        <v>3400</v>
      </c>
      <c r="L106" s="30" t="s">
        <v>3441</v>
      </c>
      <c r="M106" s="15">
        <v>319900</v>
      </c>
      <c r="N106" s="9">
        <f t="shared" si="7"/>
        <v>0.9</v>
      </c>
      <c r="O106" s="8">
        <f t="shared" si="8"/>
        <v>31990</v>
      </c>
      <c r="P106" s="9" t="str">
        <f t="shared" si="9"/>
        <v>PERCENTAGE</v>
      </c>
    </row>
    <row r="107" spans="1:16" x14ac:dyDescent="0.25">
      <c r="A107" s="6" t="str">
        <f t="shared" si="12"/>
        <v>2023 ALL D90</v>
      </c>
      <c r="B107" s="7">
        <f t="shared" si="10"/>
        <v>46114</v>
      </c>
      <c r="C107" s="7">
        <f t="shared" si="11"/>
        <v>46120</v>
      </c>
      <c r="D107" s="6">
        <v>3280</v>
      </c>
      <c r="E107" s="6">
        <v>337</v>
      </c>
      <c r="F107" s="14">
        <v>4</v>
      </c>
      <c r="G107" s="15">
        <v>3</v>
      </c>
      <c r="H107" s="15">
        <v>81495</v>
      </c>
      <c r="I107" s="15" t="s">
        <v>1505</v>
      </c>
      <c r="J107" s="30">
        <v>79080732</v>
      </c>
      <c r="K107" s="30" t="s">
        <v>3400</v>
      </c>
      <c r="L107" s="30" t="s">
        <v>3442</v>
      </c>
      <c r="M107" s="15">
        <v>319900</v>
      </c>
      <c r="N107" s="9">
        <f t="shared" si="7"/>
        <v>0.9</v>
      </c>
      <c r="O107" s="8">
        <f t="shared" si="8"/>
        <v>31990</v>
      </c>
      <c r="P107" s="9" t="str">
        <f t="shared" si="9"/>
        <v>PERCENTAGE</v>
      </c>
    </row>
    <row r="108" spans="1:16" x14ac:dyDescent="0.25">
      <c r="A108" s="6" t="str">
        <f t="shared" si="12"/>
        <v>2023 ALL D90</v>
      </c>
      <c r="B108" s="7">
        <f t="shared" si="10"/>
        <v>46114</v>
      </c>
      <c r="C108" s="7">
        <f t="shared" si="11"/>
        <v>46120</v>
      </c>
      <c r="D108" s="6">
        <v>3280</v>
      </c>
      <c r="E108" s="6">
        <v>337</v>
      </c>
      <c r="F108" s="14">
        <v>4</v>
      </c>
      <c r="G108" s="15">
        <v>3</v>
      </c>
      <c r="H108" s="15">
        <v>81495</v>
      </c>
      <c r="I108" s="15" t="s">
        <v>1505</v>
      </c>
      <c r="J108" s="30">
        <v>79080741</v>
      </c>
      <c r="K108" s="30" t="s">
        <v>3400</v>
      </c>
      <c r="L108" s="30" t="s">
        <v>3443</v>
      </c>
      <c r="M108" s="15">
        <v>319900</v>
      </c>
      <c r="N108" s="9">
        <f t="shared" si="7"/>
        <v>0.9</v>
      </c>
      <c r="O108" s="8">
        <f t="shared" si="8"/>
        <v>31990</v>
      </c>
      <c r="P108" s="9" t="str">
        <f t="shared" si="9"/>
        <v>PERCENTAGE</v>
      </c>
    </row>
    <row r="109" spans="1:16" x14ac:dyDescent="0.25">
      <c r="A109" s="6" t="str">
        <f t="shared" si="12"/>
        <v>2023 ALL D90</v>
      </c>
      <c r="B109" s="7">
        <f t="shared" si="10"/>
        <v>46114</v>
      </c>
      <c r="C109" s="7">
        <f t="shared" si="11"/>
        <v>46120</v>
      </c>
      <c r="D109" s="6">
        <v>3280</v>
      </c>
      <c r="E109" s="6">
        <v>337</v>
      </c>
      <c r="F109" s="14">
        <v>4</v>
      </c>
      <c r="G109" s="15">
        <v>3</v>
      </c>
      <c r="H109" s="15">
        <v>81495</v>
      </c>
      <c r="I109" s="15" t="s">
        <v>1505</v>
      </c>
      <c r="J109" s="30">
        <v>79080750</v>
      </c>
      <c r="K109" s="30" t="s">
        <v>3400</v>
      </c>
      <c r="L109" s="30" t="s">
        <v>3444</v>
      </c>
      <c r="M109" s="15">
        <v>319900</v>
      </c>
      <c r="N109" s="9">
        <f t="shared" si="7"/>
        <v>0.9</v>
      </c>
      <c r="O109" s="8">
        <f t="shared" si="8"/>
        <v>31990</v>
      </c>
      <c r="P109" s="9" t="str">
        <f t="shared" si="9"/>
        <v>PERCENTAGE</v>
      </c>
    </row>
    <row r="110" spans="1:16" x14ac:dyDescent="0.25">
      <c r="A110" s="6" t="str">
        <f t="shared" si="12"/>
        <v>2023 ALL D90</v>
      </c>
      <c r="B110" s="7">
        <f t="shared" si="10"/>
        <v>46114</v>
      </c>
      <c r="C110" s="7">
        <f t="shared" si="11"/>
        <v>46120</v>
      </c>
      <c r="D110" s="6">
        <v>3280</v>
      </c>
      <c r="E110" s="6">
        <v>337</v>
      </c>
      <c r="F110" s="14">
        <v>4</v>
      </c>
      <c r="G110" s="15">
        <v>3</v>
      </c>
      <c r="H110" s="15">
        <v>81495</v>
      </c>
      <c r="I110" s="15" t="s">
        <v>1505</v>
      </c>
      <c r="J110" s="30">
        <v>79080769</v>
      </c>
      <c r="K110" s="30" t="s">
        <v>3400</v>
      </c>
      <c r="L110" s="30" t="s">
        <v>3445</v>
      </c>
      <c r="M110" s="15">
        <v>319900</v>
      </c>
      <c r="N110" s="9">
        <f t="shared" si="7"/>
        <v>0.9</v>
      </c>
      <c r="O110" s="8">
        <f t="shared" si="8"/>
        <v>31990</v>
      </c>
      <c r="P110" s="9" t="str">
        <f t="shared" si="9"/>
        <v>PERCENTAGE</v>
      </c>
    </row>
    <row r="111" spans="1:16" x14ac:dyDescent="0.25">
      <c r="A111" s="6" t="str">
        <f t="shared" si="12"/>
        <v>2023 ALL D90</v>
      </c>
      <c r="B111" s="7">
        <f t="shared" si="10"/>
        <v>46114</v>
      </c>
      <c r="C111" s="7">
        <f t="shared" si="11"/>
        <v>46120</v>
      </c>
      <c r="D111" s="6">
        <v>3280</v>
      </c>
      <c r="E111" s="6">
        <v>337</v>
      </c>
      <c r="F111" s="14">
        <v>4</v>
      </c>
      <c r="G111" s="15">
        <v>3</v>
      </c>
      <c r="H111" s="15">
        <v>81495</v>
      </c>
      <c r="I111" s="15" t="s">
        <v>1505</v>
      </c>
      <c r="J111" s="30">
        <v>79080778</v>
      </c>
      <c r="K111" s="30" t="s">
        <v>3400</v>
      </c>
      <c r="L111" s="30" t="s">
        <v>3446</v>
      </c>
      <c r="M111" s="15">
        <v>319900</v>
      </c>
      <c r="N111" s="9">
        <f t="shared" si="7"/>
        <v>0.9</v>
      </c>
      <c r="O111" s="8">
        <f t="shared" si="8"/>
        <v>31990</v>
      </c>
      <c r="P111" s="9" t="str">
        <f t="shared" si="9"/>
        <v>PERCENTAGE</v>
      </c>
    </row>
    <row r="112" spans="1:16" x14ac:dyDescent="0.25">
      <c r="A112" s="6" t="str">
        <f t="shared" si="12"/>
        <v>2023 ALL D90</v>
      </c>
      <c r="B112" s="7">
        <f t="shared" si="10"/>
        <v>46114</v>
      </c>
      <c r="C112" s="7">
        <f t="shared" si="11"/>
        <v>46120</v>
      </c>
      <c r="D112" s="6">
        <v>3280</v>
      </c>
      <c r="E112" s="6">
        <v>337</v>
      </c>
      <c r="F112" s="14">
        <v>4</v>
      </c>
      <c r="G112" s="15">
        <v>3</v>
      </c>
      <c r="H112" s="15">
        <v>81495</v>
      </c>
      <c r="I112" s="15" t="s">
        <v>1505</v>
      </c>
      <c r="J112" s="30">
        <v>79356328</v>
      </c>
      <c r="K112" s="30" t="s">
        <v>3400</v>
      </c>
      <c r="L112" s="30" t="s">
        <v>3447</v>
      </c>
      <c r="M112" s="15">
        <v>319900</v>
      </c>
      <c r="N112" s="9">
        <f t="shared" si="7"/>
        <v>0.9</v>
      </c>
      <c r="O112" s="8">
        <f t="shared" si="8"/>
        <v>31990</v>
      </c>
      <c r="P112" s="9" t="str">
        <f t="shared" si="9"/>
        <v>PERCENTAGE</v>
      </c>
    </row>
    <row r="113" spans="1:16" x14ac:dyDescent="0.25">
      <c r="A113" s="6" t="str">
        <f t="shared" si="12"/>
        <v>2023 ALL D90</v>
      </c>
      <c r="B113" s="7">
        <f t="shared" si="10"/>
        <v>46114</v>
      </c>
      <c r="C113" s="7">
        <f t="shared" si="11"/>
        <v>46120</v>
      </c>
      <c r="D113" s="6">
        <v>3280</v>
      </c>
      <c r="E113" s="6">
        <v>337</v>
      </c>
      <c r="F113" s="14">
        <v>4</v>
      </c>
      <c r="G113" s="15">
        <v>3</v>
      </c>
      <c r="H113" s="15">
        <v>81495</v>
      </c>
      <c r="I113" s="15" t="s">
        <v>1505</v>
      </c>
      <c r="J113" s="30">
        <v>79080607</v>
      </c>
      <c r="K113" s="30" t="s">
        <v>3398</v>
      </c>
      <c r="L113" s="30" t="s">
        <v>3429</v>
      </c>
      <c r="M113" s="15">
        <v>319900</v>
      </c>
      <c r="N113" s="9">
        <f t="shared" si="7"/>
        <v>0.9</v>
      </c>
      <c r="O113" s="8">
        <f t="shared" si="8"/>
        <v>31990</v>
      </c>
      <c r="P113" s="9" t="str">
        <f t="shared" si="9"/>
        <v>PERCENTAGE</v>
      </c>
    </row>
    <row r="114" spans="1:16" x14ac:dyDescent="0.25">
      <c r="A114" s="6" t="str">
        <f t="shared" si="12"/>
        <v>2023 ALL D90</v>
      </c>
      <c r="B114" s="7">
        <f t="shared" si="10"/>
        <v>46114</v>
      </c>
      <c r="C114" s="7">
        <f t="shared" si="11"/>
        <v>46120</v>
      </c>
      <c r="D114" s="6">
        <v>3280</v>
      </c>
      <c r="E114" s="6">
        <v>337</v>
      </c>
      <c r="F114" s="14">
        <v>4</v>
      </c>
      <c r="G114" s="15">
        <v>3</v>
      </c>
      <c r="H114" s="15">
        <v>81495</v>
      </c>
      <c r="I114" s="15" t="s">
        <v>1505</v>
      </c>
      <c r="J114" s="30">
        <v>79080616</v>
      </c>
      <c r="K114" s="30" t="s">
        <v>3398</v>
      </c>
      <c r="L114" s="30" t="s">
        <v>3430</v>
      </c>
      <c r="M114" s="15">
        <v>319900</v>
      </c>
      <c r="N114" s="9">
        <f t="shared" si="7"/>
        <v>0.9</v>
      </c>
      <c r="O114" s="8">
        <f t="shared" si="8"/>
        <v>31990</v>
      </c>
      <c r="P114" s="9" t="str">
        <f t="shared" si="9"/>
        <v>PERCENTAGE</v>
      </c>
    </row>
    <row r="115" spans="1:16" x14ac:dyDescent="0.25">
      <c r="A115" s="6" t="str">
        <f t="shared" si="12"/>
        <v>2023 ALL D90</v>
      </c>
      <c r="B115" s="7">
        <f t="shared" si="10"/>
        <v>46114</v>
      </c>
      <c r="C115" s="7">
        <f t="shared" si="11"/>
        <v>46120</v>
      </c>
      <c r="D115" s="6">
        <v>3280</v>
      </c>
      <c r="E115" s="6">
        <v>337</v>
      </c>
      <c r="F115" s="14">
        <v>4</v>
      </c>
      <c r="G115" s="15">
        <v>3</v>
      </c>
      <c r="H115" s="15">
        <v>81495</v>
      </c>
      <c r="I115" s="15" t="s">
        <v>1505</v>
      </c>
      <c r="J115" s="30">
        <v>79080625</v>
      </c>
      <c r="K115" s="30" t="s">
        <v>3398</v>
      </c>
      <c r="L115" s="30" t="s">
        <v>3431</v>
      </c>
      <c r="M115" s="15">
        <v>319900</v>
      </c>
      <c r="N115" s="9">
        <f t="shared" si="7"/>
        <v>0.9</v>
      </c>
      <c r="O115" s="8">
        <f t="shared" si="8"/>
        <v>31990</v>
      </c>
      <c r="P115" s="9" t="str">
        <f t="shared" si="9"/>
        <v>PERCENTAGE</v>
      </c>
    </row>
    <row r="116" spans="1:16" x14ac:dyDescent="0.25">
      <c r="A116" s="6" t="str">
        <f t="shared" si="12"/>
        <v>2023 ALL D90</v>
      </c>
      <c r="B116" s="7">
        <f t="shared" si="10"/>
        <v>46114</v>
      </c>
      <c r="C116" s="7">
        <f t="shared" si="11"/>
        <v>46120</v>
      </c>
      <c r="D116" s="6">
        <v>3280</v>
      </c>
      <c r="E116" s="6">
        <v>337</v>
      </c>
      <c r="F116" s="14">
        <v>4</v>
      </c>
      <c r="G116" s="15">
        <v>3</v>
      </c>
      <c r="H116" s="15">
        <v>81495</v>
      </c>
      <c r="I116" s="15" t="s">
        <v>1505</v>
      </c>
      <c r="J116" s="30">
        <v>79080634</v>
      </c>
      <c r="K116" s="30" t="s">
        <v>3398</v>
      </c>
      <c r="L116" s="30" t="s">
        <v>3432</v>
      </c>
      <c r="M116" s="15">
        <v>319900</v>
      </c>
      <c r="N116" s="9">
        <f t="shared" si="7"/>
        <v>0.9</v>
      </c>
      <c r="O116" s="8">
        <f t="shared" si="8"/>
        <v>31990</v>
      </c>
      <c r="P116" s="9" t="str">
        <f t="shared" si="9"/>
        <v>PERCENTAGE</v>
      </c>
    </row>
    <row r="117" spans="1:16" x14ac:dyDescent="0.25">
      <c r="A117" s="6" t="str">
        <f t="shared" si="12"/>
        <v>2023 ALL D90</v>
      </c>
      <c r="B117" s="7">
        <f t="shared" si="10"/>
        <v>46114</v>
      </c>
      <c r="C117" s="7">
        <f t="shared" si="11"/>
        <v>46120</v>
      </c>
      <c r="D117" s="6">
        <v>3280</v>
      </c>
      <c r="E117" s="6">
        <v>337</v>
      </c>
      <c r="F117" s="14">
        <v>4</v>
      </c>
      <c r="G117" s="15">
        <v>3</v>
      </c>
      <c r="H117" s="15">
        <v>81495</v>
      </c>
      <c r="I117" s="15" t="s">
        <v>1505</v>
      </c>
      <c r="J117" s="30">
        <v>79080643</v>
      </c>
      <c r="K117" s="30" t="s">
        <v>3398</v>
      </c>
      <c r="L117" s="30" t="s">
        <v>3433</v>
      </c>
      <c r="M117" s="15">
        <v>319900</v>
      </c>
      <c r="N117" s="9">
        <f t="shared" si="7"/>
        <v>0.9</v>
      </c>
      <c r="O117" s="8">
        <f t="shared" si="8"/>
        <v>31990</v>
      </c>
      <c r="P117" s="9" t="str">
        <f t="shared" si="9"/>
        <v>PERCENTAGE</v>
      </c>
    </row>
    <row r="118" spans="1:16" x14ac:dyDescent="0.25">
      <c r="A118" s="6" t="str">
        <f t="shared" si="12"/>
        <v>2023 ALL D90</v>
      </c>
      <c r="B118" s="7">
        <f t="shared" si="10"/>
        <v>46114</v>
      </c>
      <c r="C118" s="7">
        <f t="shared" si="11"/>
        <v>46120</v>
      </c>
      <c r="D118" s="6">
        <v>3280</v>
      </c>
      <c r="E118" s="6">
        <v>337</v>
      </c>
      <c r="F118" s="14">
        <v>4</v>
      </c>
      <c r="G118" s="15">
        <v>3</v>
      </c>
      <c r="H118" s="15">
        <v>81495</v>
      </c>
      <c r="I118" s="15" t="s">
        <v>1505</v>
      </c>
      <c r="J118" s="30">
        <v>79080652</v>
      </c>
      <c r="K118" s="30" t="s">
        <v>3398</v>
      </c>
      <c r="L118" s="30" t="s">
        <v>3434</v>
      </c>
      <c r="M118" s="15">
        <v>319900</v>
      </c>
      <c r="N118" s="9">
        <f t="shared" si="7"/>
        <v>0.9</v>
      </c>
      <c r="O118" s="8">
        <f t="shared" si="8"/>
        <v>31990</v>
      </c>
      <c r="P118" s="9" t="str">
        <f t="shared" si="9"/>
        <v>PERCENTAGE</v>
      </c>
    </row>
    <row r="119" spans="1:16" x14ac:dyDescent="0.25">
      <c r="A119" s="6" t="str">
        <f t="shared" si="12"/>
        <v>2023 ALL D90</v>
      </c>
      <c r="B119" s="7">
        <f t="shared" si="10"/>
        <v>46114</v>
      </c>
      <c r="C119" s="7">
        <f t="shared" si="11"/>
        <v>46120</v>
      </c>
      <c r="D119" s="6">
        <v>3280</v>
      </c>
      <c r="E119" s="6">
        <v>337</v>
      </c>
      <c r="F119" s="14">
        <v>4</v>
      </c>
      <c r="G119" s="15">
        <v>3</v>
      </c>
      <c r="H119" s="15">
        <v>81495</v>
      </c>
      <c r="I119" s="15" t="s">
        <v>1505</v>
      </c>
      <c r="J119" s="30">
        <v>79080787</v>
      </c>
      <c r="K119" s="30" t="s">
        <v>3401</v>
      </c>
      <c r="L119" s="30" t="s">
        <v>3448</v>
      </c>
      <c r="M119" s="15">
        <v>319900</v>
      </c>
      <c r="N119" s="9">
        <f t="shared" si="7"/>
        <v>0.9</v>
      </c>
      <c r="O119" s="8">
        <f t="shared" si="8"/>
        <v>31990</v>
      </c>
      <c r="P119" s="9" t="str">
        <f t="shared" si="9"/>
        <v>PERCENTAGE</v>
      </c>
    </row>
    <row r="120" spans="1:16" x14ac:dyDescent="0.25">
      <c r="A120" s="6" t="str">
        <f t="shared" si="12"/>
        <v>2023 ALL D90</v>
      </c>
      <c r="B120" s="7">
        <f t="shared" si="10"/>
        <v>46114</v>
      </c>
      <c r="C120" s="7">
        <f t="shared" si="11"/>
        <v>46120</v>
      </c>
      <c r="D120" s="6">
        <v>3280</v>
      </c>
      <c r="E120" s="6">
        <v>337</v>
      </c>
      <c r="F120" s="14">
        <v>4</v>
      </c>
      <c r="G120" s="15">
        <v>3</v>
      </c>
      <c r="H120" s="15">
        <v>81495</v>
      </c>
      <c r="I120" s="15" t="s">
        <v>1505</v>
      </c>
      <c r="J120" s="30">
        <v>79080796</v>
      </c>
      <c r="K120" s="30" t="s">
        <v>3401</v>
      </c>
      <c r="L120" s="30" t="s">
        <v>3449</v>
      </c>
      <c r="M120" s="15">
        <v>319900</v>
      </c>
      <c r="N120" s="9">
        <f t="shared" si="7"/>
        <v>0.9</v>
      </c>
      <c r="O120" s="8">
        <f t="shared" si="8"/>
        <v>31990</v>
      </c>
      <c r="P120" s="9" t="str">
        <f t="shared" si="9"/>
        <v>PERCENTAGE</v>
      </c>
    </row>
    <row r="121" spans="1:16" x14ac:dyDescent="0.25">
      <c r="A121" s="6" t="str">
        <f t="shared" si="12"/>
        <v>2023 ALL D90</v>
      </c>
      <c r="B121" s="7">
        <f t="shared" si="10"/>
        <v>46114</v>
      </c>
      <c r="C121" s="7">
        <f t="shared" si="11"/>
        <v>46120</v>
      </c>
      <c r="D121" s="6">
        <v>3280</v>
      </c>
      <c r="E121" s="6">
        <v>337</v>
      </c>
      <c r="F121" s="14">
        <v>4</v>
      </c>
      <c r="G121" s="15">
        <v>3</v>
      </c>
      <c r="H121" s="15">
        <v>81495</v>
      </c>
      <c r="I121" s="15" t="s">
        <v>1505</v>
      </c>
      <c r="J121" s="30">
        <v>79080803</v>
      </c>
      <c r="K121" s="30" t="s">
        <v>3401</v>
      </c>
      <c r="L121" s="30" t="s">
        <v>3450</v>
      </c>
      <c r="M121" s="15">
        <v>319900</v>
      </c>
      <c r="N121" s="9">
        <f t="shared" si="7"/>
        <v>0.9</v>
      </c>
      <c r="O121" s="8">
        <f t="shared" si="8"/>
        <v>31990</v>
      </c>
      <c r="P121" s="9" t="str">
        <f t="shared" si="9"/>
        <v>PERCENTAGE</v>
      </c>
    </row>
    <row r="122" spans="1:16" x14ac:dyDescent="0.25">
      <c r="A122" s="6" t="str">
        <f t="shared" si="12"/>
        <v>2023 ALL D90</v>
      </c>
      <c r="B122" s="7">
        <f t="shared" si="10"/>
        <v>46114</v>
      </c>
      <c r="C122" s="7">
        <f t="shared" si="11"/>
        <v>46120</v>
      </c>
      <c r="D122" s="6">
        <v>3280</v>
      </c>
      <c r="E122" s="6">
        <v>337</v>
      </c>
      <c r="F122" s="14">
        <v>4</v>
      </c>
      <c r="G122" s="15">
        <v>3</v>
      </c>
      <c r="H122" s="15">
        <v>81495</v>
      </c>
      <c r="I122" s="15" t="s">
        <v>1505</v>
      </c>
      <c r="J122" s="30">
        <v>79080812</v>
      </c>
      <c r="K122" s="30" t="s">
        <v>3401</v>
      </c>
      <c r="L122" s="30" t="s">
        <v>3451</v>
      </c>
      <c r="M122" s="15">
        <v>319900</v>
      </c>
      <c r="N122" s="9">
        <f t="shared" si="7"/>
        <v>0.9</v>
      </c>
      <c r="O122" s="8">
        <f t="shared" si="8"/>
        <v>31990</v>
      </c>
      <c r="P122" s="9" t="str">
        <f t="shared" si="9"/>
        <v>PERCENTAGE</v>
      </c>
    </row>
    <row r="123" spans="1:16" x14ac:dyDescent="0.25">
      <c r="A123" s="6" t="str">
        <f t="shared" si="12"/>
        <v>2023 ALL D90</v>
      </c>
      <c r="B123" s="7">
        <f t="shared" si="10"/>
        <v>46114</v>
      </c>
      <c r="C123" s="7">
        <f t="shared" si="11"/>
        <v>46120</v>
      </c>
      <c r="D123" s="6">
        <v>3280</v>
      </c>
      <c r="E123" s="6">
        <v>337</v>
      </c>
      <c r="F123" s="14">
        <v>4</v>
      </c>
      <c r="G123" s="15">
        <v>3</v>
      </c>
      <c r="H123" s="15">
        <v>81495</v>
      </c>
      <c r="I123" s="15" t="s">
        <v>1505</v>
      </c>
      <c r="J123" s="30">
        <v>79080821</v>
      </c>
      <c r="K123" s="30" t="s">
        <v>3401</v>
      </c>
      <c r="L123" s="30" t="s">
        <v>3452</v>
      </c>
      <c r="M123" s="15">
        <v>319900</v>
      </c>
      <c r="N123" s="9">
        <f t="shared" si="7"/>
        <v>0.9</v>
      </c>
      <c r="O123" s="8">
        <f t="shared" si="8"/>
        <v>31990</v>
      </c>
      <c r="P123" s="9" t="str">
        <f t="shared" si="9"/>
        <v>PERCENTAGE</v>
      </c>
    </row>
    <row r="124" spans="1:16" x14ac:dyDescent="0.25">
      <c r="A124" s="6" t="str">
        <f t="shared" si="12"/>
        <v>2023 ALL D90</v>
      </c>
      <c r="B124" s="7">
        <f t="shared" si="10"/>
        <v>46114</v>
      </c>
      <c r="C124" s="7">
        <f t="shared" si="11"/>
        <v>46120</v>
      </c>
      <c r="D124" s="6">
        <v>3280</v>
      </c>
      <c r="E124" s="6">
        <v>337</v>
      </c>
      <c r="F124" s="14">
        <v>4</v>
      </c>
      <c r="G124" s="15">
        <v>3</v>
      </c>
      <c r="H124" s="15">
        <v>81495</v>
      </c>
      <c r="I124" s="15" t="s">
        <v>1505</v>
      </c>
      <c r="J124" s="30">
        <v>79080830</v>
      </c>
      <c r="K124" s="30" t="s">
        <v>3401</v>
      </c>
      <c r="L124" s="30" t="s">
        <v>3453</v>
      </c>
      <c r="M124" s="15">
        <v>319900</v>
      </c>
      <c r="N124" s="9">
        <f t="shared" si="7"/>
        <v>0.9</v>
      </c>
      <c r="O124" s="8">
        <f t="shared" si="8"/>
        <v>31990</v>
      </c>
      <c r="P124" s="9" t="str">
        <f t="shared" si="9"/>
        <v>PERCENTAGE</v>
      </c>
    </row>
    <row r="125" spans="1:16" x14ac:dyDescent="0.25">
      <c r="A125" s="6" t="str">
        <f t="shared" si="12"/>
        <v>2023 ALL D90</v>
      </c>
      <c r="B125" s="7">
        <f t="shared" si="10"/>
        <v>46114</v>
      </c>
      <c r="C125" s="7">
        <f t="shared" si="11"/>
        <v>46120</v>
      </c>
      <c r="D125" s="6">
        <v>3280</v>
      </c>
      <c r="E125" s="6">
        <v>337</v>
      </c>
      <c r="F125" s="6">
        <v>4</v>
      </c>
      <c r="G125" s="15">
        <v>3</v>
      </c>
      <c r="H125" s="15">
        <v>81495</v>
      </c>
      <c r="I125" s="15" t="s">
        <v>1505</v>
      </c>
      <c r="J125" s="30">
        <v>79080901</v>
      </c>
      <c r="K125" s="30" t="s">
        <v>3403</v>
      </c>
      <c r="L125" s="30" t="s">
        <v>3461</v>
      </c>
      <c r="M125" s="21">
        <v>319900</v>
      </c>
      <c r="N125" s="9">
        <f t="shared" si="7"/>
        <v>0.9</v>
      </c>
      <c r="O125" s="8">
        <f t="shared" si="8"/>
        <v>31990</v>
      </c>
      <c r="P125" s="9" t="str">
        <f t="shared" si="9"/>
        <v>PERCENTAGE</v>
      </c>
    </row>
    <row r="126" spans="1:16" x14ac:dyDescent="0.25">
      <c r="A126" s="6" t="str">
        <f t="shared" si="12"/>
        <v>2023 ALL D90</v>
      </c>
      <c r="B126" s="7">
        <f t="shared" si="10"/>
        <v>46114</v>
      </c>
      <c r="C126" s="7">
        <f t="shared" si="11"/>
        <v>46120</v>
      </c>
      <c r="D126" s="6">
        <v>3280</v>
      </c>
      <c r="E126" s="6">
        <v>337</v>
      </c>
      <c r="F126" s="6">
        <v>4</v>
      </c>
      <c r="G126" s="15">
        <v>3</v>
      </c>
      <c r="H126" s="15">
        <v>81495</v>
      </c>
      <c r="I126" s="15" t="s">
        <v>1505</v>
      </c>
      <c r="J126" s="30">
        <v>79080910</v>
      </c>
      <c r="K126" s="30" t="s">
        <v>3403</v>
      </c>
      <c r="L126" s="30" t="s">
        <v>3462</v>
      </c>
      <c r="M126" s="21">
        <v>319900</v>
      </c>
      <c r="N126" s="9">
        <f t="shared" si="7"/>
        <v>0.9</v>
      </c>
      <c r="O126" s="8">
        <f t="shared" si="8"/>
        <v>31990</v>
      </c>
      <c r="P126" s="9" t="str">
        <f t="shared" si="9"/>
        <v>PERCENTAGE</v>
      </c>
    </row>
    <row r="127" spans="1:16" x14ac:dyDescent="0.25">
      <c r="A127" s="6" t="str">
        <f t="shared" si="12"/>
        <v>2023 ALL D90</v>
      </c>
      <c r="B127" s="7">
        <f t="shared" si="10"/>
        <v>46114</v>
      </c>
      <c r="C127" s="7">
        <f t="shared" si="11"/>
        <v>46120</v>
      </c>
      <c r="D127" s="6">
        <v>3280</v>
      </c>
      <c r="E127" s="6">
        <v>337</v>
      </c>
      <c r="F127" s="6">
        <v>4</v>
      </c>
      <c r="G127" s="15">
        <v>3</v>
      </c>
      <c r="H127" s="15">
        <v>81495</v>
      </c>
      <c r="I127" s="15" t="s">
        <v>1505</v>
      </c>
      <c r="J127" s="30">
        <v>79080929</v>
      </c>
      <c r="K127" s="30" t="s">
        <v>3403</v>
      </c>
      <c r="L127" s="30" t="s">
        <v>3463</v>
      </c>
      <c r="M127" s="21">
        <v>319900</v>
      </c>
      <c r="N127" s="9">
        <f t="shared" si="7"/>
        <v>0.9</v>
      </c>
      <c r="O127" s="8">
        <f t="shared" si="8"/>
        <v>31990</v>
      </c>
      <c r="P127" s="9" t="str">
        <f t="shared" si="9"/>
        <v>PERCENTAGE</v>
      </c>
    </row>
    <row r="128" spans="1:16" x14ac:dyDescent="0.25">
      <c r="A128" s="6" t="str">
        <f t="shared" si="12"/>
        <v>2023 ALL D90</v>
      </c>
      <c r="B128" s="7">
        <f t="shared" si="10"/>
        <v>46114</v>
      </c>
      <c r="C128" s="7">
        <f t="shared" si="11"/>
        <v>46120</v>
      </c>
      <c r="D128" s="6">
        <v>3280</v>
      </c>
      <c r="E128" s="6">
        <v>337</v>
      </c>
      <c r="F128" s="6">
        <v>4</v>
      </c>
      <c r="G128" s="15">
        <v>3</v>
      </c>
      <c r="H128" s="15">
        <v>81495</v>
      </c>
      <c r="I128" s="15" t="s">
        <v>1505</v>
      </c>
      <c r="J128" s="30">
        <v>79080938</v>
      </c>
      <c r="K128" s="30" t="s">
        <v>3403</v>
      </c>
      <c r="L128" s="30" t="s">
        <v>3464</v>
      </c>
      <c r="M128" s="21">
        <v>319900</v>
      </c>
      <c r="N128" s="9">
        <f t="shared" si="7"/>
        <v>0.9</v>
      </c>
      <c r="O128" s="8">
        <f t="shared" si="8"/>
        <v>31990</v>
      </c>
      <c r="P128" s="9" t="str">
        <f t="shared" si="9"/>
        <v>PERCENTAGE</v>
      </c>
    </row>
    <row r="129" spans="1:16" x14ac:dyDescent="0.25">
      <c r="A129" s="6" t="str">
        <f t="shared" si="12"/>
        <v>2023 ALL D90</v>
      </c>
      <c r="B129" s="7">
        <f t="shared" si="10"/>
        <v>46114</v>
      </c>
      <c r="C129" s="7">
        <f t="shared" si="11"/>
        <v>46120</v>
      </c>
      <c r="D129" s="6">
        <v>3280</v>
      </c>
      <c r="E129" s="6">
        <v>337</v>
      </c>
      <c r="F129" s="6">
        <v>4</v>
      </c>
      <c r="G129" s="15">
        <v>3</v>
      </c>
      <c r="H129" s="15">
        <v>81495</v>
      </c>
      <c r="I129" s="15" t="s">
        <v>1505</v>
      </c>
      <c r="J129" s="30">
        <v>79080947</v>
      </c>
      <c r="K129" s="30" t="s">
        <v>3403</v>
      </c>
      <c r="L129" s="30" t="s">
        <v>3465</v>
      </c>
      <c r="M129" s="21">
        <v>319900</v>
      </c>
      <c r="N129" s="9">
        <f t="shared" si="7"/>
        <v>0.9</v>
      </c>
      <c r="O129" s="8">
        <f t="shared" si="8"/>
        <v>31990</v>
      </c>
      <c r="P129" s="9" t="str">
        <f t="shared" si="9"/>
        <v>PERCENTAGE</v>
      </c>
    </row>
    <row r="130" spans="1:16" x14ac:dyDescent="0.25">
      <c r="A130" s="6" t="str">
        <f t="shared" si="12"/>
        <v>2023 ALL D90</v>
      </c>
      <c r="B130" s="7">
        <f t="shared" si="10"/>
        <v>46114</v>
      </c>
      <c r="C130" s="7">
        <f t="shared" si="11"/>
        <v>46120</v>
      </c>
      <c r="D130" s="6">
        <v>3280</v>
      </c>
      <c r="E130" s="6">
        <v>337</v>
      </c>
      <c r="F130" s="6">
        <v>4</v>
      </c>
      <c r="G130" s="15">
        <v>3</v>
      </c>
      <c r="H130" s="15">
        <v>81495</v>
      </c>
      <c r="I130" s="15" t="s">
        <v>1505</v>
      </c>
      <c r="J130" s="30">
        <v>79080956</v>
      </c>
      <c r="K130" s="30" t="s">
        <v>3403</v>
      </c>
      <c r="L130" s="30" t="s">
        <v>3466</v>
      </c>
      <c r="M130" s="21">
        <v>319900</v>
      </c>
      <c r="N130" s="9">
        <f t="shared" si="7"/>
        <v>0.9</v>
      </c>
      <c r="O130" s="8">
        <f t="shared" si="8"/>
        <v>31990</v>
      </c>
      <c r="P130" s="9" t="str">
        <f t="shared" si="9"/>
        <v>PERCENTAGE</v>
      </c>
    </row>
    <row r="131" spans="1:16" x14ac:dyDescent="0.25">
      <c r="A131" s="6" t="str">
        <f t="shared" si="12"/>
        <v>2023 ALL D90</v>
      </c>
      <c r="B131" s="7">
        <f t="shared" si="10"/>
        <v>46114</v>
      </c>
      <c r="C131" s="7">
        <f t="shared" si="11"/>
        <v>46120</v>
      </c>
      <c r="D131" s="6">
        <v>3280</v>
      </c>
      <c r="E131" s="6">
        <v>337</v>
      </c>
      <c r="F131" s="6">
        <v>4</v>
      </c>
      <c r="G131" s="15">
        <v>3</v>
      </c>
      <c r="H131" s="15">
        <v>81495</v>
      </c>
      <c r="I131" s="15" t="s">
        <v>1505</v>
      </c>
      <c r="J131" s="30">
        <v>79356346</v>
      </c>
      <c r="K131" s="30" t="s">
        <v>3403</v>
      </c>
      <c r="L131" s="30" t="s">
        <v>3467</v>
      </c>
      <c r="M131">
        <v>319900</v>
      </c>
      <c r="N131" s="9">
        <f t="shared" ref="N131:N194" si="13">N130</f>
        <v>0.9</v>
      </c>
      <c r="O131" s="8">
        <f t="shared" ref="O131:O194" si="14">M131-((90*M131)/100)</f>
        <v>31990</v>
      </c>
      <c r="P131" s="9" t="str">
        <f t="shared" ref="P131:P194" si="15">P130</f>
        <v>PERCENTAGE</v>
      </c>
    </row>
    <row r="132" spans="1:16" x14ac:dyDescent="0.25">
      <c r="A132" s="6" t="str">
        <f t="shared" si="12"/>
        <v>2023 ALL D90</v>
      </c>
      <c r="B132" s="7">
        <f t="shared" si="10"/>
        <v>46114</v>
      </c>
      <c r="C132" s="7">
        <f t="shared" si="11"/>
        <v>46120</v>
      </c>
      <c r="D132" s="6">
        <v>3280</v>
      </c>
      <c r="E132" s="6">
        <v>337</v>
      </c>
      <c r="F132" s="6">
        <v>4</v>
      </c>
      <c r="G132" s="15">
        <v>3</v>
      </c>
      <c r="H132" s="15">
        <v>81490</v>
      </c>
      <c r="I132" s="15" t="s">
        <v>1505</v>
      </c>
      <c r="J132" s="30">
        <v>79081688</v>
      </c>
      <c r="K132" s="30" t="s">
        <v>3414</v>
      </c>
      <c r="L132" s="30" t="s">
        <v>3533</v>
      </c>
      <c r="M132" s="22">
        <v>319900</v>
      </c>
      <c r="N132" s="9">
        <f t="shared" si="13"/>
        <v>0.9</v>
      </c>
      <c r="O132" s="8">
        <f t="shared" si="14"/>
        <v>31990</v>
      </c>
      <c r="P132" s="9" t="str">
        <f t="shared" si="15"/>
        <v>PERCENTAGE</v>
      </c>
    </row>
    <row r="133" spans="1:16" x14ac:dyDescent="0.25">
      <c r="A133" s="6" t="str">
        <f t="shared" si="12"/>
        <v>2023 ALL D90</v>
      </c>
      <c r="B133" s="7">
        <f t="shared" si="10"/>
        <v>46114</v>
      </c>
      <c r="C133" s="7">
        <f t="shared" si="11"/>
        <v>46120</v>
      </c>
      <c r="D133" s="6">
        <v>3280</v>
      </c>
      <c r="E133" s="6">
        <v>337</v>
      </c>
      <c r="F133" s="6">
        <v>4</v>
      </c>
      <c r="G133" s="15">
        <v>3</v>
      </c>
      <c r="H133" s="15">
        <v>81490</v>
      </c>
      <c r="I133" s="15" t="s">
        <v>1505</v>
      </c>
      <c r="J133" s="30">
        <v>79081697</v>
      </c>
      <c r="K133" s="30" t="s">
        <v>3414</v>
      </c>
      <c r="L133" s="30" t="s">
        <v>3534</v>
      </c>
      <c r="M133" s="21">
        <v>319900</v>
      </c>
      <c r="N133" s="9">
        <f t="shared" si="13"/>
        <v>0.9</v>
      </c>
      <c r="O133" s="8">
        <f t="shared" si="14"/>
        <v>31990</v>
      </c>
      <c r="P133" s="9" t="str">
        <f t="shared" si="15"/>
        <v>PERCENTAGE</v>
      </c>
    </row>
    <row r="134" spans="1:16" x14ac:dyDescent="0.25">
      <c r="A134" s="6" t="str">
        <f t="shared" si="12"/>
        <v>2023 ALL D90</v>
      </c>
      <c r="B134" s="7">
        <f t="shared" si="10"/>
        <v>46114</v>
      </c>
      <c r="C134" s="7">
        <f t="shared" si="11"/>
        <v>46120</v>
      </c>
      <c r="D134" s="6">
        <v>3280</v>
      </c>
      <c r="E134" s="6">
        <v>337</v>
      </c>
      <c r="F134" s="14">
        <v>4</v>
      </c>
      <c r="G134" s="15">
        <v>3</v>
      </c>
      <c r="H134" s="15">
        <v>81490</v>
      </c>
      <c r="I134" s="15" t="s">
        <v>1505</v>
      </c>
      <c r="J134" s="30">
        <v>79081704</v>
      </c>
      <c r="K134" s="30" t="s">
        <v>3414</v>
      </c>
      <c r="L134" s="30" t="s">
        <v>3535</v>
      </c>
      <c r="M134" s="15">
        <v>319900</v>
      </c>
      <c r="N134" s="9">
        <f t="shared" si="13"/>
        <v>0.9</v>
      </c>
      <c r="O134" s="8">
        <f t="shared" si="14"/>
        <v>31990</v>
      </c>
      <c r="P134" s="9" t="str">
        <f t="shared" si="15"/>
        <v>PERCENTAGE</v>
      </c>
    </row>
    <row r="135" spans="1:16" x14ac:dyDescent="0.25">
      <c r="A135" s="6" t="str">
        <f t="shared" si="12"/>
        <v>2023 ALL D90</v>
      </c>
      <c r="B135" s="7">
        <f t="shared" si="10"/>
        <v>46114</v>
      </c>
      <c r="C135" s="7">
        <f t="shared" si="11"/>
        <v>46120</v>
      </c>
      <c r="D135" s="6">
        <v>3280</v>
      </c>
      <c r="E135" s="6">
        <v>337</v>
      </c>
      <c r="F135" s="14">
        <v>4</v>
      </c>
      <c r="G135" s="15">
        <v>3</v>
      </c>
      <c r="H135" s="15">
        <v>81490</v>
      </c>
      <c r="I135" s="15" t="s">
        <v>1505</v>
      </c>
      <c r="J135" s="30">
        <v>79081713</v>
      </c>
      <c r="K135" s="30" t="s">
        <v>3414</v>
      </c>
      <c r="L135" s="30" t="s">
        <v>3536</v>
      </c>
      <c r="M135" s="15">
        <v>319900</v>
      </c>
      <c r="N135" s="9">
        <f t="shared" si="13"/>
        <v>0.9</v>
      </c>
      <c r="O135" s="8">
        <f t="shared" si="14"/>
        <v>31990</v>
      </c>
      <c r="P135" s="9" t="str">
        <f t="shared" si="15"/>
        <v>PERCENTAGE</v>
      </c>
    </row>
    <row r="136" spans="1:16" x14ac:dyDescent="0.25">
      <c r="A136" s="6" t="str">
        <f t="shared" si="12"/>
        <v>2023 ALL D90</v>
      </c>
      <c r="B136" s="7">
        <f t="shared" si="10"/>
        <v>46114</v>
      </c>
      <c r="C136" s="7">
        <f t="shared" si="11"/>
        <v>46120</v>
      </c>
      <c r="D136" s="6">
        <v>3280</v>
      </c>
      <c r="E136" s="6">
        <v>337</v>
      </c>
      <c r="F136" s="14">
        <v>4</v>
      </c>
      <c r="G136" s="15">
        <v>3</v>
      </c>
      <c r="H136" s="15">
        <v>81490</v>
      </c>
      <c r="I136" s="15" t="s">
        <v>1505</v>
      </c>
      <c r="J136" s="30">
        <v>79081722</v>
      </c>
      <c r="K136" s="30" t="s">
        <v>3414</v>
      </c>
      <c r="L136" s="30" t="s">
        <v>3537</v>
      </c>
      <c r="M136" s="15">
        <v>319900</v>
      </c>
      <c r="N136" s="9">
        <f t="shared" si="13"/>
        <v>0.9</v>
      </c>
      <c r="O136" s="8">
        <f t="shared" si="14"/>
        <v>31990</v>
      </c>
      <c r="P136" s="9" t="str">
        <f t="shared" si="15"/>
        <v>PERCENTAGE</v>
      </c>
    </row>
    <row r="137" spans="1:16" x14ac:dyDescent="0.25">
      <c r="A137" s="6" t="str">
        <f t="shared" si="12"/>
        <v>2023 ALL D90</v>
      </c>
      <c r="B137" s="7">
        <f t="shared" si="10"/>
        <v>46114</v>
      </c>
      <c r="C137" s="7">
        <f t="shared" si="11"/>
        <v>46120</v>
      </c>
      <c r="D137" s="6">
        <v>3280</v>
      </c>
      <c r="E137" s="6">
        <v>337</v>
      </c>
      <c r="F137" s="14">
        <v>4</v>
      </c>
      <c r="G137" s="15">
        <v>3</v>
      </c>
      <c r="H137" s="15">
        <v>81490</v>
      </c>
      <c r="I137" s="15" t="s">
        <v>1505</v>
      </c>
      <c r="J137" s="30">
        <v>79081731</v>
      </c>
      <c r="K137" s="30" t="s">
        <v>3414</v>
      </c>
      <c r="L137" s="30" t="s">
        <v>3538</v>
      </c>
      <c r="M137" s="15">
        <v>319900</v>
      </c>
      <c r="N137" s="9">
        <f t="shared" si="13"/>
        <v>0.9</v>
      </c>
      <c r="O137" s="8">
        <f t="shared" si="14"/>
        <v>31990</v>
      </c>
      <c r="P137" s="9" t="str">
        <f t="shared" si="15"/>
        <v>PERCENTAGE</v>
      </c>
    </row>
    <row r="138" spans="1:16" x14ac:dyDescent="0.25">
      <c r="A138" s="6" t="str">
        <f t="shared" si="12"/>
        <v>2023 ALL D90</v>
      </c>
      <c r="B138" s="7">
        <f t="shared" si="10"/>
        <v>46114</v>
      </c>
      <c r="C138" s="7">
        <f t="shared" si="11"/>
        <v>46120</v>
      </c>
      <c r="D138" s="6">
        <v>3280</v>
      </c>
      <c r="E138" s="6">
        <v>337</v>
      </c>
      <c r="F138" s="14">
        <v>4</v>
      </c>
      <c r="G138" s="15">
        <v>3</v>
      </c>
      <c r="H138" s="15">
        <v>81490</v>
      </c>
      <c r="I138" s="15" t="s">
        <v>1505</v>
      </c>
      <c r="J138" s="30">
        <v>79356408</v>
      </c>
      <c r="K138" s="30" t="s">
        <v>3414</v>
      </c>
      <c r="L138" s="30" t="s">
        <v>3539</v>
      </c>
      <c r="M138" s="15">
        <v>319900</v>
      </c>
      <c r="N138" s="9">
        <f t="shared" si="13"/>
        <v>0.9</v>
      </c>
      <c r="O138" s="8">
        <f t="shared" si="14"/>
        <v>31990</v>
      </c>
      <c r="P138" s="9" t="str">
        <f t="shared" si="15"/>
        <v>PERCENTAGE</v>
      </c>
    </row>
    <row r="139" spans="1:16" x14ac:dyDescent="0.25">
      <c r="A139" s="6" t="str">
        <f t="shared" si="12"/>
        <v>2023 ALL D90</v>
      </c>
      <c r="B139" s="7">
        <f t="shared" si="10"/>
        <v>46114</v>
      </c>
      <c r="C139" s="7">
        <f t="shared" si="11"/>
        <v>46120</v>
      </c>
      <c r="D139" s="6">
        <v>3280</v>
      </c>
      <c r="E139" s="6">
        <v>337</v>
      </c>
      <c r="F139" s="14">
        <v>4</v>
      </c>
      <c r="G139" s="15">
        <v>3</v>
      </c>
      <c r="H139" s="15">
        <v>81490</v>
      </c>
      <c r="I139" s="15" t="s">
        <v>1505</v>
      </c>
      <c r="J139" s="30">
        <v>79081740</v>
      </c>
      <c r="K139" s="30" t="s">
        <v>3415</v>
      </c>
      <c r="L139" s="30" t="s">
        <v>3540</v>
      </c>
      <c r="M139" s="15">
        <v>319900</v>
      </c>
      <c r="N139" s="9">
        <f t="shared" si="13"/>
        <v>0.9</v>
      </c>
      <c r="O139" s="8">
        <f t="shared" si="14"/>
        <v>31990</v>
      </c>
      <c r="P139" s="9" t="str">
        <f t="shared" si="15"/>
        <v>PERCENTAGE</v>
      </c>
    </row>
    <row r="140" spans="1:16" x14ac:dyDescent="0.25">
      <c r="A140" s="6" t="str">
        <f t="shared" si="12"/>
        <v>2023 ALL D90</v>
      </c>
      <c r="B140" s="7">
        <f t="shared" ref="B140:B203" si="16">B139</f>
        <v>46114</v>
      </c>
      <c r="C140" s="7">
        <f t="shared" ref="C140:C203" si="17">C139</f>
        <v>46120</v>
      </c>
      <c r="D140" s="6">
        <v>3280</v>
      </c>
      <c r="E140" s="6">
        <v>337</v>
      </c>
      <c r="F140" s="14">
        <v>4</v>
      </c>
      <c r="G140" s="15">
        <v>3</v>
      </c>
      <c r="H140" s="15">
        <v>81490</v>
      </c>
      <c r="I140" s="15" t="s">
        <v>1505</v>
      </c>
      <c r="J140" s="30">
        <v>79081759</v>
      </c>
      <c r="K140" s="30" t="s">
        <v>3415</v>
      </c>
      <c r="L140" s="30" t="s">
        <v>3541</v>
      </c>
      <c r="M140" s="15">
        <v>319900</v>
      </c>
      <c r="N140" s="9">
        <f t="shared" si="13"/>
        <v>0.9</v>
      </c>
      <c r="O140" s="8">
        <f t="shared" si="14"/>
        <v>31990</v>
      </c>
      <c r="P140" s="9" t="str">
        <f t="shared" si="15"/>
        <v>PERCENTAGE</v>
      </c>
    </row>
    <row r="141" spans="1:16" x14ac:dyDescent="0.25">
      <c r="A141" s="6" t="str">
        <f t="shared" ref="A141:A204" si="18">A140</f>
        <v>2023 ALL D90</v>
      </c>
      <c r="B141" s="7">
        <f t="shared" si="16"/>
        <v>46114</v>
      </c>
      <c r="C141" s="7">
        <f t="shared" si="17"/>
        <v>46120</v>
      </c>
      <c r="D141" s="6">
        <v>3280</v>
      </c>
      <c r="E141" s="6">
        <v>337</v>
      </c>
      <c r="F141" s="14">
        <v>4</v>
      </c>
      <c r="G141" s="15">
        <v>3</v>
      </c>
      <c r="H141" s="15">
        <v>81490</v>
      </c>
      <c r="I141" s="15" t="s">
        <v>1505</v>
      </c>
      <c r="J141" s="30">
        <v>79081768</v>
      </c>
      <c r="K141" s="30" t="s">
        <v>3415</v>
      </c>
      <c r="L141" s="30" t="s">
        <v>3542</v>
      </c>
      <c r="M141" s="15">
        <v>319900</v>
      </c>
      <c r="N141" s="9">
        <f t="shared" si="13"/>
        <v>0.9</v>
      </c>
      <c r="O141" s="8">
        <f t="shared" si="14"/>
        <v>31990</v>
      </c>
      <c r="P141" s="9" t="str">
        <f t="shared" si="15"/>
        <v>PERCENTAGE</v>
      </c>
    </row>
    <row r="142" spans="1:16" x14ac:dyDescent="0.25">
      <c r="A142" s="6" t="str">
        <f t="shared" si="18"/>
        <v>2023 ALL D90</v>
      </c>
      <c r="B142" s="7">
        <f t="shared" si="16"/>
        <v>46114</v>
      </c>
      <c r="C142" s="7">
        <f t="shared" si="17"/>
        <v>46120</v>
      </c>
      <c r="D142" s="6">
        <v>3280</v>
      </c>
      <c r="E142" s="6">
        <v>337</v>
      </c>
      <c r="F142" s="14">
        <v>4</v>
      </c>
      <c r="G142" s="15">
        <v>3</v>
      </c>
      <c r="H142" s="15">
        <v>81490</v>
      </c>
      <c r="I142" s="15" t="s">
        <v>1505</v>
      </c>
      <c r="J142" s="30">
        <v>79081777</v>
      </c>
      <c r="K142" s="30" t="s">
        <v>3415</v>
      </c>
      <c r="L142" s="30" t="s">
        <v>3543</v>
      </c>
      <c r="M142" s="15">
        <v>319900</v>
      </c>
      <c r="N142" s="9">
        <f t="shared" si="13"/>
        <v>0.9</v>
      </c>
      <c r="O142" s="8">
        <f t="shared" si="14"/>
        <v>31990</v>
      </c>
      <c r="P142" s="9" t="str">
        <f t="shared" si="15"/>
        <v>PERCENTAGE</v>
      </c>
    </row>
    <row r="143" spans="1:16" x14ac:dyDescent="0.25">
      <c r="A143" s="6" t="str">
        <f t="shared" si="18"/>
        <v>2023 ALL D90</v>
      </c>
      <c r="B143" s="7">
        <f t="shared" si="16"/>
        <v>46114</v>
      </c>
      <c r="C143" s="7">
        <f t="shared" si="17"/>
        <v>46120</v>
      </c>
      <c r="D143" s="6">
        <v>3280</v>
      </c>
      <c r="E143" s="6">
        <v>337</v>
      </c>
      <c r="F143" s="14">
        <v>4</v>
      </c>
      <c r="G143" s="15">
        <v>3</v>
      </c>
      <c r="H143" s="15">
        <v>81490</v>
      </c>
      <c r="I143" s="15" t="s">
        <v>1505</v>
      </c>
      <c r="J143" s="30">
        <v>79081786</v>
      </c>
      <c r="K143" s="30" t="s">
        <v>3415</v>
      </c>
      <c r="L143" s="30" t="s">
        <v>3544</v>
      </c>
      <c r="M143" s="15">
        <v>319900</v>
      </c>
      <c r="N143" s="9">
        <f t="shared" si="13"/>
        <v>0.9</v>
      </c>
      <c r="O143" s="8">
        <f t="shared" si="14"/>
        <v>31990</v>
      </c>
      <c r="P143" s="9" t="str">
        <f t="shared" si="15"/>
        <v>PERCENTAGE</v>
      </c>
    </row>
    <row r="144" spans="1:16" x14ac:dyDescent="0.25">
      <c r="A144" s="6" t="str">
        <f t="shared" si="18"/>
        <v>2023 ALL D90</v>
      </c>
      <c r="B144" s="7">
        <f t="shared" si="16"/>
        <v>46114</v>
      </c>
      <c r="C144" s="7">
        <f t="shared" si="17"/>
        <v>46120</v>
      </c>
      <c r="D144" s="6">
        <v>3280</v>
      </c>
      <c r="E144" s="6">
        <v>337</v>
      </c>
      <c r="F144" s="14">
        <v>4</v>
      </c>
      <c r="G144" s="15">
        <v>3</v>
      </c>
      <c r="H144" s="15">
        <v>81490</v>
      </c>
      <c r="I144" s="15" t="s">
        <v>1505</v>
      </c>
      <c r="J144" s="30">
        <v>79081795</v>
      </c>
      <c r="K144" s="30" t="s">
        <v>3415</v>
      </c>
      <c r="L144" s="30" t="s">
        <v>3545</v>
      </c>
      <c r="M144" s="15">
        <v>319900</v>
      </c>
      <c r="N144" s="9">
        <f t="shared" si="13"/>
        <v>0.9</v>
      </c>
      <c r="O144" s="8">
        <f t="shared" si="14"/>
        <v>31990</v>
      </c>
      <c r="P144" s="9" t="str">
        <f t="shared" si="15"/>
        <v>PERCENTAGE</v>
      </c>
    </row>
    <row r="145" spans="1:16" x14ac:dyDescent="0.25">
      <c r="A145" s="6" t="str">
        <f t="shared" si="18"/>
        <v>2023 ALL D90</v>
      </c>
      <c r="B145" s="7">
        <f t="shared" si="16"/>
        <v>46114</v>
      </c>
      <c r="C145" s="7">
        <f t="shared" si="17"/>
        <v>46120</v>
      </c>
      <c r="D145" s="6">
        <v>3280</v>
      </c>
      <c r="E145" s="6">
        <v>337</v>
      </c>
      <c r="F145" s="14">
        <v>4</v>
      </c>
      <c r="G145" s="15">
        <v>3</v>
      </c>
      <c r="H145" s="15">
        <v>81490</v>
      </c>
      <c r="I145" s="15" t="s">
        <v>1505</v>
      </c>
      <c r="J145" s="30">
        <v>79081446</v>
      </c>
      <c r="K145" s="30" t="s">
        <v>4299</v>
      </c>
      <c r="L145" s="30" t="s">
        <v>4302</v>
      </c>
      <c r="M145" s="15">
        <v>319900</v>
      </c>
      <c r="N145" s="9">
        <f t="shared" si="13"/>
        <v>0.9</v>
      </c>
      <c r="O145" s="8">
        <f t="shared" si="14"/>
        <v>31990</v>
      </c>
      <c r="P145" s="9" t="str">
        <f t="shared" si="15"/>
        <v>PERCENTAGE</v>
      </c>
    </row>
    <row r="146" spans="1:16" x14ac:dyDescent="0.25">
      <c r="A146" s="6" t="str">
        <f t="shared" si="18"/>
        <v>2023 ALL D90</v>
      </c>
      <c r="B146" s="7">
        <f t="shared" si="16"/>
        <v>46114</v>
      </c>
      <c r="C146" s="7">
        <f t="shared" si="17"/>
        <v>46120</v>
      </c>
      <c r="D146" s="6">
        <v>3280</v>
      </c>
      <c r="E146" s="6">
        <v>337</v>
      </c>
      <c r="F146" s="14">
        <v>4</v>
      </c>
      <c r="G146" s="15">
        <v>3</v>
      </c>
      <c r="H146" s="15">
        <v>81490</v>
      </c>
      <c r="I146" s="15" t="s">
        <v>1505</v>
      </c>
      <c r="J146" s="30">
        <v>79081455</v>
      </c>
      <c r="K146" s="30" t="s">
        <v>4299</v>
      </c>
      <c r="L146" s="30" t="s">
        <v>4303</v>
      </c>
      <c r="M146" s="15">
        <v>319900</v>
      </c>
      <c r="N146" s="9">
        <f t="shared" si="13"/>
        <v>0.9</v>
      </c>
      <c r="O146" s="8">
        <f t="shared" si="14"/>
        <v>31990</v>
      </c>
      <c r="P146" s="9" t="str">
        <f t="shared" si="15"/>
        <v>PERCENTAGE</v>
      </c>
    </row>
    <row r="147" spans="1:16" x14ac:dyDescent="0.25">
      <c r="A147" s="6" t="str">
        <f t="shared" si="18"/>
        <v>2023 ALL D90</v>
      </c>
      <c r="B147" s="7">
        <f t="shared" si="16"/>
        <v>46114</v>
      </c>
      <c r="C147" s="7">
        <f t="shared" si="17"/>
        <v>46120</v>
      </c>
      <c r="D147" s="6">
        <v>3280</v>
      </c>
      <c r="E147" s="6">
        <v>337</v>
      </c>
      <c r="F147" s="14">
        <v>4</v>
      </c>
      <c r="G147" s="15">
        <v>3</v>
      </c>
      <c r="H147" s="15">
        <v>81490</v>
      </c>
      <c r="I147" s="15" t="s">
        <v>1505</v>
      </c>
      <c r="J147" s="30">
        <v>79081464</v>
      </c>
      <c r="K147" s="30" t="s">
        <v>4299</v>
      </c>
      <c r="L147" s="30" t="s">
        <v>4304</v>
      </c>
      <c r="M147" s="15">
        <v>319900</v>
      </c>
      <c r="N147" s="9">
        <f t="shared" si="13"/>
        <v>0.9</v>
      </c>
      <c r="O147" s="8">
        <f t="shared" si="14"/>
        <v>31990</v>
      </c>
      <c r="P147" s="9" t="str">
        <f t="shared" si="15"/>
        <v>PERCENTAGE</v>
      </c>
    </row>
    <row r="148" spans="1:16" x14ac:dyDescent="0.25">
      <c r="A148" s="6" t="str">
        <f t="shared" si="18"/>
        <v>2023 ALL D90</v>
      </c>
      <c r="B148" s="7">
        <f t="shared" si="16"/>
        <v>46114</v>
      </c>
      <c r="C148" s="7">
        <f t="shared" si="17"/>
        <v>46120</v>
      </c>
      <c r="D148" s="6">
        <v>3280</v>
      </c>
      <c r="E148" s="6">
        <v>337</v>
      </c>
      <c r="F148" s="14">
        <v>4</v>
      </c>
      <c r="G148" s="15">
        <v>3</v>
      </c>
      <c r="H148" s="15">
        <v>81490</v>
      </c>
      <c r="I148" s="15" t="s">
        <v>1505</v>
      </c>
      <c r="J148" s="30">
        <v>79081473</v>
      </c>
      <c r="K148" s="30" t="s">
        <v>4299</v>
      </c>
      <c r="L148" s="30" t="s">
        <v>4305</v>
      </c>
      <c r="M148" s="15">
        <v>319900</v>
      </c>
      <c r="N148" s="9">
        <f t="shared" si="13"/>
        <v>0.9</v>
      </c>
      <c r="O148" s="8">
        <f t="shared" si="14"/>
        <v>31990</v>
      </c>
      <c r="P148" s="9" t="str">
        <f t="shared" si="15"/>
        <v>PERCENTAGE</v>
      </c>
    </row>
    <row r="149" spans="1:16" x14ac:dyDescent="0.25">
      <c r="A149" s="6" t="str">
        <f t="shared" si="18"/>
        <v>2023 ALL D90</v>
      </c>
      <c r="B149" s="7">
        <f t="shared" si="16"/>
        <v>46114</v>
      </c>
      <c r="C149" s="7">
        <f t="shared" si="17"/>
        <v>46120</v>
      </c>
      <c r="D149" s="6">
        <v>3280</v>
      </c>
      <c r="E149" s="6">
        <v>337</v>
      </c>
      <c r="F149" s="14">
        <v>4</v>
      </c>
      <c r="G149" s="15">
        <v>3</v>
      </c>
      <c r="H149" s="15">
        <v>81490</v>
      </c>
      <c r="I149" s="15" t="s">
        <v>1505</v>
      </c>
      <c r="J149" s="30">
        <v>79081482</v>
      </c>
      <c r="K149" s="30" t="s">
        <v>4299</v>
      </c>
      <c r="L149" s="30" t="s">
        <v>4306</v>
      </c>
      <c r="M149" s="15">
        <v>319900</v>
      </c>
      <c r="N149" s="9">
        <f t="shared" si="13"/>
        <v>0.9</v>
      </c>
      <c r="O149" s="8">
        <f t="shared" si="14"/>
        <v>31990</v>
      </c>
      <c r="P149" s="9" t="str">
        <f t="shared" si="15"/>
        <v>PERCENTAGE</v>
      </c>
    </row>
    <row r="150" spans="1:16" x14ac:dyDescent="0.25">
      <c r="A150" s="6" t="str">
        <f t="shared" si="18"/>
        <v>2023 ALL D90</v>
      </c>
      <c r="B150" s="7">
        <f t="shared" si="16"/>
        <v>46114</v>
      </c>
      <c r="C150" s="7">
        <f t="shared" si="17"/>
        <v>46120</v>
      </c>
      <c r="D150" s="6">
        <v>3280</v>
      </c>
      <c r="E150" s="6">
        <v>337</v>
      </c>
      <c r="F150" s="14">
        <v>4</v>
      </c>
      <c r="G150" s="15">
        <v>3</v>
      </c>
      <c r="H150" s="15">
        <v>81490</v>
      </c>
      <c r="I150" s="15" t="s">
        <v>1505</v>
      </c>
      <c r="J150" s="30">
        <v>79081491</v>
      </c>
      <c r="K150" s="30" t="s">
        <v>4299</v>
      </c>
      <c r="L150" s="30" t="s">
        <v>4307</v>
      </c>
      <c r="M150" s="15">
        <v>319900</v>
      </c>
      <c r="N150" s="9">
        <f t="shared" si="13"/>
        <v>0.9</v>
      </c>
      <c r="O150" s="8">
        <f t="shared" si="14"/>
        <v>31990</v>
      </c>
      <c r="P150" s="9" t="str">
        <f t="shared" si="15"/>
        <v>PERCENTAGE</v>
      </c>
    </row>
    <row r="151" spans="1:16" x14ac:dyDescent="0.25">
      <c r="A151" s="6" t="str">
        <f t="shared" si="18"/>
        <v>2023 ALL D90</v>
      </c>
      <c r="B151" s="7">
        <f t="shared" si="16"/>
        <v>46114</v>
      </c>
      <c r="C151" s="7">
        <f t="shared" si="17"/>
        <v>46120</v>
      </c>
      <c r="D151" s="6">
        <v>3280</v>
      </c>
      <c r="E151" s="6">
        <v>337</v>
      </c>
      <c r="F151" s="14">
        <v>4</v>
      </c>
      <c r="G151" s="15">
        <v>3</v>
      </c>
      <c r="H151" s="15">
        <v>81490</v>
      </c>
      <c r="I151" s="15" t="s">
        <v>1505</v>
      </c>
      <c r="J151" s="30">
        <v>79356382</v>
      </c>
      <c r="K151" s="30" t="s">
        <v>4299</v>
      </c>
      <c r="L151" s="30" t="s">
        <v>4308</v>
      </c>
      <c r="M151" s="15">
        <v>319900</v>
      </c>
      <c r="N151" s="9">
        <f t="shared" si="13"/>
        <v>0.9</v>
      </c>
      <c r="O151" s="8">
        <f t="shared" si="14"/>
        <v>31990</v>
      </c>
      <c r="P151" s="9" t="str">
        <f t="shared" si="15"/>
        <v>PERCENTAGE</v>
      </c>
    </row>
    <row r="152" spans="1:16" x14ac:dyDescent="0.25">
      <c r="A152" s="6" t="str">
        <f t="shared" si="18"/>
        <v>2023 ALL D90</v>
      </c>
      <c r="B152" s="7">
        <f t="shared" si="16"/>
        <v>46114</v>
      </c>
      <c r="C152" s="7">
        <f t="shared" si="17"/>
        <v>46120</v>
      </c>
      <c r="D152" s="6">
        <v>3280</v>
      </c>
      <c r="E152" s="6">
        <v>337</v>
      </c>
      <c r="F152" s="14">
        <v>4</v>
      </c>
      <c r="G152" s="15">
        <v>3</v>
      </c>
      <c r="H152" s="15">
        <v>81490</v>
      </c>
      <c r="I152" s="15" t="s">
        <v>1505</v>
      </c>
      <c r="J152" s="30">
        <v>79081080</v>
      </c>
      <c r="K152" s="30" t="s">
        <v>3406</v>
      </c>
      <c r="L152" s="30" t="s">
        <v>3481</v>
      </c>
      <c r="M152" s="15">
        <v>319900</v>
      </c>
      <c r="N152" s="9">
        <f t="shared" si="13"/>
        <v>0.9</v>
      </c>
      <c r="O152" s="8">
        <f t="shared" si="14"/>
        <v>31990</v>
      </c>
      <c r="P152" s="9" t="str">
        <f t="shared" si="15"/>
        <v>PERCENTAGE</v>
      </c>
    </row>
    <row r="153" spans="1:16" x14ac:dyDescent="0.25">
      <c r="A153" s="6" t="str">
        <f t="shared" si="18"/>
        <v>2023 ALL D90</v>
      </c>
      <c r="B153" s="7">
        <f t="shared" si="16"/>
        <v>46114</v>
      </c>
      <c r="C153" s="7">
        <f t="shared" si="17"/>
        <v>46120</v>
      </c>
      <c r="D153" s="6">
        <v>3280</v>
      </c>
      <c r="E153" s="6">
        <v>337</v>
      </c>
      <c r="F153" s="14">
        <v>4</v>
      </c>
      <c r="G153" s="15">
        <v>3</v>
      </c>
      <c r="H153" s="15">
        <v>81490</v>
      </c>
      <c r="I153" s="15" t="s">
        <v>1505</v>
      </c>
      <c r="J153" s="30">
        <v>79081099</v>
      </c>
      <c r="K153" s="30" t="s">
        <v>3406</v>
      </c>
      <c r="L153" s="30" t="s">
        <v>3482</v>
      </c>
      <c r="M153" s="15">
        <v>319900</v>
      </c>
      <c r="N153" s="9">
        <f t="shared" si="13"/>
        <v>0.9</v>
      </c>
      <c r="O153" s="8">
        <f t="shared" si="14"/>
        <v>31990</v>
      </c>
      <c r="P153" s="9" t="str">
        <f t="shared" si="15"/>
        <v>PERCENTAGE</v>
      </c>
    </row>
    <row r="154" spans="1:16" x14ac:dyDescent="0.25">
      <c r="A154" s="6" t="str">
        <f t="shared" si="18"/>
        <v>2023 ALL D90</v>
      </c>
      <c r="B154" s="7">
        <f t="shared" si="16"/>
        <v>46114</v>
      </c>
      <c r="C154" s="7">
        <f t="shared" si="17"/>
        <v>46120</v>
      </c>
      <c r="D154" s="6">
        <v>3280</v>
      </c>
      <c r="E154" s="6">
        <v>337</v>
      </c>
      <c r="F154" s="14">
        <v>4</v>
      </c>
      <c r="G154" s="15">
        <v>3</v>
      </c>
      <c r="H154" s="15">
        <v>81490</v>
      </c>
      <c r="I154" s="15" t="s">
        <v>1505</v>
      </c>
      <c r="J154" s="30">
        <v>79081106</v>
      </c>
      <c r="K154" s="30" t="s">
        <v>3406</v>
      </c>
      <c r="L154" s="30" t="s">
        <v>3483</v>
      </c>
      <c r="M154" s="15">
        <v>319900</v>
      </c>
      <c r="N154" s="9">
        <f t="shared" si="13"/>
        <v>0.9</v>
      </c>
      <c r="O154" s="8">
        <f t="shared" si="14"/>
        <v>31990</v>
      </c>
      <c r="P154" s="9" t="str">
        <f t="shared" si="15"/>
        <v>PERCENTAGE</v>
      </c>
    </row>
    <row r="155" spans="1:16" x14ac:dyDescent="0.25">
      <c r="A155" s="6" t="str">
        <f t="shared" si="18"/>
        <v>2023 ALL D90</v>
      </c>
      <c r="B155" s="7">
        <f t="shared" si="16"/>
        <v>46114</v>
      </c>
      <c r="C155" s="7">
        <f t="shared" si="17"/>
        <v>46120</v>
      </c>
      <c r="D155" s="6">
        <v>3280</v>
      </c>
      <c r="E155" s="6">
        <v>337</v>
      </c>
      <c r="F155" s="14">
        <v>4</v>
      </c>
      <c r="G155" s="15">
        <v>3</v>
      </c>
      <c r="H155" s="15">
        <v>81490</v>
      </c>
      <c r="I155" s="15" t="s">
        <v>1505</v>
      </c>
      <c r="J155" s="30">
        <v>79081115</v>
      </c>
      <c r="K155" s="30" t="s">
        <v>3406</v>
      </c>
      <c r="L155" s="30" t="s">
        <v>3484</v>
      </c>
      <c r="M155" s="15">
        <v>319900</v>
      </c>
      <c r="N155" s="9">
        <f t="shared" si="13"/>
        <v>0.9</v>
      </c>
      <c r="O155" s="8">
        <f t="shared" si="14"/>
        <v>31990</v>
      </c>
      <c r="P155" s="9" t="str">
        <f t="shared" si="15"/>
        <v>PERCENTAGE</v>
      </c>
    </row>
    <row r="156" spans="1:16" x14ac:dyDescent="0.25">
      <c r="A156" s="6" t="str">
        <f t="shared" si="18"/>
        <v>2023 ALL D90</v>
      </c>
      <c r="B156" s="7">
        <f t="shared" si="16"/>
        <v>46114</v>
      </c>
      <c r="C156" s="7">
        <f t="shared" si="17"/>
        <v>46120</v>
      </c>
      <c r="D156" s="6">
        <v>3280</v>
      </c>
      <c r="E156" s="6">
        <v>337</v>
      </c>
      <c r="F156" s="14">
        <v>4</v>
      </c>
      <c r="G156" s="15">
        <v>3</v>
      </c>
      <c r="H156" s="15">
        <v>81490</v>
      </c>
      <c r="I156" s="15" t="s">
        <v>1505</v>
      </c>
      <c r="J156" s="30">
        <v>79081124</v>
      </c>
      <c r="K156" s="30" t="s">
        <v>3406</v>
      </c>
      <c r="L156" s="30" t="s">
        <v>3485</v>
      </c>
      <c r="M156" s="15">
        <v>319900</v>
      </c>
      <c r="N156" s="9">
        <f t="shared" si="13"/>
        <v>0.9</v>
      </c>
      <c r="O156" s="8">
        <f t="shared" si="14"/>
        <v>31990</v>
      </c>
      <c r="P156" s="9" t="str">
        <f t="shared" si="15"/>
        <v>PERCENTAGE</v>
      </c>
    </row>
    <row r="157" spans="1:16" x14ac:dyDescent="0.25">
      <c r="A157" s="6" t="str">
        <f t="shared" si="18"/>
        <v>2023 ALL D90</v>
      </c>
      <c r="B157" s="7">
        <f t="shared" si="16"/>
        <v>46114</v>
      </c>
      <c r="C157" s="7">
        <f t="shared" si="17"/>
        <v>46120</v>
      </c>
      <c r="D157" s="6">
        <v>3280</v>
      </c>
      <c r="E157" s="6">
        <v>337</v>
      </c>
      <c r="F157" s="14">
        <v>4</v>
      </c>
      <c r="G157" s="15">
        <v>3</v>
      </c>
      <c r="H157" s="15">
        <v>81490</v>
      </c>
      <c r="I157" s="15" t="s">
        <v>1505</v>
      </c>
      <c r="J157" s="30">
        <v>79081133</v>
      </c>
      <c r="K157" s="30" t="s">
        <v>3406</v>
      </c>
      <c r="L157" s="30" t="s">
        <v>3486</v>
      </c>
      <c r="M157" s="15">
        <v>319900</v>
      </c>
      <c r="N157" s="9">
        <f t="shared" si="13"/>
        <v>0.9</v>
      </c>
      <c r="O157" s="8">
        <f t="shared" si="14"/>
        <v>31990</v>
      </c>
      <c r="P157" s="9" t="str">
        <f t="shared" si="15"/>
        <v>PERCENTAGE</v>
      </c>
    </row>
    <row r="158" spans="1:16" x14ac:dyDescent="0.25">
      <c r="A158" s="6" t="str">
        <f t="shared" si="18"/>
        <v>2023 ALL D90</v>
      </c>
      <c r="B158" s="7">
        <f t="shared" si="16"/>
        <v>46114</v>
      </c>
      <c r="C158" s="7">
        <f t="shared" si="17"/>
        <v>46120</v>
      </c>
      <c r="D158" s="6">
        <v>3280</v>
      </c>
      <c r="E158" s="6">
        <v>337</v>
      </c>
      <c r="F158" s="14">
        <v>4</v>
      </c>
      <c r="G158" s="15">
        <v>3</v>
      </c>
      <c r="H158" s="15">
        <v>81490</v>
      </c>
      <c r="I158" s="15" t="s">
        <v>1505</v>
      </c>
      <c r="J158" s="30">
        <v>79081142</v>
      </c>
      <c r="K158" s="30" t="s">
        <v>3407</v>
      </c>
      <c r="L158" s="30" t="s">
        <v>3487</v>
      </c>
      <c r="M158" s="15">
        <v>319900</v>
      </c>
      <c r="N158" s="9">
        <f t="shared" si="13"/>
        <v>0.9</v>
      </c>
      <c r="O158" s="8">
        <f t="shared" si="14"/>
        <v>31990</v>
      </c>
      <c r="P158" s="9" t="str">
        <f t="shared" si="15"/>
        <v>PERCENTAGE</v>
      </c>
    </row>
    <row r="159" spans="1:16" x14ac:dyDescent="0.25">
      <c r="A159" s="6" t="str">
        <f t="shared" si="18"/>
        <v>2023 ALL D90</v>
      </c>
      <c r="B159" s="7">
        <f t="shared" si="16"/>
        <v>46114</v>
      </c>
      <c r="C159" s="7">
        <f t="shared" si="17"/>
        <v>46120</v>
      </c>
      <c r="D159" s="6">
        <v>3280</v>
      </c>
      <c r="E159" s="6">
        <v>337</v>
      </c>
      <c r="F159" s="14">
        <v>4</v>
      </c>
      <c r="G159" s="15">
        <v>3</v>
      </c>
      <c r="H159" s="15">
        <v>81490</v>
      </c>
      <c r="I159" s="15" t="s">
        <v>1505</v>
      </c>
      <c r="J159" s="30">
        <v>79081151</v>
      </c>
      <c r="K159" s="30" t="s">
        <v>3407</v>
      </c>
      <c r="L159" s="30" t="s">
        <v>3488</v>
      </c>
      <c r="M159" s="15">
        <v>319900</v>
      </c>
      <c r="N159" s="9">
        <f t="shared" si="13"/>
        <v>0.9</v>
      </c>
      <c r="O159" s="8">
        <f t="shared" si="14"/>
        <v>31990</v>
      </c>
      <c r="P159" s="9" t="str">
        <f t="shared" si="15"/>
        <v>PERCENTAGE</v>
      </c>
    </row>
    <row r="160" spans="1:16" x14ac:dyDescent="0.25">
      <c r="A160" s="6" t="str">
        <f t="shared" si="18"/>
        <v>2023 ALL D90</v>
      </c>
      <c r="B160" s="7">
        <f t="shared" si="16"/>
        <v>46114</v>
      </c>
      <c r="C160" s="7">
        <f t="shared" si="17"/>
        <v>46120</v>
      </c>
      <c r="D160" s="6">
        <v>3280</v>
      </c>
      <c r="E160" s="6">
        <v>337</v>
      </c>
      <c r="F160" s="14">
        <v>4</v>
      </c>
      <c r="G160" s="15">
        <v>3</v>
      </c>
      <c r="H160" s="15">
        <v>81490</v>
      </c>
      <c r="I160" s="15" t="s">
        <v>1505</v>
      </c>
      <c r="J160" s="30">
        <v>79081160</v>
      </c>
      <c r="K160" s="30" t="s">
        <v>3407</v>
      </c>
      <c r="L160" s="30" t="s">
        <v>3489</v>
      </c>
      <c r="M160" s="15">
        <v>319900</v>
      </c>
      <c r="N160" s="9">
        <f t="shared" si="13"/>
        <v>0.9</v>
      </c>
      <c r="O160" s="8">
        <f t="shared" si="14"/>
        <v>31990</v>
      </c>
      <c r="P160" s="9" t="str">
        <f t="shared" si="15"/>
        <v>PERCENTAGE</v>
      </c>
    </row>
    <row r="161" spans="1:16" x14ac:dyDescent="0.25">
      <c r="A161" s="6" t="str">
        <f t="shared" si="18"/>
        <v>2023 ALL D90</v>
      </c>
      <c r="B161" s="7">
        <f t="shared" si="16"/>
        <v>46114</v>
      </c>
      <c r="C161" s="7">
        <f t="shared" si="17"/>
        <v>46120</v>
      </c>
      <c r="D161" s="6">
        <v>3280</v>
      </c>
      <c r="E161" s="6">
        <v>337</v>
      </c>
      <c r="F161" s="14">
        <v>4</v>
      </c>
      <c r="G161" s="15">
        <v>3</v>
      </c>
      <c r="H161" s="15">
        <v>81490</v>
      </c>
      <c r="I161" s="15" t="s">
        <v>1505</v>
      </c>
      <c r="J161" s="30">
        <v>79081179</v>
      </c>
      <c r="K161" s="30" t="s">
        <v>3407</v>
      </c>
      <c r="L161" s="30" t="s">
        <v>3490</v>
      </c>
      <c r="M161" s="15">
        <v>319900</v>
      </c>
      <c r="N161" s="9">
        <f t="shared" si="13"/>
        <v>0.9</v>
      </c>
      <c r="O161" s="8">
        <f t="shared" si="14"/>
        <v>31990</v>
      </c>
      <c r="P161" s="9" t="str">
        <f t="shared" si="15"/>
        <v>PERCENTAGE</v>
      </c>
    </row>
    <row r="162" spans="1:16" x14ac:dyDescent="0.25">
      <c r="A162" s="6" t="str">
        <f t="shared" si="18"/>
        <v>2023 ALL D90</v>
      </c>
      <c r="B162" s="7">
        <f t="shared" si="16"/>
        <v>46114</v>
      </c>
      <c r="C162" s="7">
        <f t="shared" si="17"/>
        <v>46120</v>
      </c>
      <c r="D162" s="6">
        <v>3280</v>
      </c>
      <c r="E162" s="6">
        <v>337</v>
      </c>
      <c r="F162" s="14">
        <v>4</v>
      </c>
      <c r="G162" s="15">
        <v>3</v>
      </c>
      <c r="H162" s="15">
        <v>81490</v>
      </c>
      <c r="I162" s="15" t="s">
        <v>1505</v>
      </c>
      <c r="J162" s="30">
        <v>79081188</v>
      </c>
      <c r="K162" s="30" t="s">
        <v>3407</v>
      </c>
      <c r="L162" s="30" t="s">
        <v>3491</v>
      </c>
      <c r="M162" s="15">
        <v>319900</v>
      </c>
      <c r="N162" s="9">
        <f t="shared" si="13"/>
        <v>0.9</v>
      </c>
      <c r="O162" s="8">
        <f t="shared" si="14"/>
        <v>31990</v>
      </c>
      <c r="P162" s="9" t="str">
        <f t="shared" si="15"/>
        <v>PERCENTAGE</v>
      </c>
    </row>
    <row r="163" spans="1:16" x14ac:dyDescent="0.25">
      <c r="A163" s="6" t="str">
        <f t="shared" si="18"/>
        <v>2023 ALL D90</v>
      </c>
      <c r="B163" s="7">
        <f t="shared" si="16"/>
        <v>46114</v>
      </c>
      <c r="C163" s="7">
        <f t="shared" si="17"/>
        <v>46120</v>
      </c>
      <c r="D163" s="6">
        <v>3280</v>
      </c>
      <c r="E163" s="6">
        <v>337</v>
      </c>
      <c r="F163" s="14">
        <v>4</v>
      </c>
      <c r="G163" s="15">
        <v>3</v>
      </c>
      <c r="H163" s="15">
        <v>81490</v>
      </c>
      <c r="I163" s="15" t="s">
        <v>1505</v>
      </c>
      <c r="J163" s="30">
        <v>79081197</v>
      </c>
      <c r="K163" s="30" t="s">
        <v>3407</v>
      </c>
      <c r="L163" s="30" t="s">
        <v>3492</v>
      </c>
      <c r="M163" s="15">
        <v>319900</v>
      </c>
      <c r="N163" s="9">
        <f t="shared" si="13"/>
        <v>0.9</v>
      </c>
      <c r="O163" s="8">
        <f t="shared" si="14"/>
        <v>31990</v>
      </c>
      <c r="P163" s="9" t="str">
        <f t="shared" si="15"/>
        <v>PERCENTAGE</v>
      </c>
    </row>
    <row r="164" spans="1:16" x14ac:dyDescent="0.25">
      <c r="A164" s="6" t="str">
        <f t="shared" si="18"/>
        <v>2023 ALL D90</v>
      </c>
      <c r="B164" s="7">
        <f t="shared" si="16"/>
        <v>46114</v>
      </c>
      <c r="C164" s="7">
        <f t="shared" si="17"/>
        <v>46120</v>
      </c>
      <c r="D164" s="6">
        <v>3280</v>
      </c>
      <c r="E164" s="6">
        <v>337</v>
      </c>
      <c r="F164" s="14">
        <v>4</v>
      </c>
      <c r="G164" s="15">
        <v>3</v>
      </c>
      <c r="H164" s="15">
        <v>81495</v>
      </c>
      <c r="I164" s="15" t="s">
        <v>1505</v>
      </c>
      <c r="J164" s="30">
        <v>79602276</v>
      </c>
      <c r="K164" s="30" t="s">
        <v>3396</v>
      </c>
      <c r="L164" s="30" t="s">
        <v>3417</v>
      </c>
      <c r="M164" s="15">
        <v>319900</v>
      </c>
      <c r="N164" s="9">
        <f t="shared" si="13"/>
        <v>0.9</v>
      </c>
      <c r="O164" s="8">
        <f t="shared" si="14"/>
        <v>31990</v>
      </c>
      <c r="P164" s="9" t="str">
        <f t="shared" si="15"/>
        <v>PERCENTAGE</v>
      </c>
    </row>
    <row r="165" spans="1:16" x14ac:dyDescent="0.25">
      <c r="A165" s="6" t="str">
        <f t="shared" si="18"/>
        <v>2023 ALL D90</v>
      </c>
      <c r="B165" s="7">
        <f t="shared" si="16"/>
        <v>46114</v>
      </c>
      <c r="C165" s="7">
        <f t="shared" si="17"/>
        <v>46120</v>
      </c>
      <c r="D165" s="6">
        <v>3280</v>
      </c>
      <c r="E165" s="6">
        <v>337</v>
      </c>
      <c r="F165" s="14">
        <v>4</v>
      </c>
      <c r="G165" s="15">
        <v>3</v>
      </c>
      <c r="H165" s="15">
        <v>81495</v>
      </c>
      <c r="I165" s="15" t="s">
        <v>1505</v>
      </c>
      <c r="J165" s="30">
        <v>79602285</v>
      </c>
      <c r="K165" s="30" t="s">
        <v>3396</v>
      </c>
      <c r="L165" s="30" t="s">
        <v>3418</v>
      </c>
      <c r="M165" s="15">
        <v>319900</v>
      </c>
      <c r="N165" s="9">
        <f t="shared" si="13"/>
        <v>0.9</v>
      </c>
      <c r="O165" s="8">
        <f t="shared" si="14"/>
        <v>31990</v>
      </c>
      <c r="P165" s="9" t="str">
        <f t="shared" si="15"/>
        <v>PERCENTAGE</v>
      </c>
    </row>
    <row r="166" spans="1:16" x14ac:dyDescent="0.25">
      <c r="A166" s="6" t="str">
        <f t="shared" si="18"/>
        <v>2023 ALL D90</v>
      </c>
      <c r="B166" s="7">
        <f t="shared" si="16"/>
        <v>46114</v>
      </c>
      <c r="C166" s="7">
        <f t="shared" si="17"/>
        <v>46120</v>
      </c>
      <c r="D166" s="6">
        <v>3280</v>
      </c>
      <c r="E166" s="6">
        <v>337</v>
      </c>
      <c r="F166" s="14">
        <v>4</v>
      </c>
      <c r="G166" s="15">
        <v>3</v>
      </c>
      <c r="H166" s="15">
        <v>81495</v>
      </c>
      <c r="I166" s="15" t="s">
        <v>1505</v>
      </c>
      <c r="J166" s="30">
        <v>79602294</v>
      </c>
      <c r="K166" s="30" t="s">
        <v>3396</v>
      </c>
      <c r="L166" s="30" t="s">
        <v>3419</v>
      </c>
      <c r="M166" s="15">
        <v>319900</v>
      </c>
      <c r="N166" s="9">
        <f t="shared" si="13"/>
        <v>0.9</v>
      </c>
      <c r="O166" s="8">
        <f t="shared" si="14"/>
        <v>31990</v>
      </c>
      <c r="P166" s="9" t="str">
        <f t="shared" si="15"/>
        <v>PERCENTAGE</v>
      </c>
    </row>
    <row r="167" spans="1:16" x14ac:dyDescent="0.25">
      <c r="A167" s="6" t="str">
        <f t="shared" si="18"/>
        <v>2023 ALL D90</v>
      </c>
      <c r="B167" s="7">
        <f t="shared" si="16"/>
        <v>46114</v>
      </c>
      <c r="C167" s="7">
        <f t="shared" si="17"/>
        <v>46120</v>
      </c>
      <c r="D167" s="6">
        <v>3280</v>
      </c>
      <c r="E167" s="6">
        <v>337</v>
      </c>
      <c r="F167" s="14">
        <v>4</v>
      </c>
      <c r="G167" s="15">
        <v>3</v>
      </c>
      <c r="H167" s="15">
        <v>81495</v>
      </c>
      <c r="I167" s="15" t="s">
        <v>1505</v>
      </c>
      <c r="J167" s="30">
        <v>79602301</v>
      </c>
      <c r="K167" s="30" t="s">
        <v>3396</v>
      </c>
      <c r="L167" s="30" t="s">
        <v>3420</v>
      </c>
      <c r="M167" s="15">
        <v>319900</v>
      </c>
      <c r="N167" s="9">
        <f t="shared" si="13"/>
        <v>0.9</v>
      </c>
      <c r="O167" s="8">
        <f t="shared" si="14"/>
        <v>31990</v>
      </c>
      <c r="P167" s="9" t="str">
        <f t="shared" si="15"/>
        <v>PERCENTAGE</v>
      </c>
    </row>
    <row r="168" spans="1:16" x14ac:dyDescent="0.25">
      <c r="A168" s="6" t="str">
        <f t="shared" si="18"/>
        <v>2023 ALL D90</v>
      </c>
      <c r="B168" s="7">
        <f t="shared" si="16"/>
        <v>46114</v>
      </c>
      <c r="C168" s="7">
        <f t="shared" si="17"/>
        <v>46120</v>
      </c>
      <c r="D168" s="6">
        <v>3280</v>
      </c>
      <c r="E168" s="6">
        <v>337</v>
      </c>
      <c r="F168" s="14">
        <v>4</v>
      </c>
      <c r="G168" s="15">
        <v>3</v>
      </c>
      <c r="H168" s="15">
        <v>81495</v>
      </c>
      <c r="I168" s="15" t="s">
        <v>1505</v>
      </c>
      <c r="J168" s="30">
        <v>79602310</v>
      </c>
      <c r="K168" s="30" t="s">
        <v>3396</v>
      </c>
      <c r="L168" s="30" t="s">
        <v>3421</v>
      </c>
      <c r="M168" s="15">
        <v>319900</v>
      </c>
      <c r="N168" s="9">
        <f t="shared" si="13"/>
        <v>0.9</v>
      </c>
      <c r="O168" s="8">
        <f t="shared" si="14"/>
        <v>31990</v>
      </c>
      <c r="P168" s="9" t="str">
        <f t="shared" si="15"/>
        <v>PERCENTAGE</v>
      </c>
    </row>
    <row r="169" spans="1:16" x14ac:dyDescent="0.25">
      <c r="A169" s="6" t="str">
        <f t="shared" si="18"/>
        <v>2023 ALL D90</v>
      </c>
      <c r="B169" s="7">
        <f t="shared" si="16"/>
        <v>46114</v>
      </c>
      <c r="C169" s="7">
        <f t="shared" si="17"/>
        <v>46120</v>
      </c>
      <c r="D169" s="6">
        <v>3280</v>
      </c>
      <c r="E169" s="6">
        <v>337</v>
      </c>
      <c r="F169" s="14">
        <v>4</v>
      </c>
      <c r="G169" s="15">
        <v>3</v>
      </c>
      <c r="H169" s="15">
        <v>81495</v>
      </c>
      <c r="I169" s="15" t="s">
        <v>1505</v>
      </c>
      <c r="J169" s="30">
        <v>79602329</v>
      </c>
      <c r="K169" s="30" t="s">
        <v>3396</v>
      </c>
      <c r="L169" s="30" t="s">
        <v>3422</v>
      </c>
      <c r="M169" s="15">
        <v>319900</v>
      </c>
      <c r="N169" s="9">
        <f t="shared" si="13"/>
        <v>0.9</v>
      </c>
      <c r="O169" s="8">
        <f t="shared" si="14"/>
        <v>31990</v>
      </c>
      <c r="P169" s="9" t="str">
        <f t="shared" si="15"/>
        <v>PERCENTAGE</v>
      </c>
    </row>
    <row r="170" spans="1:16" x14ac:dyDescent="0.25">
      <c r="A170" s="6" t="str">
        <f t="shared" si="18"/>
        <v>2023 ALL D90</v>
      </c>
      <c r="B170" s="7">
        <f t="shared" si="16"/>
        <v>46114</v>
      </c>
      <c r="C170" s="7">
        <f t="shared" si="17"/>
        <v>46120</v>
      </c>
      <c r="D170" s="6">
        <v>3280</v>
      </c>
      <c r="E170" s="6">
        <v>337</v>
      </c>
      <c r="F170" s="14">
        <v>4</v>
      </c>
      <c r="G170" s="15">
        <v>3</v>
      </c>
      <c r="H170" s="15">
        <v>81495</v>
      </c>
      <c r="I170" s="15" t="s">
        <v>1505</v>
      </c>
      <c r="J170" s="30">
        <v>79602338</v>
      </c>
      <c r="K170" s="30" t="s">
        <v>3397</v>
      </c>
      <c r="L170" s="30" t="s">
        <v>3423</v>
      </c>
      <c r="M170" s="15">
        <v>319900</v>
      </c>
      <c r="N170" s="9">
        <f t="shared" si="13"/>
        <v>0.9</v>
      </c>
      <c r="O170" s="8">
        <f t="shared" si="14"/>
        <v>31990</v>
      </c>
      <c r="P170" s="9" t="str">
        <f t="shared" si="15"/>
        <v>PERCENTAGE</v>
      </c>
    </row>
    <row r="171" spans="1:16" x14ac:dyDescent="0.25">
      <c r="A171" s="6" t="str">
        <f t="shared" si="18"/>
        <v>2023 ALL D90</v>
      </c>
      <c r="B171" s="7">
        <f t="shared" si="16"/>
        <v>46114</v>
      </c>
      <c r="C171" s="7">
        <f t="shared" si="17"/>
        <v>46120</v>
      </c>
      <c r="D171" s="6">
        <v>3280</v>
      </c>
      <c r="E171" s="6">
        <v>337</v>
      </c>
      <c r="F171" s="14">
        <v>4</v>
      </c>
      <c r="G171" s="15">
        <v>3</v>
      </c>
      <c r="H171" s="15">
        <v>81495</v>
      </c>
      <c r="I171" s="15" t="s">
        <v>1505</v>
      </c>
      <c r="J171" s="30">
        <v>79602347</v>
      </c>
      <c r="K171" s="30" t="s">
        <v>3397</v>
      </c>
      <c r="L171" s="30" t="s">
        <v>3424</v>
      </c>
      <c r="M171" s="15">
        <v>319900</v>
      </c>
      <c r="N171" s="9">
        <f t="shared" si="13"/>
        <v>0.9</v>
      </c>
      <c r="O171" s="8">
        <f t="shared" si="14"/>
        <v>31990</v>
      </c>
      <c r="P171" s="9" t="str">
        <f t="shared" si="15"/>
        <v>PERCENTAGE</v>
      </c>
    </row>
    <row r="172" spans="1:16" x14ac:dyDescent="0.25">
      <c r="A172" s="6" t="str">
        <f t="shared" si="18"/>
        <v>2023 ALL D90</v>
      </c>
      <c r="B172" s="7">
        <f t="shared" si="16"/>
        <v>46114</v>
      </c>
      <c r="C172" s="7">
        <f t="shared" si="17"/>
        <v>46120</v>
      </c>
      <c r="D172" s="6">
        <v>3280</v>
      </c>
      <c r="E172" s="6">
        <v>337</v>
      </c>
      <c r="F172" s="14">
        <v>4</v>
      </c>
      <c r="G172" s="15">
        <v>3</v>
      </c>
      <c r="H172" s="15">
        <v>81495</v>
      </c>
      <c r="I172" s="15" t="s">
        <v>1505</v>
      </c>
      <c r="J172" s="30">
        <v>79602356</v>
      </c>
      <c r="K172" s="30" t="s">
        <v>3397</v>
      </c>
      <c r="L172" s="30" t="s">
        <v>3425</v>
      </c>
      <c r="M172" s="15">
        <v>319900</v>
      </c>
      <c r="N172" s="9">
        <f t="shared" si="13"/>
        <v>0.9</v>
      </c>
      <c r="O172" s="8">
        <f t="shared" si="14"/>
        <v>31990</v>
      </c>
      <c r="P172" s="9" t="str">
        <f t="shared" si="15"/>
        <v>PERCENTAGE</v>
      </c>
    </row>
    <row r="173" spans="1:16" x14ac:dyDescent="0.25">
      <c r="A173" s="6" t="str">
        <f t="shared" si="18"/>
        <v>2023 ALL D90</v>
      </c>
      <c r="B173" s="7">
        <f t="shared" si="16"/>
        <v>46114</v>
      </c>
      <c r="C173" s="7">
        <f t="shared" si="17"/>
        <v>46120</v>
      </c>
      <c r="D173" s="6">
        <v>3280</v>
      </c>
      <c r="E173" s="6">
        <v>337</v>
      </c>
      <c r="F173" s="14">
        <v>4</v>
      </c>
      <c r="G173" s="15">
        <v>3</v>
      </c>
      <c r="H173" s="15">
        <v>81495</v>
      </c>
      <c r="I173" s="15" t="s">
        <v>1505</v>
      </c>
      <c r="J173" s="30">
        <v>79602365</v>
      </c>
      <c r="K173" s="30" t="s">
        <v>3397</v>
      </c>
      <c r="L173" s="30" t="s">
        <v>3426</v>
      </c>
      <c r="M173" s="15">
        <v>319900</v>
      </c>
      <c r="N173" s="9">
        <f t="shared" si="13"/>
        <v>0.9</v>
      </c>
      <c r="O173" s="8">
        <f t="shared" si="14"/>
        <v>31990</v>
      </c>
      <c r="P173" s="9" t="str">
        <f t="shared" si="15"/>
        <v>PERCENTAGE</v>
      </c>
    </row>
    <row r="174" spans="1:16" x14ac:dyDescent="0.25">
      <c r="A174" s="6" t="str">
        <f t="shared" si="18"/>
        <v>2023 ALL D90</v>
      </c>
      <c r="B174" s="7">
        <f t="shared" si="16"/>
        <v>46114</v>
      </c>
      <c r="C174" s="7">
        <f t="shared" si="17"/>
        <v>46120</v>
      </c>
      <c r="D174" s="6">
        <v>3280</v>
      </c>
      <c r="E174" s="6">
        <v>337</v>
      </c>
      <c r="F174" s="14">
        <v>4</v>
      </c>
      <c r="G174" s="15">
        <v>3</v>
      </c>
      <c r="H174" s="15">
        <v>81495</v>
      </c>
      <c r="I174" s="15" t="s">
        <v>1505</v>
      </c>
      <c r="J174" s="30">
        <v>79602374</v>
      </c>
      <c r="K174" s="30" t="s">
        <v>3397</v>
      </c>
      <c r="L174" s="30" t="s">
        <v>3427</v>
      </c>
      <c r="M174" s="15">
        <v>319900</v>
      </c>
      <c r="N174" s="9">
        <f t="shared" si="13"/>
        <v>0.9</v>
      </c>
      <c r="O174" s="8">
        <f t="shared" si="14"/>
        <v>31990</v>
      </c>
      <c r="P174" s="9" t="str">
        <f t="shared" si="15"/>
        <v>PERCENTAGE</v>
      </c>
    </row>
    <row r="175" spans="1:16" x14ac:dyDescent="0.25">
      <c r="A175" s="6" t="str">
        <f t="shared" si="18"/>
        <v>2023 ALL D90</v>
      </c>
      <c r="B175" s="7">
        <f t="shared" si="16"/>
        <v>46114</v>
      </c>
      <c r="C175" s="7">
        <f t="shared" si="17"/>
        <v>46120</v>
      </c>
      <c r="D175" s="6">
        <v>3280</v>
      </c>
      <c r="E175" s="6">
        <v>337</v>
      </c>
      <c r="F175" s="14">
        <v>4</v>
      </c>
      <c r="G175" s="15">
        <v>3</v>
      </c>
      <c r="H175" s="15">
        <v>81495</v>
      </c>
      <c r="I175" s="15" t="s">
        <v>1505</v>
      </c>
      <c r="J175" s="30">
        <v>79602383</v>
      </c>
      <c r="K175" s="30" t="s">
        <v>3397</v>
      </c>
      <c r="L175" s="30" t="s">
        <v>3428</v>
      </c>
      <c r="M175" s="15">
        <v>319900</v>
      </c>
      <c r="N175" s="9">
        <f t="shared" si="13"/>
        <v>0.9</v>
      </c>
      <c r="O175" s="8">
        <f t="shared" si="14"/>
        <v>31990</v>
      </c>
      <c r="P175" s="9" t="str">
        <f t="shared" si="15"/>
        <v>PERCENTAGE</v>
      </c>
    </row>
    <row r="176" spans="1:16" x14ac:dyDescent="0.25">
      <c r="A176" s="6" t="str">
        <f t="shared" si="18"/>
        <v>2023 ALL D90</v>
      </c>
      <c r="B176" s="7">
        <f t="shared" si="16"/>
        <v>46114</v>
      </c>
      <c r="C176" s="7">
        <f t="shared" si="17"/>
        <v>46120</v>
      </c>
      <c r="D176" s="6">
        <v>3280</v>
      </c>
      <c r="E176" s="6">
        <v>337</v>
      </c>
      <c r="F176" s="14">
        <v>4</v>
      </c>
      <c r="G176" s="15">
        <v>1</v>
      </c>
      <c r="H176" s="15">
        <v>81698</v>
      </c>
      <c r="I176" s="15" t="s">
        <v>1505</v>
      </c>
      <c r="J176" s="30">
        <v>78904906</v>
      </c>
      <c r="K176" s="30" t="s">
        <v>2765</v>
      </c>
      <c r="L176" s="30" t="s">
        <v>2766</v>
      </c>
      <c r="M176" s="15">
        <v>269900</v>
      </c>
      <c r="N176" s="9">
        <f t="shared" si="13"/>
        <v>0.9</v>
      </c>
      <c r="O176" s="8">
        <f t="shared" si="14"/>
        <v>26990</v>
      </c>
      <c r="P176" s="9" t="str">
        <f t="shared" si="15"/>
        <v>PERCENTAGE</v>
      </c>
    </row>
    <row r="177" spans="1:16" x14ac:dyDescent="0.25">
      <c r="A177" s="6" t="str">
        <f t="shared" si="18"/>
        <v>2023 ALL D90</v>
      </c>
      <c r="B177" s="7">
        <f t="shared" si="16"/>
        <v>46114</v>
      </c>
      <c r="C177" s="7">
        <f t="shared" si="17"/>
        <v>46120</v>
      </c>
      <c r="D177" s="6">
        <v>3280</v>
      </c>
      <c r="E177" s="6">
        <v>337</v>
      </c>
      <c r="F177" s="14">
        <v>4</v>
      </c>
      <c r="G177" s="15">
        <v>1</v>
      </c>
      <c r="H177" s="15">
        <v>81698</v>
      </c>
      <c r="I177" s="15" t="s">
        <v>1505</v>
      </c>
      <c r="J177" s="30">
        <v>78904915</v>
      </c>
      <c r="K177" s="30" t="s">
        <v>2765</v>
      </c>
      <c r="L177" s="30" t="s">
        <v>2767</v>
      </c>
      <c r="M177" s="15">
        <v>269900</v>
      </c>
      <c r="N177" s="9">
        <f t="shared" si="13"/>
        <v>0.9</v>
      </c>
      <c r="O177" s="8">
        <f t="shared" si="14"/>
        <v>26990</v>
      </c>
      <c r="P177" s="9" t="str">
        <f t="shared" si="15"/>
        <v>PERCENTAGE</v>
      </c>
    </row>
    <row r="178" spans="1:16" x14ac:dyDescent="0.25">
      <c r="A178" s="6" t="str">
        <f t="shared" si="18"/>
        <v>2023 ALL D90</v>
      </c>
      <c r="B178" s="7">
        <f t="shared" si="16"/>
        <v>46114</v>
      </c>
      <c r="C178" s="7">
        <f t="shared" si="17"/>
        <v>46120</v>
      </c>
      <c r="D178" s="6">
        <v>3280</v>
      </c>
      <c r="E178" s="6">
        <v>337</v>
      </c>
      <c r="F178" s="14">
        <v>4</v>
      </c>
      <c r="G178" s="15">
        <v>1</v>
      </c>
      <c r="H178" s="15">
        <v>81698</v>
      </c>
      <c r="I178" s="15" t="s">
        <v>1505</v>
      </c>
      <c r="J178" s="30">
        <v>78904924</v>
      </c>
      <c r="K178" s="30" t="s">
        <v>2765</v>
      </c>
      <c r="L178" s="30" t="s">
        <v>2768</v>
      </c>
      <c r="M178" s="15">
        <v>269900</v>
      </c>
      <c r="N178" s="9">
        <f t="shared" si="13"/>
        <v>0.9</v>
      </c>
      <c r="O178" s="8">
        <f t="shared" si="14"/>
        <v>26990</v>
      </c>
      <c r="P178" s="9" t="str">
        <f t="shared" si="15"/>
        <v>PERCENTAGE</v>
      </c>
    </row>
    <row r="179" spans="1:16" x14ac:dyDescent="0.25">
      <c r="A179" s="6" t="str">
        <f t="shared" si="18"/>
        <v>2023 ALL D90</v>
      </c>
      <c r="B179" s="7">
        <f t="shared" si="16"/>
        <v>46114</v>
      </c>
      <c r="C179" s="7">
        <f t="shared" si="17"/>
        <v>46120</v>
      </c>
      <c r="D179" s="6">
        <v>3280</v>
      </c>
      <c r="E179" s="6">
        <v>337</v>
      </c>
      <c r="F179" s="14">
        <v>4</v>
      </c>
      <c r="G179" s="15">
        <v>1</v>
      </c>
      <c r="H179" s="15">
        <v>81698</v>
      </c>
      <c r="I179" s="15" t="s">
        <v>1505</v>
      </c>
      <c r="J179" s="30">
        <v>78904933</v>
      </c>
      <c r="K179" s="30" t="s">
        <v>2765</v>
      </c>
      <c r="L179" s="30" t="s">
        <v>2769</v>
      </c>
      <c r="M179" s="15">
        <v>279900</v>
      </c>
      <c r="N179" s="9">
        <f t="shared" si="13"/>
        <v>0.9</v>
      </c>
      <c r="O179" s="8">
        <f t="shared" si="14"/>
        <v>27990</v>
      </c>
      <c r="P179" s="9" t="str">
        <f t="shared" si="15"/>
        <v>PERCENTAGE</v>
      </c>
    </row>
    <row r="180" spans="1:16" x14ac:dyDescent="0.25">
      <c r="A180" s="6" t="str">
        <f t="shared" si="18"/>
        <v>2023 ALL D90</v>
      </c>
      <c r="B180" s="7">
        <f t="shared" si="16"/>
        <v>46114</v>
      </c>
      <c r="C180" s="7">
        <f t="shared" si="17"/>
        <v>46120</v>
      </c>
      <c r="D180" s="6">
        <v>3280</v>
      </c>
      <c r="E180" s="6">
        <v>337</v>
      </c>
      <c r="F180" s="14">
        <v>4</v>
      </c>
      <c r="G180" s="15">
        <v>1</v>
      </c>
      <c r="H180" s="15">
        <v>81698</v>
      </c>
      <c r="I180" s="15" t="s">
        <v>1505</v>
      </c>
      <c r="J180" s="30">
        <v>78904942</v>
      </c>
      <c r="K180" s="30" t="s">
        <v>2765</v>
      </c>
      <c r="L180" s="30" t="s">
        <v>2770</v>
      </c>
      <c r="M180" s="15">
        <v>279900</v>
      </c>
      <c r="N180" s="9">
        <f t="shared" si="13"/>
        <v>0.9</v>
      </c>
      <c r="O180" s="8">
        <f t="shared" si="14"/>
        <v>27990</v>
      </c>
      <c r="P180" s="9" t="str">
        <f t="shared" si="15"/>
        <v>PERCENTAGE</v>
      </c>
    </row>
    <row r="181" spans="1:16" x14ac:dyDescent="0.25">
      <c r="A181" s="6" t="str">
        <f t="shared" si="18"/>
        <v>2023 ALL D90</v>
      </c>
      <c r="B181" s="7">
        <f t="shared" si="16"/>
        <v>46114</v>
      </c>
      <c r="C181" s="7">
        <f t="shared" si="17"/>
        <v>46120</v>
      </c>
      <c r="D181" s="6">
        <v>3280</v>
      </c>
      <c r="E181" s="6">
        <v>337</v>
      </c>
      <c r="F181" s="14">
        <v>4</v>
      </c>
      <c r="G181" s="15">
        <v>1</v>
      </c>
      <c r="H181" s="15">
        <v>81698</v>
      </c>
      <c r="I181" s="15" t="s">
        <v>1505</v>
      </c>
      <c r="J181" s="30">
        <v>78904951</v>
      </c>
      <c r="K181" s="30" t="s">
        <v>2765</v>
      </c>
      <c r="L181" s="30" t="s">
        <v>2771</v>
      </c>
      <c r="M181" s="15">
        <v>279900</v>
      </c>
      <c r="N181" s="9">
        <f t="shared" si="13"/>
        <v>0.9</v>
      </c>
      <c r="O181" s="8">
        <f t="shared" si="14"/>
        <v>27990</v>
      </c>
      <c r="P181" s="9" t="str">
        <f t="shared" si="15"/>
        <v>PERCENTAGE</v>
      </c>
    </row>
    <row r="182" spans="1:16" x14ac:dyDescent="0.25">
      <c r="A182" s="6" t="str">
        <f t="shared" si="18"/>
        <v>2023 ALL D90</v>
      </c>
      <c r="B182" s="7">
        <f t="shared" si="16"/>
        <v>46114</v>
      </c>
      <c r="C182" s="7">
        <f t="shared" si="17"/>
        <v>46120</v>
      </c>
      <c r="D182" s="6">
        <v>3280</v>
      </c>
      <c r="E182" s="6">
        <v>337</v>
      </c>
      <c r="F182" s="14">
        <v>4</v>
      </c>
      <c r="G182" s="15">
        <v>1</v>
      </c>
      <c r="H182" s="15">
        <v>81698</v>
      </c>
      <c r="I182" s="15" t="s">
        <v>1505</v>
      </c>
      <c r="J182" s="30">
        <v>78905370</v>
      </c>
      <c r="K182" s="30" t="s">
        <v>2818</v>
      </c>
      <c r="L182" s="30" t="s">
        <v>2819</v>
      </c>
      <c r="M182" s="15">
        <v>269900</v>
      </c>
      <c r="N182" s="9">
        <f t="shared" si="13"/>
        <v>0.9</v>
      </c>
      <c r="O182" s="8">
        <f t="shared" si="14"/>
        <v>26990</v>
      </c>
      <c r="P182" s="9" t="str">
        <f t="shared" si="15"/>
        <v>PERCENTAGE</v>
      </c>
    </row>
    <row r="183" spans="1:16" x14ac:dyDescent="0.25">
      <c r="A183" s="6" t="str">
        <f t="shared" si="18"/>
        <v>2023 ALL D90</v>
      </c>
      <c r="B183" s="7">
        <f t="shared" si="16"/>
        <v>46114</v>
      </c>
      <c r="C183" s="7">
        <f t="shared" si="17"/>
        <v>46120</v>
      </c>
      <c r="D183" s="6">
        <v>3280</v>
      </c>
      <c r="E183" s="6">
        <v>337</v>
      </c>
      <c r="F183" s="14">
        <v>4</v>
      </c>
      <c r="G183" s="15">
        <v>1</v>
      </c>
      <c r="H183" s="15">
        <v>81698</v>
      </c>
      <c r="I183" s="15" t="s">
        <v>1505</v>
      </c>
      <c r="J183" s="30">
        <v>78905389</v>
      </c>
      <c r="K183" s="30" t="s">
        <v>2818</v>
      </c>
      <c r="L183" s="30" t="s">
        <v>2820</v>
      </c>
      <c r="M183" s="15">
        <v>269900</v>
      </c>
      <c r="N183" s="9">
        <f t="shared" si="13"/>
        <v>0.9</v>
      </c>
      <c r="O183" s="8">
        <f t="shared" si="14"/>
        <v>26990</v>
      </c>
      <c r="P183" s="9" t="str">
        <f t="shared" si="15"/>
        <v>PERCENTAGE</v>
      </c>
    </row>
    <row r="184" spans="1:16" x14ac:dyDescent="0.25">
      <c r="A184" s="6" t="str">
        <f t="shared" si="18"/>
        <v>2023 ALL D90</v>
      </c>
      <c r="B184" s="7">
        <f t="shared" si="16"/>
        <v>46114</v>
      </c>
      <c r="C184" s="7">
        <f t="shared" si="17"/>
        <v>46120</v>
      </c>
      <c r="D184" s="6">
        <v>3280</v>
      </c>
      <c r="E184" s="6">
        <v>337</v>
      </c>
      <c r="F184" s="14">
        <v>4</v>
      </c>
      <c r="G184" s="15">
        <v>1</v>
      </c>
      <c r="H184" s="15">
        <v>81698</v>
      </c>
      <c r="I184" s="15" t="s">
        <v>1505</v>
      </c>
      <c r="J184" s="30">
        <v>78905398</v>
      </c>
      <c r="K184" s="30" t="s">
        <v>2818</v>
      </c>
      <c r="L184" s="30" t="s">
        <v>2821</v>
      </c>
      <c r="M184" s="15">
        <v>269900</v>
      </c>
      <c r="N184" s="9">
        <f t="shared" si="13"/>
        <v>0.9</v>
      </c>
      <c r="O184" s="8">
        <f t="shared" si="14"/>
        <v>26990</v>
      </c>
      <c r="P184" s="9" t="str">
        <f t="shared" si="15"/>
        <v>PERCENTAGE</v>
      </c>
    </row>
    <row r="185" spans="1:16" x14ac:dyDescent="0.25">
      <c r="A185" s="6" t="str">
        <f t="shared" si="18"/>
        <v>2023 ALL D90</v>
      </c>
      <c r="B185" s="7">
        <f t="shared" si="16"/>
        <v>46114</v>
      </c>
      <c r="C185" s="7">
        <f t="shared" si="17"/>
        <v>46120</v>
      </c>
      <c r="D185" s="6">
        <v>3280</v>
      </c>
      <c r="E185" s="6">
        <v>337</v>
      </c>
      <c r="F185" s="14">
        <v>4</v>
      </c>
      <c r="G185" s="15">
        <v>1</v>
      </c>
      <c r="H185" s="15">
        <v>81698</v>
      </c>
      <c r="I185" s="15" t="s">
        <v>1505</v>
      </c>
      <c r="J185" s="30">
        <v>78905405</v>
      </c>
      <c r="K185" s="30" t="s">
        <v>2818</v>
      </c>
      <c r="L185" s="30" t="s">
        <v>2822</v>
      </c>
      <c r="M185" s="15">
        <v>279900</v>
      </c>
      <c r="N185" s="9">
        <f t="shared" si="13"/>
        <v>0.9</v>
      </c>
      <c r="O185" s="8">
        <f t="shared" si="14"/>
        <v>27990</v>
      </c>
      <c r="P185" s="9" t="str">
        <f t="shared" si="15"/>
        <v>PERCENTAGE</v>
      </c>
    </row>
    <row r="186" spans="1:16" x14ac:dyDescent="0.25">
      <c r="A186" s="6" t="str">
        <f t="shared" si="18"/>
        <v>2023 ALL D90</v>
      </c>
      <c r="B186" s="7">
        <f t="shared" si="16"/>
        <v>46114</v>
      </c>
      <c r="C186" s="7">
        <f t="shared" si="17"/>
        <v>46120</v>
      </c>
      <c r="D186" s="6">
        <v>3280</v>
      </c>
      <c r="E186" s="6">
        <v>337</v>
      </c>
      <c r="F186" s="14">
        <v>4</v>
      </c>
      <c r="G186" s="15">
        <v>1</v>
      </c>
      <c r="H186" s="15">
        <v>81698</v>
      </c>
      <c r="I186" s="15" t="s">
        <v>1505</v>
      </c>
      <c r="J186" s="30">
        <v>78905414</v>
      </c>
      <c r="K186" s="30" t="s">
        <v>2818</v>
      </c>
      <c r="L186" s="30" t="s">
        <v>2823</v>
      </c>
      <c r="M186" s="15">
        <v>279900</v>
      </c>
      <c r="N186" s="9">
        <f t="shared" si="13"/>
        <v>0.9</v>
      </c>
      <c r="O186" s="8">
        <f t="shared" si="14"/>
        <v>27990</v>
      </c>
      <c r="P186" s="9" t="str">
        <f t="shared" si="15"/>
        <v>PERCENTAGE</v>
      </c>
    </row>
    <row r="187" spans="1:16" x14ac:dyDescent="0.25">
      <c r="A187" s="6" t="str">
        <f t="shared" si="18"/>
        <v>2023 ALL D90</v>
      </c>
      <c r="B187" s="7">
        <f t="shared" si="16"/>
        <v>46114</v>
      </c>
      <c r="C187" s="7">
        <f t="shared" si="17"/>
        <v>46120</v>
      </c>
      <c r="D187" s="6">
        <v>3280</v>
      </c>
      <c r="E187" s="6">
        <v>337</v>
      </c>
      <c r="F187" s="14">
        <v>4</v>
      </c>
      <c r="G187" s="15">
        <v>1</v>
      </c>
      <c r="H187" s="15">
        <v>81698</v>
      </c>
      <c r="I187" s="15" t="s">
        <v>1505</v>
      </c>
      <c r="J187" s="30">
        <v>78905423</v>
      </c>
      <c r="K187" s="30" t="s">
        <v>2818</v>
      </c>
      <c r="L187" s="30" t="s">
        <v>2824</v>
      </c>
      <c r="M187" s="15">
        <v>279900</v>
      </c>
      <c r="N187" s="9">
        <f t="shared" si="13"/>
        <v>0.9</v>
      </c>
      <c r="O187" s="8">
        <f t="shared" si="14"/>
        <v>27990</v>
      </c>
      <c r="P187" s="9" t="str">
        <f t="shared" si="15"/>
        <v>PERCENTAGE</v>
      </c>
    </row>
    <row r="188" spans="1:16" x14ac:dyDescent="0.25">
      <c r="A188" s="6" t="str">
        <f t="shared" si="18"/>
        <v>2023 ALL D90</v>
      </c>
      <c r="B188" s="7">
        <f t="shared" si="16"/>
        <v>46114</v>
      </c>
      <c r="C188" s="7">
        <f t="shared" si="17"/>
        <v>46120</v>
      </c>
      <c r="D188" s="6">
        <v>3280</v>
      </c>
      <c r="E188" s="6">
        <v>337</v>
      </c>
      <c r="F188" s="14">
        <v>4</v>
      </c>
      <c r="G188" s="15">
        <v>1</v>
      </c>
      <c r="H188" s="15">
        <v>81698</v>
      </c>
      <c r="I188" s="15" t="s">
        <v>1505</v>
      </c>
      <c r="J188" s="30">
        <v>78905558</v>
      </c>
      <c r="K188" s="30" t="s">
        <v>2839</v>
      </c>
      <c r="L188" s="30" t="s">
        <v>2840</v>
      </c>
      <c r="M188" s="15">
        <v>269900</v>
      </c>
      <c r="N188" s="9">
        <f t="shared" si="13"/>
        <v>0.9</v>
      </c>
      <c r="O188" s="8">
        <f t="shared" si="14"/>
        <v>26990</v>
      </c>
      <c r="P188" s="9" t="str">
        <f t="shared" si="15"/>
        <v>PERCENTAGE</v>
      </c>
    </row>
    <row r="189" spans="1:16" x14ac:dyDescent="0.25">
      <c r="A189" s="6" t="str">
        <f t="shared" si="18"/>
        <v>2023 ALL D90</v>
      </c>
      <c r="B189" s="7">
        <f t="shared" si="16"/>
        <v>46114</v>
      </c>
      <c r="C189" s="7">
        <f t="shared" si="17"/>
        <v>46120</v>
      </c>
      <c r="D189" s="6">
        <v>3280</v>
      </c>
      <c r="E189" s="6">
        <v>337</v>
      </c>
      <c r="F189" s="14">
        <v>4</v>
      </c>
      <c r="G189" s="15">
        <v>1</v>
      </c>
      <c r="H189" s="15">
        <v>81698</v>
      </c>
      <c r="I189" s="15" t="s">
        <v>1505</v>
      </c>
      <c r="J189" s="30">
        <v>78905567</v>
      </c>
      <c r="K189" s="30" t="s">
        <v>2839</v>
      </c>
      <c r="L189" s="30" t="s">
        <v>2841</v>
      </c>
      <c r="M189" s="15">
        <v>269900</v>
      </c>
      <c r="N189" s="9">
        <f t="shared" si="13"/>
        <v>0.9</v>
      </c>
      <c r="O189" s="8">
        <f t="shared" si="14"/>
        <v>26990</v>
      </c>
      <c r="P189" s="9" t="str">
        <f t="shared" si="15"/>
        <v>PERCENTAGE</v>
      </c>
    </row>
    <row r="190" spans="1:16" x14ac:dyDescent="0.25">
      <c r="A190" s="6" t="str">
        <f t="shared" si="18"/>
        <v>2023 ALL D90</v>
      </c>
      <c r="B190" s="7">
        <f t="shared" si="16"/>
        <v>46114</v>
      </c>
      <c r="C190" s="7">
        <f t="shared" si="17"/>
        <v>46120</v>
      </c>
      <c r="D190" s="6">
        <v>3280</v>
      </c>
      <c r="E190" s="6">
        <v>337</v>
      </c>
      <c r="F190" s="14">
        <v>4</v>
      </c>
      <c r="G190" s="15">
        <v>1</v>
      </c>
      <c r="H190" s="15">
        <v>81698</v>
      </c>
      <c r="I190" s="15" t="s">
        <v>1505</v>
      </c>
      <c r="J190" s="30">
        <v>78905576</v>
      </c>
      <c r="K190" s="30" t="s">
        <v>2839</v>
      </c>
      <c r="L190" s="30" t="s">
        <v>2842</v>
      </c>
      <c r="M190" s="15">
        <v>269900</v>
      </c>
      <c r="N190" s="9">
        <f t="shared" si="13"/>
        <v>0.9</v>
      </c>
      <c r="O190" s="8">
        <f t="shared" si="14"/>
        <v>26990</v>
      </c>
      <c r="P190" s="9" t="str">
        <f t="shared" si="15"/>
        <v>PERCENTAGE</v>
      </c>
    </row>
    <row r="191" spans="1:16" x14ac:dyDescent="0.25">
      <c r="A191" s="6" t="str">
        <f t="shared" si="18"/>
        <v>2023 ALL D90</v>
      </c>
      <c r="B191" s="7">
        <f t="shared" si="16"/>
        <v>46114</v>
      </c>
      <c r="C191" s="7">
        <f t="shared" si="17"/>
        <v>46120</v>
      </c>
      <c r="D191" s="6">
        <v>3280</v>
      </c>
      <c r="E191" s="6">
        <v>337</v>
      </c>
      <c r="F191" s="14">
        <v>4</v>
      </c>
      <c r="G191" s="15">
        <v>1</v>
      </c>
      <c r="H191" s="15">
        <v>81698</v>
      </c>
      <c r="I191" s="15" t="s">
        <v>1505</v>
      </c>
      <c r="J191" s="30">
        <v>78905585</v>
      </c>
      <c r="K191" s="30" t="s">
        <v>2839</v>
      </c>
      <c r="L191" s="30" t="s">
        <v>2843</v>
      </c>
      <c r="M191" s="15">
        <v>279900</v>
      </c>
      <c r="N191" s="9">
        <f t="shared" si="13"/>
        <v>0.9</v>
      </c>
      <c r="O191" s="8">
        <f t="shared" si="14"/>
        <v>27990</v>
      </c>
      <c r="P191" s="9" t="str">
        <f t="shared" si="15"/>
        <v>PERCENTAGE</v>
      </c>
    </row>
    <row r="192" spans="1:16" x14ac:dyDescent="0.25">
      <c r="A192" s="6" t="str">
        <f t="shared" si="18"/>
        <v>2023 ALL D90</v>
      </c>
      <c r="B192" s="7">
        <f t="shared" si="16"/>
        <v>46114</v>
      </c>
      <c r="C192" s="7">
        <f t="shared" si="17"/>
        <v>46120</v>
      </c>
      <c r="D192" s="6">
        <v>3280</v>
      </c>
      <c r="E192" s="6">
        <v>337</v>
      </c>
      <c r="F192" s="14">
        <v>4</v>
      </c>
      <c r="G192" s="15">
        <v>1</v>
      </c>
      <c r="H192" s="15">
        <v>81698</v>
      </c>
      <c r="I192" s="15" t="s">
        <v>1505</v>
      </c>
      <c r="J192" s="30">
        <v>78905594</v>
      </c>
      <c r="K192" s="30" t="s">
        <v>2839</v>
      </c>
      <c r="L192" s="30" t="s">
        <v>2844</v>
      </c>
      <c r="M192" s="15">
        <v>279900</v>
      </c>
      <c r="N192" s="9">
        <f t="shared" si="13"/>
        <v>0.9</v>
      </c>
      <c r="O192" s="8">
        <f t="shared" si="14"/>
        <v>27990</v>
      </c>
      <c r="P192" s="9" t="str">
        <f t="shared" si="15"/>
        <v>PERCENTAGE</v>
      </c>
    </row>
    <row r="193" spans="1:16" x14ac:dyDescent="0.25">
      <c r="A193" s="6" t="str">
        <f t="shared" si="18"/>
        <v>2023 ALL D90</v>
      </c>
      <c r="B193" s="7">
        <f t="shared" si="16"/>
        <v>46114</v>
      </c>
      <c r="C193" s="7">
        <f t="shared" si="17"/>
        <v>46120</v>
      </c>
      <c r="D193" s="6">
        <v>3280</v>
      </c>
      <c r="E193" s="6">
        <v>337</v>
      </c>
      <c r="F193" s="14">
        <v>4</v>
      </c>
      <c r="G193" s="15">
        <v>1</v>
      </c>
      <c r="H193" s="15">
        <v>81698</v>
      </c>
      <c r="I193" s="15" t="s">
        <v>1505</v>
      </c>
      <c r="J193" s="30">
        <v>78905601</v>
      </c>
      <c r="K193" s="30" t="s">
        <v>2839</v>
      </c>
      <c r="L193" s="30" t="s">
        <v>2845</v>
      </c>
      <c r="M193" s="15">
        <v>279900</v>
      </c>
      <c r="N193" s="9">
        <f t="shared" si="13"/>
        <v>0.9</v>
      </c>
      <c r="O193" s="8">
        <f t="shared" si="14"/>
        <v>27990</v>
      </c>
      <c r="P193" s="9" t="str">
        <f t="shared" si="15"/>
        <v>PERCENTAGE</v>
      </c>
    </row>
    <row r="194" spans="1:16" x14ac:dyDescent="0.25">
      <c r="A194" s="6" t="str">
        <f t="shared" si="18"/>
        <v>2023 ALL D90</v>
      </c>
      <c r="B194" s="7">
        <f t="shared" si="16"/>
        <v>46114</v>
      </c>
      <c r="C194" s="7">
        <f t="shared" si="17"/>
        <v>46120</v>
      </c>
      <c r="D194" s="6">
        <v>3280</v>
      </c>
      <c r="E194" s="6">
        <v>337</v>
      </c>
      <c r="F194" s="14">
        <v>4</v>
      </c>
      <c r="G194" s="15">
        <v>1</v>
      </c>
      <c r="H194" s="15">
        <v>81698</v>
      </c>
      <c r="I194" s="15" t="s">
        <v>1505</v>
      </c>
      <c r="J194" s="30">
        <v>78905147</v>
      </c>
      <c r="K194" s="30" t="s">
        <v>2792</v>
      </c>
      <c r="L194" s="30" t="s">
        <v>2793</v>
      </c>
      <c r="M194" s="15">
        <v>269900</v>
      </c>
      <c r="N194" s="9">
        <f t="shared" si="13"/>
        <v>0.9</v>
      </c>
      <c r="O194" s="8">
        <f t="shared" si="14"/>
        <v>26990</v>
      </c>
      <c r="P194" s="9" t="str">
        <f t="shared" si="15"/>
        <v>PERCENTAGE</v>
      </c>
    </row>
    <row r="195" spans="1:16" x14ac:dyDescent="0.25">
      <c r="A195" s="6" t="str">
        <f t="shared" si="18"/>
        <v>2023 ALL D90</v>
      </c>
      <c r="B195" s="7">
        <f t="shared" si="16"/>
        <v>46114</v>
      </c>
      <c r="C195" s="7">
        <f t="shared" si="17"/>
        <v>46120</v>
      </c>
      <c r="D195" s="6">
        <v>3280</v>
      </c>
      <c r="E195" s="6">
        <v>337</v>
      </c>
      <c r="F195" s="14">
        <v>4</v>
      </c>
      <c r="G195" s="15">
        <v>1</v>
      </c>
      <c r="H195" s="15">
        <v>81698</v>
      </c>
      <c r="I195" s="15" t="s">
        <v>1505</v>
      </c>
      <c r="J195" s="30">
        <v>78905156</v>
      </c>
      <c r="K195" s="30" t="s">
        <v>2792</v>
      </c>
      <c r="L195" s="30" t="s">
        <v>2794</v>
      </c>
      <c r="M195" s="15">
        <v>269900</v>
      </c>
      <c r="N195" s="9">
        <f t="shared" ref="N195:N258" si="19">N194</f>
        <v>0.9</v>
      </c>
      <c r="O195" s="8">
        <f t="shared" ref="O195:O258" si="20">M195-((90*M195)/100)</f>
        <v>26990</v>
      </c>
      <c r="P195" s="9" t="str">
        <f t="shared" ref="P195:P258" si="21">P194</f>
        <v>PERCENTAGE</v>
      </c>
    </row>
    <row r="196" spans="1:16" x14ac:dyDescent="0.25">
      <c r="A196" s="6" t="str">
        <f t="shared" si="18"/>
        <v>2023 ALL D90</v>
      </c>
      <c r="B196" s="7">
        <f t="shared" si="16"/>
        <v>46114</v>
      </c>
      <c r="C196" s="7">
        <f t="shared" si="17"/>
        <v>46120</v>
      </c>
      <c r="D196" s="6">
        <v>3280</v>
      </c>
      <c r="E196" s="6">
        <v>337</v>
      </c>
      <c r="F196" s="14">
        <v>4</v>
      </c>
      <c r="G196" s="15">
        <v>1</v>
      </c>
      <c r="H196" s="15">
        <v>81698</v>
      </c>
      <c r="I196" s="15" t="s">
        <v>1505</v>
      </c>
      <c r="J196" s="30">
        <v>78905165</v>
      </c>
      <c r="K196" s="30" t="s">
        <v>2792</v>
      </c>
      <c r="L196" s="30" t="s">
        <v>2795</v>
      </c>
      <c r="M196" s="15">
        <v>269900</v>
      </c>
      <c r="N196" s="9">
        <f t="shared" si="19"/>
        <v>0.9</v>
      </c>
      <c r="O196" s="8">
        <f t="shared" si="20"/>
        <v>26990</v>
      </c>
      <c r="P196" s="9" t="str">
        <f t="shared" si="21"/>
        <v>PERCENTAGE</v>
      </c>
    </row>
    <row r="197" spans="1:16" x14ac:dyDescent="0.25">
      <c r="A197" s="6" t="str">
        <f t="shared" si="18"/>
        <v>2023 ALL D90</v>
      </c>
      <c r="B197" s="7">
        <f t="shared" si="16"/>
        <v>46114</v>
      </c>
      <c r="C197" s="7">
        <f t="shared" si="17"/>
        <v>46120</v>
      </c>
      <c r="D197" s="6">
        <v>3280</v>
      </c>
      <c r="E197" s="6">
        <v>337</v>
      </c>
      <c r="F197" s="14">
        <v>4</v>
      </c>
      <c r="G197" s="15">
        <v>1</v>
      </c>
      <c r="H197" s="15">
        <v>81698</v>
      </c>
      <c r="I197" s="15" t="s">
        <v>1505</v>
      </c>
      <c r="J197" s="30">
        <v>78905174</v>
      </c>
      <c r="K197" s="30" t="s">
        <v>2792</v>
      </c>
      <c r="L197" s="30" t="s">
        <v>2796</v>
      </c>
      <c r="M197" s="15">
        <v>279900</v>
      </c>
      <c r="N197" s="9">
        <f t="shared" si="19"/>
        <v>0.9</v>
      </c>
      <c r="O197" s="8">
        <f t="shared" si="20"/>
        <v>27990</v>
      </c>
      <c r="P197" s="9" t="str">
        <f t="shared" si="21"/>
        <v>PERCENTAGE</v>
      </c>
    </row>
    <row r="198" spans="1:16" x14ac:dyDescent="0.25">
      <c r="A198" s="6" t="str">
        <f t="shared" si="18"/>
        <v>2023 ALL D90</v>
      </c>
      <c r="B198" s="7">
        <f t="shared" si="16"/>
        <v>46114</v>
      </c>
      <c r="C198" s="7">
        <f t="shared" si="17"/>
        <v>46120</v>
      </c>
      <c r="D198" s="6">
        <v>3280</v>
      </c>
      <c r="E198" s="6">
        <v>337</v>
      </c>
      <c r="F198" s="14">
        <v>4</v>
      </c>
      <c r="G198" s="15">
        <v>1</v>
      </c>
      <c r="H198" s="15">
        <v>81698</v>
      </c>
      <c r="I198" s="15" t="s">
        <v>1505</v>
      </c>
      <c r="J198" s="30">
        <v>78905183</v>
      </c>
      <c r="K198" s="30" t="s">
        <v>2792</v>
      </c>
      <c r="L198" s="30" t="s">
        <v>2797</v>
      </c>
      <c r="M198" s="15">
        <v>279900</v>
      </c>
      <c r="N198" s="9">
        <f t="shared" si="19"/>
        <v>0.9</v>
      </c>
      <c r="O198" s="8">
        <f t="shared" si="20"/>
        <v>27990</v>
      </c>
      <c r="P198" s="9" t="str">
        <f t="shared" si="21"/>
        <v>PERCENTAGE</v>
      </c>
    </row>
    <row r="199" spans="1:16" x14ac:dyDescent="0.25">
      <c r="A199" s="6" t="str">
        <f t="shared" si="18"/>
        <v>2023 ALL D90</v>
      </c>
      <c r="B199" s="7">
        <f t="shared" si="16"/>
        <v>46114</v>
      </c>
      <c r="C199" s="7">
        <f t="shared" si="17"/>
        <v>46120</v>
      </c>
      <c r="D199" s="6">
        <v>3280</v>
      </c>
      <c r="E199" s="6">
        <v>337</v>
      </c>
      <c r="F199" s="14">
        <v>4</v>
      </c>
      <c r="G199" s="15">
        <v>1</v>
      </c>
      <c r="H199" s="15">
        <v>81698</v>
      </c>
      <c r="I199" s="15" t="s">
        <v>1505</v>
      </c>
      <c r="J199" s="30">
        <v>78905192</v>
      </c>
      <c r="K199" s="30" t="s">
        <v>2792</v>
      </c>
      <c r="L199" s="30" t="s">
        <v>2798</v>
      </c>
      <c r="M199" s="15">
        <v>279900</v>
      </c>
      <c r="N199" s="9">
        <f t="shared" si="19"/>
        <v>0.9</v>
      </c>
      <c r="O199" s="8">
        <f t="shared" si="20"/>
        <v>27990</v>
      </c>
      <c r="P199" s="9" t="str">
        <f t="shared" si="21"/>
        <v>PERCENTAGE</v>
      </c>
    </row>
    <row r="200" spans="1:16" x14ac:dyDescent="0.25">
      <c r="A200" s="6" t="str">
        <f t="shared" si="18"/>
        <v>2023 ALL D90</v>
      </c>
      <c r="B200" s="7">
        <f t="shared" si="16"/>
        <v>46114</v>
      </c>
      <c r="C200" s="7">
        <f t="shared" si="17"/>
        <v>46120</v>
      </c>
      <c r="D200" s="6">
        <v>3280</v>
      </c>
      <c r="E200" s="6">
        <v>337</v>
      </c>
      <c r="F200" s="14">
        <v>4</v>
      </c>
      <c r="G200" s="15">
        <v>1</v>
      </c>
      <c r="H200" s="15">
        <v>81698</v>
      </c>
      <c r="I200" s="15" t="s">
        <v>1505</v>
      </c>
      <c r="J200" s="30">
        <v>78905209</v>
      </c>
      <c r="K200" s="30" t="s">
        <v>2799</v>
      </c>
      <c r="L200" s="30" t="s">
        <v>2800</v>
      </c>
      <c r="M200" s="15">
        <v>269900</v>
      </c>
      <c r="N200" s="9">
        <f t="shared" si="19"/>
        <v>0.9</v>
      </c>
      <c r="O200" s="8">
        <f t="shared" si="20"/>
        <v>26990</v>
      </c>
      <c r="P200" s="9" t="str">
        <f t="shared" si="21"/>
        <v>PERCENTAGE</v>
      </c>
    </row>
    <row r="201" spans="1:16" x14ac:dyDescent="0.25">
      <c r="A201" s="6" t="str">
        <f t="shared" si="18"/>
        <v>2023 ALL D90</v>
      </c>
      <c r="B201" s="7">
        <f t="shared" si="16"/>
        <v>46114</v>
      </c>
      <c r="C201" s="7">
        <f t="shared" si="17"/>
        <v>46120</v>
      </c>
      <c r="D201" s="6">
        <v>3280</v>
      </c>
      <c r="E201" s="6">
        <v>337</v>
      </c>
      <c r="F201" s="14">
        <v>4</v>
      </c>
      <c r="G201" s="15">
        <v>1</v>
      </c>
      <c r="H201" s="15">
        <v>81698</v>
      </c>
      <c r="I201" s="15" t="s">
        <v>1505</v>
      </c>
      <c r="J201" s="30">
        <v>78905218</v>
      </c>
      <c r="K201" s="30" t="s">
        <v>2799</v>
      </c>
      <c r="L201" s="30" t="s">
        <v>2801</v>
      </c>
      <c r="M201" s="15">
        <v>269900</v>
      </c>
      <c r="N201" s="9">
        <f t="shared" si="19"/>
        <v>0.9</v>
      </c>
      <c r="O201" s="8">
        <f t="shared" si="20"/>
        <v>26990</v>
      </c>
      <c r="P201" s="9" t="str">
        <f t="shared" si="21"/>
        <v>PERCENTAGE</v>
      </c>
    </row>
    <row r="202" spans="1:16" x14ac:dyDescent="0.25">
      <c r="A202" s="6" t="str">
        <f t="shared" si="18"/>
        <v>2023 ALL D90</v>
      </c>
      <c r="B202" s="7">
        <f t="shared" si="16"/>
        <v>46114</v>
      </c>
      <c r="C202" s="7">
        <f t="shared" si="17"/>
        <v>46120</v>
      </c>
      <c r="D202" s="6">
        <v>3280</v>
      </c>
      <c r="E202" s="6">
        <v>337</v>
      </c>
      <c r="F202" s="14">
        <v>4</v>
      </c>
      <c r="G202" s="15">
        <v>1</v>
      </c>
      <c r="H202" s="15">
        <v>81698</v>
      </c>
      <c r="I202" s="15" t="s">
        <v>1505</v>
      </c>
      <c r="J202" s="30">
        <v>78905227</v>
      </c>
      <c r="K202" s="30" t="s">
        <v>2799</v>
      </c>
      <c r="L202" s="30" t="s">
        <v>2802</v>
      </c>
      <c r="M202" s="15">
        <v>279900</v>
      </c>
      <c r="N202" s="9">
        <f t="shared" si="19"/>
        <v>0.9</v>
      </c>
      <c r="O202" s="8">
        <f t="shared" si="20"/>
        <v>27990</v>
      </c>
      <c r="P202" s="9" t="str">
        <f t="shared" si="21"/>
        <v>PERCENTAGE</v>
      </c>
    </row>
    <row r="203" spans="1:16" x14ac:dyDescent="0.25">
      <c r="A203" s="6" t="str">
        <f t="shared" si="18"/>
        <v>2023 ALL D90</v>
      </c>
      <c r="B203" s="7">
        <f t="shared" si="16"/>
        <v>46114</v>
      </c>
      <c r="C203" s="7">
        <f t="shared" si="17"/>
        <v>46120</v>
      </c>
      <c r="D203" s="6">
        <v>3280</v>
      </c>
      <c r="E203" s="6">
        <v>337</v>
      </c>
      <c r="F203" s="14">
        <v>4</v>
      </c>
      <c r="G203" s="15">
        <v>1</v>
      </c>
      <c r="H203" s="15">
        <v>81698</v>
      </c>
      <c r="I203" s="15" t="s">
        <v>1505</v>
      </c>
      <c r="J203" s="30">
        <v>78905236</v>
      </c>
      <c r="K203" s="30" t="s">
        <v>2799</v>
      </c>
      <c r="L203" s="30" t="s">
        <v>2803</v>
      </c>
      <c r="M203" s="15">
        <v>279900</v>
      </c>
      <c r="N203" s="9">
        <f t="shared" si="19"/>
        <v>0.9</v>
      </c>
      <c r="O203" s="8">
        <f t="shared" si="20"/>
        <v>27990</v>
      </c>
      <c r="P203" s="9" t="str">
        <f t="shared" si="21"/>
        <v>PERCENTAGE</v>
      </c>
    </row>
    <row r="204" spans="1:16" x14ac:dyDescent="0.25">
      <c r="A204" s="6" t="str">
        <f t="shared" si="18"/>
        <v>2023 ALL D90</v>
      </c>
      <c r="B204" s="7">
        <f t="shared" ref="B204:B267" si="22">B203</f>
        <v>46114</v>
      </c>
      <c r="C204" s="7">
        <f t="shared" ref="C204:C267" si="23">C203</f>
        <v>46120</v>
      </c>
      <c r="D204" s="6">
        <v>3280</v>
      </c>
      <c r="E204" s="6">
        <v>337</v>
      </c>
      <c r="F204" s="14">
        <v>4</v>
      </c>
      <c r="G204" s="15">
        <v>1</v>
      </c>
      <c r="H204" s="15">
        <v>81698</v>
      </c>
      <c r="I204" s="15" t="s">
        <v>1505</v>
      </c>
      <c r="J204" s="30">
        <v>78905245</v>
      </c>
      <c r="K204" s="30" t="s">
        <v>2799</v>
      </c>
      <c r="L204" s="30" t="s">
        <v>2804</v>
      </c>
      <c r="M204" s="15">
        <v>279900</v>
      </c>
      <c r="N204" s="9">
        <f t="shared" si="19"/>
        <v>0.9</v>
      </c>
      <c r="O204" s="8">
        <f t="shared" si="20"/>
        <v>27990</v>
      </c>
      <c r="P204" s="9" t="str">
        <f t="shared" si="21"/>
        <v>PERCENTAGE</v>
      </c>
    </row>
    <row r="205" spans="1:16" x14ac:dyDescent="0.25">
      <c r="A205" s="6" t="str">
        <f t="shared" ref="A205:A268" si="24">A204</f>
        <v>2023 ALL D90</v>
      </c>
      <c r="B205" s="7">
        <f t="shared" si="22"/>
        <v>46114</v>
      </c>
      <c r="C205" s="7">
        <f t="shared" si="23"/>
        <v>46120</v>
      </c>
      <c r="D205" s="6">
        <v>3280</v>
      </c>
      <c r="E205" s="6">
        <v>337</v>
      </c>
      <c r="F205" s="14">
        <v>4</v>
      </c>
      <c r="G205" s="15">
        <v>1</v>
      </c>
      <c r="H205" s="15">
        <v>81698</v>
      </c>
      <c r="I205" s="15" t="s">
        <v>1505</v>
      </c>
      <c r="J205" s="30">
        <v>78907350</v>
      </c>
      <c r="K205" s="30" t="s">
        <v>2799</v>
      </c>
      <c r="L205" s="30" t="s">
        <v>2878</v>
      </c>
      <c r="M205" s="15">
        <v>269900</v>
      </c>
      <c r="N205" s="9">
        <f t="shared" si="19"/>
        <v>0.9</v>
      </c>
      <c r="O205" s="8">
        <f t="shared" si="20"/>
        <v>26990</v>
      </c>
      <c r="P205" s="9" t="str">
        <f t="shared" si="21"/>
        <v>PERCENTAGE</v>
      </c>
    </row>
    <row r="206" spans="1:16" x14ac:dyDescent="0.25">
      <c r="A206" s="6" t="str">
        <f t="shared" si="24"/>
        <v>2023 ALL D90</v>
      </c>
      <c r="B206" s="7">
        <f t="shared" si="22"/>
        <v>46114</v>
      </c>
      <c r="C206" s="7">
        <f t="shared" si="23"/>
        <v>46120</v>
      </c>
      <c r="D206" s="6">
        <v>3280</v>
      </c>
      <c r="E206" s="6">
        <v>337</v>
      </c>
      <c r="F206" s="14">
        <v>4</v>
      </c>
      <c r="G206" s="15">
        <v>1</v>
      </c>
      <c r="H206" s="15">
        <v>81698</v>
      </c>
      <c r="I206" s="15" t="s">
        <v>1505</v>
      </c>
      <c r="J206" s="30">
        <v>78905254</v>
      </c>
      <c r="K206" s="30" t="s">
        <v>2805</v>
      </c>
      <c r="L206" s="30" t="s">
        <v>2806</v>
      </c>
      <c r="M206" s="15">
        <v>269900</v>
      </c>
      <c r="N206" s="9">
        <f t="shared" si="19"/>
        <v>0.9</v>
      </c>
      <c r="O206" s="8">
        <f t="shared" si="20"/>
        <v>26990</v>
      </c>
      <c r="P206" s="9" t="str">
        <f t="shared" si="21"/>
        <v>PERCENTAGE</v>
      </c>
    </row>
    <row r="207" spans="1:16" x14ac:dyDescent="0.25">
      <c r="A207" s="6" t="str">
        <f t="shared" si="24"/>
        <v>2023 ALL D90</v>
      </c>
      <c r="B207" s="7">
        <f t="shared" si="22"/>
        <v>46114</v>
      </c>
      <c r="C207" s="7">
        <f t="shared" si="23"/>
        <v>46120</v>
      </c>
      <c r="D207" s="6">
        <v>3280</v>
      </c>
      <c r="E207" s="6">
        <v>337</v>
      </c>
      <c r="F207" s="14">
        <v>4</v>
      </c>
      <c r="G207" s="15">
        <v>1</v>
      </c>
      <c r="H207" s="15">
        <v>81698</v>
      </c>
      <c r="I207" s="15" t="s">
        <v>1505</v>
      </c>
      <c r="J207" s="30">
        <v>78905263</v>
      </c>
      <c r="K207" s="30" t="s">
        <v>2805</v>
      </c>
      <c r="L207" s="30" t="s">
        <v>2882</v>
      </c>
      <c r="M207" s="15">
        <v>269900</v>
      </c>
      <c r="N207" s="9">
        <f t="shared" si="19"/>
        <v>0.9</v>
      </c>
      <c r="O207" s="8">
        <f t="shared" si="20"/>
        <v>26990</v>
      </c>
      <c r="P207" s="9" t="str">
        <f t="shared" si="21"/>
        <v>PERCENTAGE</v>
      </c>
    </row>
    <row r="208" spans="1:16" x14ac:dyDescent="0.25">
      <c r="A208" s="6" t="str">
        <f t="shared" si="24"/>
        <v>2023 ALL D90</v>
      </c>
      <c r="B208" s="7">
        <f t="shared" si="22"/>
        <v>46114</v>
      </c>
      <c r="C208" s="7">
        <f t="shared" si="23"/>
        <v>46120</v>
      </c>
      <c r="D208" s="6">
        <v>3280</v>
      </c>
      <c r="E208" s="6">
        <v>337</v>
      </c>
      <c r="F208" s="14">
        <v>4</v>
      </c>
      <c r="G208" s="15">
        <v>1</v>
      </c>
      <c r="H208" s="15">
        <v>81698</v>
      </c>
      <c r="I208" s="15" t="s">
        <v>1505</v>
      </c>
      <c r="J208" s="30">
        <v>78905272</v>
      </c>
      <c r="K208" s="30" t="s">
        <v>2805</v>
      </c>
      <c r="L208" s="30" t="s">
        <v>2807</v>
      </c>
      <c r="M208" s="15">
        <v>269900</v>
      </c>
      <c r="N208" s="9">
        <f t="shared" si="19"/>
        <v>0.9</v>
      </c>
      <c r="O208" s="8">
        <f t="shared" si="20"/>
        <v>26990</v>
      </c>
      <c r="P208" s="9" t="str">
        <f t="shared" si="21"/>
        <v>PERCENTAGE</v>
      </c>
    </row>
    <row r="209" spans="1:16" x14ac:dyDescent="0.25">
      <c r="A209" s="6" t="str">
        <f t="shared" si="24"/>
        <v>2023 ALL D90</v>
      </c>
      <c r="B209" s="7">
        <f t="shared" si="22"/>
        <v>46114</v>
      </c>
      <c r="C209" s="7">
        <f t="shared" si="23"/>
        <v>46120</v>
      </c>
      <c r="D209" s="6">
        <v>3280</v>
      </c>
      <c r="E209" s="6">
        <v>337</v>
      </c>
      <c r="F209" s="14">
        <v>4</v>
      </c>
      <c r="G209" s="15">
        <v>1</v>
      </c>
      <c r="H209" s="15">
        <v>81698</v>
      </c>
      <c r="I209" s="15" t="s">
        <v>1505</v>
      </c>
      <c r="J209" s="30">
        <v>78905281</v>
      </c>
      <c r="K209" s="30" t="s">
        <v>2805</v>
      </c>
      <c r="L209" s="30" t="s">
        <v>2808</v>
      </c>
      <c r="M209" s="15">
        <v>279900</v>
      </c>
      <c r="N209" s="9">
        <f t="shared" si="19"/>
        <v>0.9</v>
      </c>
      <c r="O209" s="8">
        <f t="shared" si="20"/>
        <v>27990</v>
      </c>
      <c r="P209" s="9" t="str">
        <f t="shared" si="21"/>
        <v>PERCENTAGE</v>
      </c>
    </row>
    <row r="210" spans="1:16" x14ac:dyDescent="0.25">
      <c r="A210" s="6" t="str">
        <f t="shared" si="24"/>
        <v>2023 ALL D90</v>
      </c>
      <c r="B210" s="7">
        <f t="shared" si="22"/>
        <v>46114</v>
      </c>
      <c r="C210" s="7">
        <f t="shared" si="23"/>
        <v>46120</v>
      </c>
      <c r="D210" s="6">
        <v>3280</v>
      </c>
      <c r="E210" s="6">
        <v>337</v>
      </c>
      <c r="F210" s="14">
        <v>4</v>
      </c>
      <c r="G210" s="15">
        <v>1</v>
      </c>
      <c r="H210" s="15">
        <v>81698</v>
      </c>
      <c r="I210" s="15" t="s">
        <v>1505</v>
      </c>
      <c r="J210" s="30">
        <v>78905290</v>
      </c>
      <c r="K210" s="30" t="s">
        <v>2805</v>
      </c>
      <c r="L210" s="30" t="s">
        <v>2809</v>
      </c>
      <c r="M210" s="15">
        <v>279900</v>
      </c>
      <c r="N210" s="9">
        <f t="shared" si="19"/>
        <v>0.9</v>
      </c>
      <c r="O210" s="8">
        <f t="shared" si="20"/>
        <v>27990</v>
      </c>
      <c r="P210" s="9" t="str">
        <f t="shared" si="21"/>
        <v>PERCENTAGE</v>
      </c>
    </row>
    <row r="211" spans="1:16" x14ac:dyDescent="0.25">
      <c r="A211" s="6" t="str">
        <f t="shared" si="24"/>
        <v>2023 ALL D90</v>
      </c>
      <c r="B211" s="7">
        <f t="shared" si="22"/>
        <v>46114</v>
      </c>
      <c r="C211" s="7">
        <f t="shared" si="23"/>
        <v>46120</v>
      </c>
      <c r="D211" s="6">
        <v>3280</v>
      </c>
      <c r="E211" s="6">
        <v>337</v>
      </c>
      <c r="F211" s="14">
        <v>4</v>
      </c>
      <c r="G211" s="15">
        <v>1</v>
      </c>
      <c r="H211" s="15">
        <v>81698</v>
      </c>
      <c r="I211" s="15" t="s">
        <v>1505</v>
      </c>
      <c r="J211" s="30">
        <v>78905307</v>
      </c>
      <c r="K211" s="30" t="s">
        <v>2805</v>
      </c>
      <c r="L211" s="30" t="s">
        <v>2810</v>
      </c>
      <c r="M211" s="15">
        <v>279900</v>
      </c>
      <c r="N211" s="9">
        <f t="shared" si="19"/>
        <v>0.9</v>
      </c>
      <c r="O211" s="8">
        <f t="shared" si="20"/>
        <v>27990</v>
      </c>
      <c r="P211" s="9" t="str">
        <f t="shared" si="21"/>
        <v>PERCENTAGE</v>
      </c>
    </row>
    <row r="212" spans="1:16" x14ac:dyDescent="0.25">
      <c r="A212" s="6" t="str">
        <f t="shared" si="24"/>
        <v>2023 ALL D90</v>
      </c>
      <c r="B212" s="7">
        <f t="shared" si="22"/>
        <v>46114</v>
      </c>
      <c r="C212" s="7">
        <f t="shared" si="23"/>
        <v>46120</v>
      </c>
      <c r="D212" s="6">
        <v>3280</v>
      </c>
      <c r="E212" s="6">
        <v>337</v>
      </c>
      <c r="F212" s="14">
        <v>4</v>
      </c>
      <c r="G212" s="15">
        <v>1</v>
      </c>
      <c r="H212" s="15">
        <v>81698</v>
      </c>
      <c r="I212" s="15" t="s">
        <v>1505</v>
      </c>
      <c r="J212" s="30">
        <v>78905736</v>
      </c>
      <c r="K212" s="30" t="s">
        <v>2858</v>
      </c>
      <c r="L212" s="30" t="s">
        <v>2859</v>
      </c>
      <c r="M212" s="15">
        <v>269900</v>
      </c>
      <c r="N212" s="9">
        <f t="shared" si="19"/>
        <v>0.9</v>
      </c>
      <c r="O212" s="8">
        <f t="shared" si="20"/>
        <v>26990</v>
      </c>
      <c r="P212" s="9" t="str">
        <f t="shared" si="21"/>
        <v>PERCENTAGE</v>
      </c>
    </row>
    <row r="213" spans="1:16" x14ac:dyDescent="0.25">
      <c r="A213" s="6" t="str">
        <f t="shared" si="24"/>
        <v>2023 ALL D90</v>
      </c>
      <c r="B213" s="7">
        <f t="shared" si="22"/>
        <v>46114</v>
      </c>
      <c r="C213" s="7">
        <f t="shared" si="23"/>
        <v>46120</v>
      </c>
      <c r="D213" s="6">
        <v>3280</v>
      </c>
      <c r="E213" s="6">
        <v>337</v>
      </c>
      <c r="F213" s="14">
        <v>4</v>
      </c>
      <c r="G213" s="15">
        <v>1</v>
      </c>
      <c r="H213" s="15">
        <v>81698</v>
      </c>
      <c r="I213" s="15" t="s">
        <v>1505</v>
      </c>
      <c r="J213" s="30">
        <v>78905745</v>
      </c>
      <c r="K213" s="30" t="s">
        <v>2858</v>
      </c>
      <c r="L213" s="30" t="s">
        <v>2860</v>
      </c>
      <c r="M213" s="15">
        <v>269900</v>
      </c>
      <c r="N213" s="9">
        <f t="shared" si="19"/>
        <v>0.9</v>
      </c>
      <c r="O213" s="8">
        <f t="shared" si="20"/>
        <v>26990</v>
      </c>
      <c r="P213" s="9" t="str">
        <f t="shared" si="21"/>
        <v>PERCENTAGE</v>
      </c>
    </row>
    <row r="214" spans="1:16" x14ac:dyDescent="0.25">
      <c r="A214" s="6" t="str">
        <f t="shared" si="24"/>
        <v>2023 ALL D90</v>
      </c>
      <c r="B214" s="7">
        <f t="shared" si="22"/>
        <v>46114</v>
      </c>
      <c r="C214" s="7">
        <f t="shared" si="23"/>
        <v>46120</v>
      </c>
      <c r="D214" s="6">
        <v>3280</v>
      </c>
      <c r="E214" s="6">
        <v>337</v>
      </c>
      <c r="F214" s="14">
        <v>4</v>
      </c>
      <c r="G214" s="15">
        <v>1</v>
      </c>
      <c r="H214" s="15">
        <v>81698</v>
      </c>
      <c r="I214" s="15" t="s">
        <v>1505</v>
      </c>
      <c r="J214" s="30">
        <v>78905754</v>
      </c>
      <c r="K214" s="30" t="s">
        <v>2858</v>
      </c>
      <c r="L214" s="30" t="s">
        <v>2881</v>
      </c>
      <c r="M214" s="15">
        <v>269900</v>
      </c>
      <c r="N214" s="9">
        <f t="shared" si="19"/>
        <v>0.9</v>
      </c>
      <c r="O214" s="8">
        <f t="shared" si="20"/>
        <v>26990</v>
      </c>
      <c r="P214" s="9" t="str">
        <f t="shared" si="21"/>
        <v>PERCENTAGE</v>
      </c>
    </row>
    <row r="215" spans="1:16" x14ac:dyDescent="0.25">
      <c r="A215" s="6" t="str">
        <f t="shared" si="24"/>
        <v>2023 ALL D90</v>
      </c>
      <c r="B215" s="7">
        <f t="shared" si="22"/>
        <v>46114</v>
      </c>
      <c r="C215" s="7">
        <f t="shared" si="23"/>
        <v>46120</v>
      </c>
      <c r="D215" s="6">
        <v>3280</v>
      </c>
      <c r="E215" s="6">
        <v>337</v>
      </c>
      <c r="F215" s="14">
        <v>4</v>
      </c>
      <c r="G215" s="15">
        <v>1</v>
      </c>
      <c r="H215" s="15">
        <v>81698</v>
      </c>
      <c r="I215" s="15" t="s">
        <v>1505</v>
      </c>
      <c r="J215" s="30">
        <v>78905763</v>
      </c>
      <c r="K215" s="30" t="s">
        <v>2858</v>
      </c>
      <c r="L215" s="30" t="s">
        <v>2861</v>
      </c>
      <c r="M215" s="15">
        <v>279900</v>
      </c>
      <c r="N215" s="9">
        <f t="shared" si="19"/>
        <v>0.9</v>
      </c>
      <c r="O215" s="8">
        <f t="shared" si="20"/>
        <v>27990</v>
      </c>
      <c r="P215" s="9" t="str">
        <f t="shared" si="21"/>
        <v>PERCENTAGE</v>
      </c>
    </row>
    <row r="216" spans="1:16" x14ac:dyDescent="0.25">
      <c r="A216" s="6" t="str">
        <f t="shared" si="24"/>
        <v>2023 ALL D90</v>
      </c>
      <c r="B216" s="7">
        <f t="shared" si="22"/>
        <v>46114</v>
      </c>
      <c r="C216" s="7">
        <f t="shared" si="23"/>
        <v>46120</v>
      </c>
      <c r="D216" s="6">
        <v>3280</v>
      </c>
      <c r="E216" s="6">
        <v>337</v>
      </c>
      <c r="F216" s="14">
        <v>4</v>
      </c>
      <c r="G216" s="15">
        <v>1</v>
      </c>
      <c r="H216" s="15">
        <v>81698</v>
      </c>
      <c r="I216" s="15" t="s">
        <v>1505</v>
      </c>
      <c r="J216" s="30">
        <v>78905772</v>
      </c>
      <c r="K216" s="30" t="s">
        <v>2858</v>
      </c>
      <c r="L216" s="30" t="s">
        <v>2862</v>
      </c>
      <c r="M216" s="15">
        <v>279900</v>
      </c>
      <c r="N216" s="9">
        <f t="shared" si="19"/>
        <v>0.9</v>
      </c>
      <c r="O216" s="8">
        <f t="shared" si="20"/>
        <v>27990</v>
      </c>
      <c r="P216" s="9" t="str">
        <f t="shared" si="21"/>
        <v>PERCENTAGE</v>
      </c>
    </row>
    <row r="217" spans="1:16" x14ac:dyDescent="0.25">
      <c r="A217" s="6" t="str">
        <f t="shared" si="24"/>
        <v>2023 ALL D90</v>
      </c>
      <c r="B217" s="7">
        <f t="shared" si="22"/>
        <v>46114</v>
      </c>
      <c r="C217" s="7">
        <f t="shared" si="23"/>
        <v>46120</v>
      </c>
      <c r="D217" s="6">
        <v>3280</v>
      </c>
      <c r="E217" s="6">
        <v>337</v>
      </c>
      <c r="F217" s="14">
        <v>4</v>
      </c>
      <c r="G217" s="15">
        <v>1</v>
      </c>
      <c r="H217" s="15">
        <v>81698</v>
      </c>
      <c r="I217" s="15" t="s">
        <v>1505</v>
      </c>
      <c r="J217" s="30">
        <v>78905781</v>
      </c>
      <c r="K217" s="30" t="s">
        <v>2858</v>
      </c>
      <c r="L217" s="30" t="s">
        <v>2863</v>
      </c>
      <c r="M217" s="15">
        <v>279900</v>
      </c>
      <c r="N217" s="9">
        <f t="shared" si="19"/>
        <v>0.9</v>
      </c>
      <c r="O217" s="8">
        <f t="shared" si="20"/>
        <v>27990</v>
      </c>
      <c r="P217" s="9" t="str">
        <f t="shared" si="21"/>
        <v>PERCENTAGE</v>
      </c>
    </row>
    <row r="218" spans="1:16" x14ac:dyDescent="0.25">
      <c r="A218" s="6" t="str">
        <f t="shared" si="24"/>
        <v>2023 ALL D90</v>
      </c>
      <c r="B218" s="7">
        <f t="shared" si="22"/>
        <v>46114</v>
      </c>
      <c r="C218" s="7">
        <f t="shared" si="23"/>
        <v>46120</v>
      </c>
      <c r="D218" s="6">
        <v>3280</v>
      </c>
      <c r="E218" s="6">
        <v>337</v>
      </c>
      <c r="F218" s="14">
        <v>4</v>
      </c>
      <c r="G218" s="15">
        <v>1</v>
      </c>
      <c r="H218" s="15">
        <v>81698</v>
      </c>
      <c r="I218" s="15" t="s">
        <v>1505</v>
      </c>
      <c r="J218" s="30">
        <v>78905610</v>
      </c>
      <c r="K218" s="30" t="s">
        <v>2846</v>
      </c>
      <c r="L218" s="30" t="s">
        <v>2847</v>
      </c>
      <c r="M218" s="15">
        <v>269900</v>
      </c>
      <c r="N218" s="9">
        <f t="shared" si="19"/>
        <v>0.9</v>
      </c>
      <c r="O218" s="8">
        <f t="shared" si="20"/>
        <v>26990</v>
      </c>
      <c r="P218" s="9" t="str">
        <f t="shared" si="21"/>
        <v>PERCENTAGE</v>
      </c>
    </row>
    <row r="219" spans="1:16" x14ac:dyDescent="0.25">
      <c r="A219" s="6" t="str">
        <f t="shared" si="24"/>
        <v>2023 ALL D90</v>
      </c>
      <c r="B219" s="7">
        <f t="shared" si="22"/>
        <v>46114</v>
      </c>
      <c r="C219" s="7">
        <f t="shared" si="23"/>
        <v>46120</v>
      </c>
      <c r="D219" s="6">
        <v>3280</v>
      </c>
      <c r="E219" s="6">
        <v>337</v>
      </c>
      <c r="F219" s="14">
        <v>4</v>
      </c>
      <c r="G219" s="15">
        <v>1</v>
      </c>
      <c r="H219" s="15">
        <v>81698</v>
      </c>
      <c r="I219" s="15" t="s">
        <v>1505</v>
      </c>
      <c r="J219" s="30">
        <v>78905629</v>
      </c>
      <c r="K219" s="30" t="s">
        <v>2846</v>
      </c>
      <c r="L219" s="30" t="s">
        <v>2880</v>
      </c>
      <c r="M219" s="15">
        <v>269900</v>
      </c>
      <c r="N219" s="9">
        <f t="shared" si="19"/>
        <v>0.9</v>
      </c>
      <c r="O219" s="8">
        <f t="shared" si="20"/>
        <v>26990</v>
      </c>
      <c r="P219" s="9" t="str">
        <f t="shared" si="21"/>
        <v>PERCENTAGE</v>
      </c>
    </row>
    <row r="220" spans="1:16" x14ac:dyDescent="0.25">
      <c r="A220" s="6" t="str">
        <f t="shared" si="24"/>
        <v>2023 ALL D90</v>
      </c>
      <c r="B220" s="7">
        <f t="shared" si="22"/>
        <v>46114</v>
      </c>
      <c r="C220" s="7">
        <f t="shared" si="23"/>
        <v>46120</v>
      </c>
      <c r="D220" s="6">
        <v>3280</v>
      </c>
      <c r="E220" s="6">
        <v>337</v>
      </c>
      <c r="F220" s="14">
        <v>4</v>
      </c>
      <c r="G220" s="15">
        <v>1</v>
      </c>
      <c r="H220" s="15">
        <v>81698</v>
      </c>
      <c r="I220" s="15" t="s">
        <v>1505</v>
      </c>
      <c r="J220" s="30">
        <v>78905638</v>
      </c>
      <c r="K220" s="30" t="s">
        <v>2846</v>
      </c>
      <c r="L220" s="30" t="s">
        <v>2848</v>
      </c>
      <c r="M220" s="15">
        <v>269900</v>
      </c>
      <c r="N220" s="9">
        <f t="shared" si="19"/>
        <v>0.9</v>
      </c>
      <c r="O220" s="8">
        <f t="shared" si="20"/>
        <v>26990</v>
      </c>
      <c r="P220" s="9" t="str">
        <f t="shared" si="21"/>
        <v>PERCENTAGE</v>
      </c>
    </row>
    <row r="221" spans="1:16" x14ac:dyDescent="0.25">
      <c r="A221" s="6" t="str">
        <f t="shared" si="24"/>
        <v>2023 ALL D90</v>
      </c>
      <c r="B221" s="7">
        <f t="shared" si="22"/>
        <v>46114</v>
      </c>
      <c r="C221" s="7">
        <f t="shared" si="23"/>
        <v>46120</v>
      </c>
      <c r="D221" s="6">
        <v>3280</v>
      </c>
      <c r="E221" s="6">
        <v>337</v>
      </c>
      <c r="F221" s="14">
        <v>4</v>
      </c>
      <c r="G221" s="15">
        <v>1</v>
      </c>
      <c r="H221" s="15">
        <v>81698</v>
      </c>
      <c r="I221" s="15" t="s">
        <v>1505</v>
      </c>
      <c r="J221" s="30">
        <v>78905647</v>
      </c>
      <c r="K221" s="30" t="s">
        <v>2846</v>
      </c>
      <c r="L221" s="30" t="s">
        <v>2849</v>
      </c>
      <c r="M221" s="15">
        <v>279900</v>
      </c>
      <c r="N221" s="9">
        <f t="shared" si="19"/>
        <v>0.9</v>
      </c>
      <c r="O221" s="8">
        <f t="shared" si="20"/>
        <v>27990</v>
      </c>
      <c r="P221" s="9" t="str">
        <f t="shared" si="21"/>
        <v>PERCENTAGE</v>
      </c>
    </row>
    <row r="222" spans="1:16" x14ac:dyDescent="0.25">
      <c r="A222" s="6" t="str">
        <f t="shared" si="24"/>
        <v>2023 ALL D90</v>
      </c>
      <c r="B222" s="7">
        <f t="shared" si="22"/>
        <v>46114</v>
      </c>
      <c r="C222" s="7">
        <f t="shared" si="23"/>
        <v>46120</v>
      </c>
      <c r="D222" s="6">
        <v>3280</v>
      </c>
      <c r="E222" s="6">
        <v>337</v>
      </c>
      <c r="F222" s="14">
        <v>4</v>
      </c>
      <c r="G222" s="15">
        <v>1</v>
      </c>
      <c r="H222" s="15">
        <v>81698</v>
      </c>
      <c r="I222" s="15" t="s">
        <v>1505</v>
      </c>
      <c r="J222" s="30">
        <v>78905656</v>
      </c>
      <c r="K222" s="30" t="s">
        <v>2846</v>
      </c>
      <c r="L222" s="30" t="s">
        <v>2850</v>
      </c>
      <c r="M222" s="15">
        <v>279900</v>
      </c>
      <c r="N222" s="9">
        <f t="shared" si="19"/>
        <v>0.9</v>
      </c>
      <c r="O222" s="8">
        <f t="shared" si="20"/>
        <v>27990</v>
      </c>
      <c r="P222" s="9" t="str">
        <f t="shared" si="21"/>
        <v>PERCENTAGE</v>
      </c>
    </row>
    <row r="223" spans="1:16" x14ac:dyDescent="0.25">
      <c r="A223" s="6" t="str">
        <f t="shared" si="24"/>
        <v>2023 ALL D90</v>
      </c>
      <c r="B223" s="7">
        <f t="shared" si="22"/>
        <v>46114</v>
      </c>
      <c r="C223" s="7">
        <f t="shared" si="23"/>
        <v>46120</v>
      </c>
      <c r="D223" s="6">
        <v>3280</v>
      </c>
      <c r="E223" s="6">
        <v>337</v>
      </c>
      <c r="F223" s="14">
        <v>4</v>
      </c>
      <c r="G223" s="15">
        <v>1</v>
      </c>
      <c r="H223" s="15">
        <v>81698</v>
      </c>
      <c r="I223" s="15" t="s">
        <v>1505</v>
      </c>
      <c r="J223" s="30">
        <v>78905665</v>
      </c>
      <c r="K223" s="30" t="s">
        <v>2846</v>
      </c>
      <c r="L223" s="30" t="s">
        <v>2851</v>
      </c>
      <c r="M223" s="15">
        <v>279900</v>
      </c>
      <c r="N223" s="9">
        <f t="shared" si="19"/>
        <v>0.9</v>
      </c>
      <c r="O223" s="8">
        <f t="shared" si="20"/>
        <v>27990</v>
      </c>
      <c r="P223" s="9" t="str">
        <f t="shared" si="21"/>
        <v>PERCENTAGE</v>
      </c>
    </row>
    <row r="224" spans="1:16" x14ac:dyDescent="0.25">
      <c r="A224" s="6" t="str">
        <f t="shared" si="24"/>
        <v>2023 ALL D90</v>
      </c>
      <c r="B224" s="7">
        <f t="shared" si="22"/>
        <v>46114</v>
      </c>
      <c r="C224" s="7">
        <f t="shared" si="23"/>
        <v>46120</v>
      </c>
      <c r="D224" s="6">
        <v>3280</v>
      </c>
      <c r="E224" s="6">
        <v>337</v>
      </c>
      <c r="F224" s="14">
        <v>4</v>
      </c>
      <c r="G224" s="15">
        <v>1</v>
      </c>
      <c r="H224" s="15">
        <v>81698</v>
      </c>
      <c r="I224" s="15" t="s">
        <v>1505</v>
      </c>
      <c r="J224" s="30">
        <v>78905674</v>
      </c>
      <c r="K224" s="30" t="s">
        <v>2852</v>
      </c>
      <c r="L224" s="30" t="s">
        <v>2853</v>
      </c>
      <c r="M224" s="15">
        <v>269900</v>
      </c>
      <c r="N224" s="9">
        <f t="shared" si="19"/>
        <v>0.9</v>
      </c>
      <c r="O224" s="8">
        <f t="shared" si="20"/>
        <v>26990</v>
      </c>
      <c r="P224" s="9" t="str">
        <f t="shared" si="21"/>
        <v>PERCENTAGE</v>
      </c>
    </row>
    <row r="225" spans="1:16" x14ac:dyDescent="0.25">
      <c r="A225" s="6" t="str">
        <f t="shared" si="24"/>
        <v>2023 ALL D90</v>
      </c>
      <c r="B225" s="7">
        <f t="shared" si="22"/>
        <v>46114</v>
      </c>
      <c r="C225" s="7">
        <f t="shared" si="23"/>
        <v>46120</v>
      </c>
      <c r="D225" s="6">
        <v>3280</v>
      </c>
      <c r="E225" s="6">
        <v>337</v>
      </c>
      <c r="F225" s="14">
        <v>4</v>
      </c>
      <c r="G225" s="15">
        <v>1</v>
      </c>
      <c r="H225" s="15">
        <v>81698</v>
      </c>
      <c r="I225" s="15" t="s">
        <v>1505</v>
      </c>
      <c r="J225" s="30">
        <v>78905683</v>
      </c>
      <c r="K225" s="30" t="s">
        <v>2852</v>
      </c>
      <c r="L225" s="30" t="s">
        <v>2879</v>
      </c>
      <c r="M225" s="15">
        <v>269900</v>
      </c>
      <c r="N225" s="9">
        <f t="shared" si="19"/>
        <v>0.9</v>
      </c>
      <c r="O225" s="8">
        <f t="shared" si="20"/>
        <v>26990</v>
      </c>
      <c r="P225" s="9" t="str">
        <f t="shared" si="21"/>
        <v>PERCENTAGE</v>
      </c>
    </row>
    <row r="226" spans="1:16" x14ac:dyDescent="0.25">
      <c r="A226" s="6" t="str">
        <f t="shared" si="24"/>
        <v>2023 ALL D90</v>
      </c>
      <c r="B226" s="7">
        <f t="shared" si="22"/>
        <v>46114</v>
      </c>
      <c r="C226" s="7">
        <f t="shared" si="23"/>
        <v>46120</v>
      </c>
      <c r="D226" s="6">
        <v>3280</v>
      </c>
      <c r="E226" s="6">
        <v>337</v>
      </c>
      <c r="F226" s="14">
        <v>4</v>
      </c>
      <c r="G226" s="15">
        <v>1</v>
      </c>
      <c r="H226" s="15">
        <v>81698</v>
      </c>
      <c r="I226" s="15" t="s">
        <v>1505</v>
      </c>
      <c r="J226" s="30">
        <v>78905692</v>
      </c>
      <c r="K226" s="30" t="s">
        <v>2852</v>
      </c>
      <c r="L226" s="30" t="s">
        <v>2854</v>
      </c>
      <c r="M226" s="15">
        <v>269900</v>
      </c>
      <c r="N226" s="9">
        <f t="shared" si="19"/>
        <v>0.9</v>
      </c>
      <c r="O226" s="8">
        <f t="shared" si="20"/>
        <v>26990</v>
      </c>
      <c r="P226" s="9" t="str">
        <f t="shared" si="21"/>
        <v>PERCENTAGE</v>
      </c>
    </row>
    <row r="227" spans="1:16" x14ac:dyDescent="0.25">
      <c r="A227" s="6" t="str">
        <f t="shared" si="24"/>
        <v>2023 ALL D90</v>
      </c>
      <c r="B227" s="7">
        <f t="shared" si="22"/>
        <v>46114</v>
      </c>
      <c r="C227" s="7">
        <f t="shared" si="23"/>
        <v>46120</v>
      </c>
      <c r="D227" s="6">
        <v>3280</v>
      </c>
      <c r="E227" s="6">
        <v>337</v>
      </c>
      <c r="F227" s="14">
        <v>4</v>
      </c>
      <c r="G227" s="15">
        <v>1</v>
      </c>
      <c r="H227" s="15">
        <v>81698</v>
      </c>
      <c r="I227" s="15" t="s">
        <v>1505</v>
      </c>
      <c r="J227" s="30">
        <v>78905709</v>
      </c>
      <c r="K227" s="30" t="s">
        <v>2852</v>
      </c>
      <c r="L227" s="30" t="s">
        <v>2855</v>
      </c>
      <c r="M227" s="15">
        <v>279900</v>
      </c>
      <c r="N227" s="9">
        <f t="shared" si="19"/>
        <v>0.9</v>
      </c>
      <c r="O227" s="8">
        <f t="shared" si="20"/>
        <v>27990</v>
      </c>
      <c r="P227" s="9" t="str">
        <f t="shared" si="21"/>
        <v>PERCENTAGE</v>
      </c>
    </row>
    <row r="228" spans="1:16" x14ac:dyDescent="0.25">
      <c r="A228" s="6" t="str">
        <f t="shared" si="24"/>
        <v>2023 ALL D90</v>
      </c>
      <c r="B228" s="7">
        <f t="shared" si="22"/>
        <v>46114</v>
      </c>
      <c r="C228" s="7">
        <f t="shared" si="23"/>
        <v>46120</v>
      </c>
      <c r="D228" s="6">
        <v>3280</v>
      </c>
      <c r="E228" s="6">
        <v>337</v>
      </c>
      <c r="F228" s="14">
        <v>4</v>
      </c>
      <c r="G228" s="15">
        <v>1</v>
      </c>
      <c r="H228" s="15">
        <v>81698</v>
      </c>
      <c r="I228" s="15" t="s">
        <v>1505</v>
      </c>
      <c r="J228" s="30">
        <v>78905718</v>
      </c>
      <c r="K228" s="30" t="s">
        <v>2852</v>
      </c>
      <c r="L228" s="30" t="s">
        <v>2856</v>
      </c>
      <c r="M228" s="15">
        <v>279900</v>
      </c>
      <c r="N228" s="9">
        <f t="shared" si="19"/>
        <v>0.9</v>
      </c>
      <c r="O228" s="8">
        <f t="shared" si="20"/>
        <v>27990</v>
      </c>
      <c r="P228" s="9" t="str">
        <f t="shared" si="21"/>
        <v>PERCENTAGE</v>
      </c>
    </row>
    <row r="229" spans="1:16" x14ac:dyDescent="0.25">
      <c r="A229" s="6" t="str">
        <f t="shared" si="24"/>
        <v>2023 ALL D90</v>
      </c>
      <c r="B229" s="7">
        <f t="shared" si="22"/>
        <v>46114</v>
      </c>
      <c r="C229" s="7">
        <f t="shared" si="23"/>
        <v>46120</v>
      </c>
      <c r="D229" s="6">
        <v>3280</v>
      </c>
      <c r="E229" s="6">
        <v>337</v>
      </c>
      <c r="F229" s="14">
        <v>4</v>
      </c>
      <c r="G229" s="15">
        <v>1</v>
      </c>
      <c r="H229" s="15">
        <v>81698</v>
      </c>
      <c r="I229" s="15" t="s">
        <v>1505</v>
      </c>
      <c r="J229" s="30">
        <v>78905727</v>
      </c>
      <c r="K229" s="30" t="s">
        <v>2852</v>
      </c>
      <c r="L229" s="30" t="s">
        <v>2857</v>
      </c>
      <c r="M229" s="15">
        <v>279900</v>
      </c>
      <c r="N229" s="9">
        <f t="shared" si="19"/>
        <v>0.9</v>
      </c>
      <c r="O229" s="8">
        <f t="shared" si="20"/>
        <v>27990</v>
      </c>
      <c r="P229" s="9" t="str">
        <f t="shared" si="21"/>
        <v>PERCENTAGE</v>
      </c>
    </row>
    <row r="230" spans="1:16" x14ac:dyDescent="0.25">
      <c r="A230" s="6" t="str">
        <f t="shared" si="24"/>
        <v>2023 ALL D90</v>
      </c>
      <c r="B230" s="7">
        <f t="shared" si="22"/>
        <v>46114</v>
      </c>
      <c r="C230" s="7">
        <f t="shared" si="23"/>
        <v>46120</v>
      </c>
      <c r="D230" s="6">
        <v>3280</v>
      </c>
      <c r="E230" s="6">
        <v>337</v>
      </c>
      <c r="F230" s="14">
        <v>4</v>
      </c>
      <c r="G230" s="15">
        <v>1</v>
      </c>
      <c r="H230" s="15">
        <v>81698</v>
      </c>
      <c r="I230" s="15" t="s">
        <v>1505</v>
      </c>
      <c r="J230" s="30">
        <v>78905085</v>
      </c>
      <c r="K230" s="30" t="s">
        <v>2786</v>
      </c>
      <c r="L230" s="30" t="s">
        <v>2787</v>
      </c>
      <c r="M230" s="15">
        <v>329900</v>
      </c>
      <c r="N230" s="9">
        <f t="shared" si="19"/>
        <v>0.9</v>
      </c>
      <c r="O230" s="8">
        <f t="shared" si="20"/>
        <v>32990</v>
      </c>
      <c r="P230" s="9" t="str">
        <f t="shared" si="21"/>
        <v>PERCENTAGE</v>
      </c>
    </row>
    <row r="231" spans="1:16" x14ac:dyDescent="0.25">
      <c r="A231" s="6" t="str">
        <f t="shared" si="24"/>
        <v>2023 ALL D90</v>
      </c>
      <c r="B231" s="7">
        <f t="shared" si="22"/>
        <v>46114</v>
      </c>
      <c r="C231" s="7">
        <f t="shared" si="23"/>
        <v>46120</v>
      </c>
      <c r="D231" s="6">
        <v>3280</v>
      </c>
      <c r="E231" s="6">
        <v>337</v>
      </c>
      <c r="F231" s="14">
        <v>4</v>
      </c>
      <c r="G231" s="15">
        <v>1</v>
      </c>
      <c r="H231" s="15">
        <v>81698</v>
      </c>
      <c r="I231" s="15" t="s">
        <v>1505</v>
      </c>
      <c r="J231" s="30">
        <v>78905094</v>
      </c>
      <c r="K231" s="30" t="s">
        <v>2786</v>
      </c>
      <c r="L231" s="30" t="s">
        <v>2788</v>
      </c>
      <c r="M231" s="15">
        <v>329900</v>
      </c>
      <c r="N231" s="9">
        <f t="shared" si="19"/>
        <v>0.9</v>
      </c>
      <c r="O231" s="8">
        <f t="shared" si="20"/>
        <v>32990</v>
      </c>
      <c r="P231" s="9" t="str">
        <f t="shared" si="21"/>
        <v>PERCENTAGE</v>
      </c>
    </row>
    <row r="232" spans="1:16" x14ac:dyDescent="0.25">
      <c r="A232" s="6" t="str">
        <f t="shared" si="24"/>
        <v>2023 ALL D90</v>
      </c>
      <c r="B232" s="7">
        <f t="shared" si="22"/>
        <v>46114</v>
      </c>
      <c r="C232" s="7">
        <f t="shared" si="23"/>
        <v>46120</v>
      </c>
      <c r="D232" s="6">
        <v>3280</v>
      </c>
      <c r="E232" s="6">
        <v>337</v>
      </c>
      <c r="F232" s="14">
        <v>4</v>
      </c>
      <c r="G232" s="15">
        <v>1</v>
      </c>
      <c r="H232" s="15">
        <v>81698</v>
      </c>
      <c r="I232" s="15" t="s">
        <v>1505</v>
      </c>
      <c r="J232" s="30">
        <v>78905101</v>
      </c>
      <c r="K232" s="30" t="s">
        <v>2786</v>
      </c>
      <c r="L232" s="30" t="s">
        <v>2883</v>
      </c>
      <c r="M232" s="15">
        <v>329900</v>
      </c>
      <c r="N232" s="9">
        <f t="shared" si="19"/>
        <v>0.9</v>
      </c>
      <c r="O232" s="8">
        <f t="shared" si="20"/>
        <v>32990</v>
      </c>
      <c r="P232" s="9" t="str">
        <f t="shared" si="21"/>
        <v>PERCENTAGE</v>
      </c>
    </row>
    <row r="233" spans="1:16" x14ac:dyDescent="0.25">
      <c r="A233" s="6" t="str">
        <f t="shared" si="24"/>
        <v>2023 ALL D90</v>
      </c>
      <c r="B233" s="7">
        <f t="shared" si="22"/>
        <v>46114</v>
      </c>
      <c r="C233" s="7">
        <f t="shared" si="23"/>
        <v>46120</v>
      </c>
      <c r="D233" s="6">
        <v>3280</v>
      </c>
      <c r="E233" s="6">
        <v>337</v>
      </c>
      <c r="F233" s="14">
        <v>4</v>
      </c>
      <c r="G233" s="15">
        <v>1</v>
      </c>
      <c r="H233" s="15">
        <v>81698</v>
      </c>
      <c r="I233" s="15" t="s">
        <v>1505</v>
      </c>
      <c r="J233" s="30">
        <v>78905110</v>
      </c>
      <c r="K233" s="30" t="s">
        <v>2786</v>
      </c>
      <c r="L233" s="30" t="s">
        <v>2789</v>
      </c>
      <c r="M233" s="15">
        <v>329900</v>
      </c>
      <c r="N233" s="9">
        <f t="shared" si="19"/>
        <v>0.9</v>
      </c>
      <c r="O233" s="8">
        <f t="shared" si="20"/>
        <v>32990</v>
      </c>
      <c r="P233" s="9" t="str">
        <f t="shared" si="21"/>
        <v>PERCENTAGE</v>
      </c>
    </row>
    <row r="234" spans="1:16" x14ac:dyDescent="0.25">
      <c r="A234" s="6" t="str">
        <f t="shared" si="24"/>
        <v>2023 ALL D90</v>
      </c>
      <c r="B234" s="7">
        <f t="shared" si="22"/>
        <v>46114</v>
      </c>
      <c r="C234" s="7">
        <f t="shared" si="23"/>
        <v>46120</v>
      </c>
      <c r="D234" s="6">
        <v>3280</v>
      </c>
      <c r="E234" s="6">
        <v>337</v>
      </c>
      <c r="F234" s="14">
        <v>4</v>
      </c>
      <c r="G234" s="15">
        <v>1</v>
      </c>
      <c r="H234" s="15">
        <v>81698</v>
      </c>
      <c r="I234" s="15" t="s">
        <v>1505</v>
      </c>
      <c r="J234" s="30">
        <v>78905129</v>
      </c>
      <c r="K234" s="30" t="s">
        <v>2786</v>
      </c>
      <c r="L234" s="30" t="s">
        <v>2790</v>
      </c>
      <c r="M234" s="15">
        <v>329900</v>
      </c>
      <c r="N234" s="9">
        <f t="shared" si="19"/>
        <v>0.9</v>
      </c>
      <c r="O234" s="8">
        <f t="shared" si="20"/>
        <v>32990</v>
      </c>
      <c r="P234" s="9" t="str">
        <f t="shared" si="21"/>
        <v>PERCENTAGE</v>
      </c>
    </row>
    <row r="235" spans="1:16" x14ac:dyDescent="0.25">
      <c r="A235" s="6" t="str">
        <f t="shared" si="24"/>
        <v>2023 ALL D90</v>
      </c>
      <c r="B235" s="7">
        <f t="shared" si="22"/>
        <v>46114</v>
      </c>
      <c r="C235" s="7">
        <f t="shared" si="23"/>
        <v>46120</v>
      </c>
      <c r="D235" s="6">
        <v>3280</v>
      </c>
      <c r="E235" s="6">
        <v>337</v>
      </c>
      <c r="F235" s="14">
        <v>4</v>
      </c>
      <c r="G235" s="15">
        <v>1</v>
      </c>
      <c r="H235" s="15">
        <v>81698</v>
      </c>
      <c r="I235" s="15" t="s">
        <v>1505</v>
      </c>
      <c r="J235" s="30">
        <v>78905138</v>
      </c>
      <c r="K235" s="30" t="s">
        <v>2786</v>
      </c>
      <c r="L235" s="30" t="s">
        <v>2791</v>
      </c>
      <c r="M235" s="15">
        <v>329900</v>
      </c>
      <c r="N235" s="9">
        <f t="shared" si="19"/>
        <v>0.9</v>
      </c>
      <c r="O235" s="8">
        <f t="shared" si="20"/>
        <v>32990</v>
      </c>
      <c r="P235" s="9" t="str">
        <f t="shared" si="21"/>
        <v>PERCENTAGE</v>
      </c>
    </row>
    <row r="236" spans="1:16" x14ac:dyDescent="0.25">
      <c r="A236" s="6" t="str">
        <f t="shared" si="24"/>
        <v>2023 ALL D90</v>
      </c>
      <c r="B236" s="7">
        <f t="shared" si="22"/>
        <v>46114</v>
      </c>
      <c r="C236" s="7">
        <f t="shared" si="23"/>
        <v>46120</v>
      </c>
      <c r="D236" s="6">
        <v>3280</v>
      </c>
      <c r="E236" s="6">
        <v>337</v>
      </c>
      <c r="F236" s="14">
        <v>4</v>
      </c>
      <c r="G236" s="15">
        <v>2</v>
      </c>
      <c r="H236" s="15">
        <v>81306</v>
      </c>
      <c r="I236" s="15" t="s">
        <v>1505</v>
      </c>
      <c r="J236" s="30">
        <v>78225944</v>
      </c>
      <c r="K236" s="30" t="s">
        <v>2758</v>
      </c>
      <c r="L236" s="30" t="s">
        <v>2759</v>
      </c>
      <c r="M236" s="15">
        <v>239900</v>
      </c>
      <c r="N236" s="9">
        <f t="shared" si="19"/>
        <v>0.9</v>
      </c>
      <c r="O236" s="8">
        <f t="shared" si="20"/>
        <v>23990</v>
      </c>
      <c r="P236" s="9" t="str">
        <f t="shared" si="21"/>
        <v>PERCENTAGE</v>
      </c>
    </row>
    <row r="237" spans="1:16" x14ac:dyDescent="0.25">
      <c r="A237" s="6" t="str">
        <f t="shared" si="24"/>
        <v>2023 ALL D90</v>
      </c>
      <c r="B237" s="7">
        <f t="shared" si="22"/>
        <v>46114</v>
      </c>
      <c r="C237" s="7">
        <f t="shared" si="23"/>
        <v>46120</v>
      </c>
      <c r="D237" s="6">
        <v>3280</v>
      </c>
      <c r="E237" s="6">
        <v>337</v>
      </c>
      <c r="F237" s="14">
        <v>4</v>
      </c>
      <c r="G237" s="15">
        <v>2</v>
      </c>
      <c r="H237" s="15">
        <v>81306</v>
      </c>
      <c r="I237" s="15" t="s">
        <v>1505</v>
      </c>
      <c r="J237" s="30">
        <v>78225953</v>
      </c>
      <c r="K237" s="30" t="s">
        <v>2758</v>
      </c>
      <c r="L237" s="30" t="s">
        <v>2760</v>
      </c>
      <c r="M237" s="15">
        <v>239900</v>
      </c>
      <c r="N237" s="9">
        <f t="shared" si="19"/>
        <v>0.9</v>
      </c>
      <c r="O237" s="8">
        <f t="shared" si="20"/>
        <v>23990</v>
      </c>
      <c r="P237" s="9" t="str">
        <f t="shared" si="21"/>
        <v>PERCENTAGE</v>
      </c>
    </row>
    <row r="238" spans="1:16" x14ac:dyDescent="0.25">
      <c r="A238" s="6" t="str">
        <f t="shared" si="24"/>
        <v>2023 ALL D90</v>
      </c>
      <c r="B238" s="7">
        <f t="shared" si="22"/>
        <v>46114</v>
      </c>
      <c r="C238" s="7">
        <f t="shared" si="23"/>
        <v>46120</v>
      </c>
      <c r="D238" s="6">
        <v>3280</v>
      </c>
      <c r="E238" s="6">
        <v>337</v>
      </c>
      <c r="F238" s="14">
        <v>4</v>
      </c>
      <c r="G238" s="15">
        <v>2</v>
      </c>
      <c r="H238" s="15">
        <v>81306</v>
      </c>
      <c r="I238" s="15" t="s">
        <v>1505</v>
      </c>
      <c r="J238" s="30">
        <v>78225962</v>
      </c>
      <c r="K238" s="30" t="s">
        <v>2758</v>
      </c>
      <c r="L238" s="30" t="s">
        <v>2761</v>
      </c>
      <c r="M238" s="15">
        <v>239900</v>
      </c>
      <c r="N238" s="9">
        <f t="shared" si="19"/>
        <v>0.9</v>
      </c>
      <c r="O238" s="8">
        <f t="shared" si="20"/>
        <v>23990</v>
      </c>
      <c r="P238" s="9" t="str">
        <f t="shared" si="21"/>
        <v>PERCENTAGE</v>
      </c>
    </row>
    <row r="239" spans="1:16" x14ac:dyDescent="0.25">
      <c r="A239" s="6" t="str">
        <f t="shared" si="24"/>
        <v>2023 ALL D90</v>
      </c>
      <c r="B239" s="7">
        <f t="shared" si="22"/>
        <v>46114</v>
      </c>
      <c r="C239" s="7">
        <f t="shared" si="23"/>
        <v>46120</v>
      </c>
      <c r="D239" s="6">
        <v>3280</v>
      </c>
      <c r="E239" s="6">
        <v>337</v>
      </c>
      <c r="F239" s="14">
        <v>4</v>
      </c>
      <c r="G239" s="15">
        <v>2</v>
      </c>
      <c r="H239" s="15">
        <v>81306</v>
      </c>
      <c r="I239" s="15" t="s">
        <v>1505</v>
      </c>
      <c r="J239" s="30">
        <v>78225971</v>
      </c>
      <c r="K239" s="30" t="s">
        <v>2758</v>
      </c>
      <c r="L239" s="30" t="s">
        <v>2762</v>
      </c>
      <c r="M239" s="15">
        <v>249900</v>
      </c>
      <c r="N239" s="9">
        <f t="shared" si="19"/>
        <v>0.9</v>
      </c>
      <c r="O239" s="8">
        <f t="shared" si="20"/>
        <v>24990</v>
      </c>
      <c r="P239" s="9" t="str">
        <f t="shared" si="21"/>
        <v>PERCENTAGE</v>
      </c>
    </row>
    <row r="240" spans="1:16" x14ac:dyDescent="0.25">
      <c r="A240" s="6" t="str">
        <f t="shared" si="24"/>
        <v>2023 ALL D90</v>
      </c>
      <c r="B240" s="7">
        <f t="shared" si="22"/>
        <v>46114</v>
      </c>
      <c r="C240" s="7">
        <f t="shared" si="23"/>
        <v>46120</v>
      </c>
      <c r="D240" s="6">
        <v>3280</v>
      </c>
      <c r="E240" s="6">
        <v>337</v>
      </c>
      <c r="F240" s="14">
        <v>4</v>
      </c>
      <c r="G240" s="15">
        <v>2</v>
      </c>
      <c r="H240" s="15">
        <v>81306</v>
      </c>
      <c r="I240" s="15" t="s">
        <v>1505</v>
      </c>
      <c r="J240" s="30">
        <v>78225980</v>
      </c>
      <c r="K240" s="30" t="s">
        <v>2758</v>
      </c>
      <c r="L240" s="30" t="s">
        <v>2763</v>
      </c>
      <c r="M240" s="15">
        <v>249900</v>
      </c>
      <c r="N240" s="9">
        <f t="shared" si="19"/>
        <v>0.9</v>
      </c>
      <c r="O240" s="8">
        <f t="shared" si="20"/>
        <v>24990</v>
      </c>
      <c r="P240" s="9" t="str">
        <f t="shared" si="21"/>
        <v>PERCENTAGE</v>
      </c>
    </row>
    <row r="241" spans="1:16" x14ac:dyDescent="0.25">
      <c r="A241" s="6" t="str">
        <f t="shared" si="24"/>
        <v>2023 ALL D90</v>
      </c>
      <c r="B241" s="7">
        <f t="shared" si="22"/>
        <v>46114</v>
      </c>
      <c r="C241" s="7">
        <f t="shared" si="23"/>
        <v>46120</v>
      </c>
      <c r="D241" s="6">
        <v>3280</v>
      </c>
      <c r="E241" s="6">
        <v>337</v>
      </c>
      <c r="F241" s="14">
        <v>4</v>
      </c>
      <c r="G241" s="15">
        <v>2</v>
      </c>
      <c r="H241" s="15">
        <v>81306</v>
      </c>
      <c r="I241" s="15" t="s">
        <v>1505</v>
      </c>
      <c r="J241" s="30">
        <v>78225999</v>
      </c>
      <c r="K241" s="30" t="s">
        <v>2758</v>
      </c>
      <c r="L241" s="30" t="s">
        <v>2764</v>
      </c>
      <c r="M241" s="15">
        <v>249900</v>
      </c>
      <c r="N241" s="9">
        <f t="shared" si="19"/>
        <v>0.9</v>
      </c>
      <c r="O241" s="8">
        <f t="shared" si="20"/>
        <v>24990</v>
      </c>
      <c r="P241" s="9" t="str">
        <f t="shared" si="21"/>
        <v>PERCENTAGE</v>
      </c>
    </row>
    <row r="242" spans="1:16" x14ac:dyDescent="0.25">
      <c r="A242" s="6" t="str">
        <f t="shared" si="24"/>
        <v>2023 ALL D90</v>
      </c>
      <c r="B242" s="7">
        <f t="shared" si="22"/>
        <v>46114</v>
      </c>
      <c r="C242" s="7">
        <f t="shared" si="23"/>
        <v>46120</v>
      </c>
      <c r="D242" s="6">
        <v>3280</v>
      </c>
      <c r="E242" s="6">
        <v>337</v>
      </c>
      <c r="F242" s="14">
        <v>4</v>
      </c>
      <c r="G242" s="15">
        <v>2</v>
      </c>
      <c r="H242" s="15">
        <v>81306</v>
      </c>
      <c r="I242" s="15" t="s">
        <v>1505</v>
      </c>
      <c r="J242" s="30">
        <v>76439397</v>
      </c>
      <c r="K242" s="30" t="s">
        <v>2730</v>
      </c>
      <c r="L242" s="30" t="s">
        <v>2731</v>
      </c>
      <c r="M242" s="15">
        <v>239900</v>
      </c>
      <c r="N242" s="9">
        <f t="shared" si="19"/>
        <v>0.9</v>
      </c>
      <c r="O242" s="8">
        <f t="shared" si="20"/>
        <v>23990</v>
      </c>
      <c r="P242" s="9" t="str">
        <f t="shared" si="21"/>
        <v>PERCENTAGE</v>
      </c>
    </row>
    <row r="243" spans="1:16" x14ac:dyDescent="0.25">
      <c r="A243" s="6" t="str">
        <f t="shared" si="24"/>
        <v>2023 ALL D90</v>
      </c>
      <c r="B243" s="7">
        <f t="shared" si="22"/>
        <v>46114</v>
      </c>
      <c r="C243" s="7">
        <f t="shared" si="23"/>
        <v>46120</v>
      </c>
      <c r="D243" s="6">
        <v>3280</v>
      </c>
      <c r="E243" s="6">
        <v>337</v>
      </c>
      <c r="F243" s="14">
        <v>4</v>
      </c>
      <c r="G243" s="15">
        <v>2</v>
      </c>
      <c r="H243" s="15">
        <v>81306</v>
      </c>
      <c r="I243" s="15" t="s">
        <v>1505</v>
      </c>
      <c r="J243" s="30">
        <v>76439404</v>
      </c>
      <c r="K243" s="30" t="s">
        <v>2730</v>
      </c>
      <c r="L243" s="30" t="s">
        <v>2732</v>
      </c>
      <c r="M243" s="15">
        <v>239900</v>
      </c>
      <c r="N243" s="9">
        <f t="shared" si="19"/>
        <v>0.9</v>
      </c>
      <c r="O243" s="8">
        <f t="shared" si="20"/>
        <v>23990</v>
      </c>
      <c r="P243" s="9" t="str">
        <f t="shared" si="21"/>
        <v>PERCENTAGE</v>
      </c>
    </row>
    <row r="244" spans="1:16" x14ac:dyDescent="0.25">
      <c r="A244" s="6" t="str">
        <f t="shared" si="24"/>
        <v>2023 ALL D90</v>
      </c>
      <c r="B244" s="7">
        <f t="shared" si="22"/>
        <v>46114</v>
      </c>
      <c r="C244" s="7">
        <f t="shared" si="23"/>
        <v>46120</v>
      </c>
      <c r="D244" s="6">
        <v>3280</v>
      </c>
      <c r="E244" s="6">
        <v>337</v>
      </c>
      <c r="F244" s="14">
        <v>4</v>
      </c>
      <c r="G244" s="15">
        <v>2</v>
      </c>
      <c r="H244" s="15">
        <v>81306</v>
      </c>
      <c r="I244" s="15" t="s">
        <v>1505</v>
      </c>
      <c r="J244" s="30">
        <v>76439413</v>
      </c>
      <c r="K244" s="30" t="s">
        <v>2730</v>
      </c>
      <c r="L244" s="30" t="s">
        <v>2733</v>
      </c>
      <c r="M244" s="15">
        <v>239900</v>
      </c>
      <c r="N244" s="9">
        <f t="shared" si="19"/>
        <v>0.9</v>
      </c>
      <c r="O244" s="8">
        <f t="shared" si="20"/>
        <v>23990</v>
      </c>
      <c r="P244" s="9" t="str">
        <f t="shared" si="21"/>
        <v>PERCENTAGE</v>
      </c>
    </row>
    <row r="245" spans="1:16" x14ac:dyDescent="0.25">
      <c r="A245" s="6" t="str">
        <f t="shared" si="24"/>
        <v>2023 ALL D90</v>
      </c>
      <c r="B245" s="7">
        <f t="shared" si="22"/>
        <v>46114</v>
      </c>
      <c r="C245" s="7">
        <f t="shared" si="23"/>
        <v>46120</v>
      </c>
      <c r="D245" s="6">
        <v>3280</v>
      </c>
      <c r="E245" s="6">
        <v>337</v>
      </c>
      <c r="F245" s="14">
        <v>4</v>
      </c>
      <c r="G245" s="15">
        <v>2</v>
      </c>
      <c r="H245" s="15">
        <v>81306</v>
      </c>
      <c r="I245" s="15" t="s">
        <v>1505</v>
      </c>
      <c r="J245" s="30">
        <v>76439422</v>
      </c>
      <c r="K245" s="30" t="s">
        <v>2730</v>
      </c>
      <c r="L245" s="30" t="s">
        <v>2734</v>
      </c>
      <c r="M245" s="15">
        <v>249900</v>
      </c>
      <c r="N245" s="9">
        <f t="shared" si="19"/>
        <v>0.9</v>
      </c>
      <c r="O245" s="8">
        <f t="shared" si="20"/>
        <v>24990</v>
      </c>
      <c r="P245" s="9" t="str">
        <f t="shared" si="21"/>
        <v>PERCENTAGE</v>
      </c>
    </row>
    <row r="246" spans="1:16" x14ac:dyDescent="0.25">
      <c r="A246" s="6" t="str">
        <f t="shared" si="24"/>
        <v>2023 ALL D90</v>
      </c>
      <c r="B246" s="7">
        <f t="shared" si="22"/>
        <v>46114</v>
      </c>
      <c r="C246" s="7">
        <f t="shared" si="23"/>
        <v>46120</v>
      </c>
      <c r="D246" s="6">
        <v>3280</v>
      </c>
      <c r="E246" s="6">
        <v>337</v>
      </c>
      <c r="F246" s="14">
        <v>4</v>
      </c>
      <c r="G246" s="15">
        <v>2</v>
      </c>
      <c r="H246" s="15">
        <v>81306</v>
      </c>
      <c r="I246" s="15" t="s">
        <v>1505</v>
      </c>
      <c r="J246" s="30">
        <v>76439431</v>
      </c>
      <c r="K246" s="30" t="s">
        <v>2730</v>
      </c>
      <c r="L246" s="30" t="s">
        <v>2735</v>
      </c>
      <c r="M246" s="15">
        <v>249900</v>
      </c>
      <c r="N246" s="9">
        <f t="shared" si="19"/>
        <v>0.9</v>
      </c>
      <c r="O246" s="8">
        <f t="shared" si="20"/>
        <v>24990</v>
      </c>
      <c r="P246" s="9" t="str">
        <f t="shared" si="21"/>
        <v>PERCENTAGE</v>
      </c>
    </row>
    <row r="247" spans="1:16" x14ac:dyDescent="0.25">
      <c r="A247" s="6" t="str">
        <f t="shared" si="24"/>
        <v>2023 ALL D90</v>
      </c>
      <c r="B247" s="7">
        <f t="shared" si="22"/>
        <v>46114</v>
      </c>
      <c r="C247" s="7">
        <f t="shared" si="23"/>
        <v>46120</v>
      </c>
      <c r="D247" s="6">
        <v>3280</v>
      </c>
      <c r="E247" s="6">
        <v>337</v>
      </c>
      <c r="F247" s="14">
        <v>4</v>
      </c>
      <c r="G247" s="15">
        <v>2</v>
      </c>
      <c r="H247" s="15">
        <v>81306</v>
      </c>
      <c r="I247" s="15" t="s">
        <v>1505</v>
      </c>
      <c r="J247" s="30">
        <v>76439440</v>
      </c>
      <c r="K247" s="30" t="s">
        <v>2730</v>
      </c>
      <c r="L247" s="30" t="s">
        <v>2736</v>
      </c>
      <c r="M247" s="15">
        <v>249900</v>
      </c>
      <c r="N247" s="9">
        <f t="shared" si="19"/>
        <v>0.9</v>
      </c>
      <c r="O247" s="8">
        <f t="shared" si="20"/>
        <v>24990</v>
      </c>
      <c r="P247" s="9" t="str">
        <f t="shared" si="21"/>
        <v>PERCENTAGE</v>
      </c>
    </row>
    <row r="248" spans="1:16" x14ac:dyDescent="0.25">
      <c r="A248" s="6" t="str">
        <f t="shared" si="24"/>
        <v>2023 ALL D90</v>
      </c>
      <c r="B248" s="7">
        <f t="shared" si="22"/>
        <v>46114</v>
      </c>
      <c r="C248" s="7">
        <f t="shared" si="23"/>
        <v>46120</v>
      </c>
      <c r="D248" s="6">
        <v>3280</v>
      </c>
      <c r="E248" s="6">
        <v>337</v>
      </c>
      <c r="F248" s="14">
        <v>4</v>
      </c>
      <c r="G248" s="15">
        <v>2</v>
      </c>
      <c r="H248" s="15">
        <v>81622</v>
      </c>
      <c r="I248" s="15" t="s">
        <v>1505</v>
      </c>
      <c r="J248" s="30">
        <v>79668492</v>
      </c>
      <c r="K248" s="30" t="s">
        <v>2973</v>
      </c>
      <c r="L248" s="30" t="s">
        <v>2974</v>
      </c>
      <c r="M248" s="15">
        <v>239900</v>
      </c>
      <c r="N248" s="9">
        <f t="shared" si="19"/>
        <v>0.9</v>
      </c>
      <c r="O248" s="8">
        <f t="shared" si="20"/>
        <v>23990</v>
      </c>
      <c r="P248" s="9" t="str">
        <f t="shared" si="21"/>
        <v>PERCENTAGE</v>
      </c>
    </row>
    <row r="249" spans="1:16" x14ac:dyDescent="0.25">
      <c r="A249" s="6" t="str">
        <f t="shared" si="24"/>
        <v>2023 ALL D90</v>
      </c>
      <c r="B249" s="7">
        <f t="shared" si="22"/>
        <v>46114</v>
      </c>
      <c r="C249" s="7">
        <f t="shared" si="23"/>
        <v>46120</v>
      </c>
      <c r="D249" s="6">
        <v>3280</v>
      </c>
      <c r="E249" s="6">
        <v>337</v>
      </c>
      <c r="F249" s="14">
        <v>4</v>
      </c>
      <c r="G249" s="15">
        <v>2</v>
      </c>
      <c r="H249" s="15">
        <v>81622</v>
      </c>
      <c r="I249" s="15" t="s">
        <v>1505</v>
      </c>
      <c r="J249" s="30">
        <v>79668509</v>
      </c>
      <c r="K249" s="30" t="s">
        <v>2973</v>
      </c>
      <c r="L249" s="30" t="s">
        <v>2975</v>
      </c>
      <c r="M249" s="15">
        <v>239900</v>
      </c>
      <c r="N249" s="9">
        <f t="shared" si="19"/>
        <v>0.9</v>
      </c>
      <c r="O249" s="8">
        <f t="shared" si="20"/>
        <v>23990</v>
      </c>
      <c r="P249" s="9" t="str">
        <f t="shared" si="21"/>
        <v>PERCENTAGE</v>
      </c>
    </row>
    <row r="250" spans="1:16" x14ac:dyDescent="0.25">
      <c r="A250" s="6" t="str">
        <f t="shared" si="24"/>
        <v>2023 ALL D90</v>
      </c>
      <c r="B250" s="7">
        <f t="shared" si="22"/>
        <v>46114</v>
      </c>
      <c r="C250" s="7">
        <f t="shared" si="23"/>
        <v>46120</v>
      </c>
      <c r="D250" s="6">
        <v>3280</v>
      </c>
      <c r="E250" s="6">
        <v>337</v>
      </c>
      <c r="F250" s="14">
        <v>4</v>
      </c>
      <c r="G250" s="15">
        <v>2</v>
      </c>
      <c r="H250" s="15">
        <v>81622</v>
      </c>
      <c r="I250" s="15" t="s">
        <v>1505</v>
      </c>
      <c r="J250" s="30">
        <v>79668518</v>
      </c>
      <c r="K250" s="30" t="s">
        <v>2973</v>
      </c>
      <c r="L250" s="30" t="s">
        <v>2976</v>
      </c>
      <c r="M250" s="15">
        <v>239900</v>
      </c>
      <c r="N250" s="9">
        <f t="shared" si="19"/>
        <v>0.9</v>
      </c>
      <c r="O250" s="8">
        <f t="shared" si="20"/>
        <v>23990</v>
      </c>
      <c r="P250" s="9" t="str">
        <f t="shared" si="21"/>
        <v>PERCENTAGE</v>
      </c>
    </row>
    <row r="251" spans="1:16" x14ac:dyDescent="0.25">
      <c r="A251" s="6" t="str">
        <f t="shared" si="24"/>
        <v>2023 ALL D90</v>
      </c>
      <c r="B251" s="7">
        <f t="shared" si="22"/>
        <v>46114</v>
      </c>
      <c r="C251" s="7">
        <f t="shared" si="23"/>
        <v>46120</v>
      </c>
      <c r="D251" s="6">
        <v>3280</v>
      </c>
      <c r="E251" s="6">
        <v>337</v>
      </c>
      <c r="F251" s="14">
        <v>4</v>
      </c>
      <c r="G251" s="15">
        <v>2</v>
      </c>
      <c r="H251" s="15">
        <v>81622</v>
      </c>
      <c r="I251" s="15" t="s">
        <v>1505</v>
      </c>
      <c r="J251" s="30">
        <v>79668527</v>
      </c>
      <c r="K251" s="30" t="s">
        <v>2973</v>
      </c>
      <c r="L251" s="30" t="s">
        <v>2977</v>
      </c>
      <c r="M251" s="15">
        <v>249900</v>
      </c>
      <c r="N251" s="9">
        <f t="shared" si="19"/>
        <v>0.9</v>
      </c>
      <c r="O251" s="8">
        <f t="shared" si="20"/>
        <v>24990</v>
      </c>
      <c r="P251" s="9" t="str">
        <f t="shared" si="21"/>
        <v>PERCENTAGE</v>
      </c>
    </row>
    <row r="252" spans="1:16" x14ac:dyDescent="0.25">
      <c r="A252" s="6" t="str">
        <f t="shared" si="24"/>
        <v>2023 ALL D90</v>
      </c>
      <c r="B252" s="7">
        <f t="shared" si="22"/>
        <v>46114</v>
      </c>
      <c r="C252" s="7">
        <f t="shared" si="23"/>
        <v>46120</v>
      </c>
      <c r="D252" s="6">
        <v>3280</v>
      </c>
      <c r="E252" s="6">
        <v>337</v>
      </c>
      <c r="F252" s="14">
        <v>4</v>
      </c>
      <c r="G252" s="15">
        <v>2</v>
      </c>
      <c r="H252" s="15">
        <v>81622</v>
      </c>
      <c r="I252" s="15" t="s">
        <v>1505</v>
      </c>
      <c r="J252" s="30">
        <v>79668536</v>
      </c>
      <c r="K252" s="30" t="s">
        <v>2973</v>
      </c>
      <c r="L252" s="30" t="s">
        <v>2978</v>
      </c>
      <c r="M252" s="15">
        <v>249900</v>
      </c>
      <c r="N252" s="9">
        <f t="shared" si="19"/>
        <v>0.9</v>
      </c>
      <c r="O252" s="8">
        <f t="shared" si="20"/>
        <v>24990</v>
      </c>
      <c r="P252" s="9" t="str">
        <f t="shared" si="21"/>
        <v>PERCENTAGE</v>
      </c>
    </row>
    <row r="253" spans="1:16" x14ac:dyDescent="0.25">
      <c r="A253" s="6" t="str">
        <f t="shared" si="24"/>
        <v>2023 ALL D90</v>
      </c>
      <c r="B253" s="7">
        <f t="shared" si="22"/>
        <v>46114</v>
      </c>
      <c r="C253" s="7">
        <f t="shared" si="23"/>
        <v>46120</v>
      </c>
      <c r="D253" s="6">
        <v>3280</v>
      </c>
      <c r="E253" s="6">
        <v>337</v>
      </c>
      <c r="F253" s="14">
        <v>4</v>
      </c>
      <c r="G253" s="15">
        <v>2</v>
      </c>
      <c r="H253" s="15">
        <v>81622</v>
      </c>
      <c r="I253" s="15" t="s">
        <v>1505</v>
      </c>
      <c r="J253" s="30">
        <v>79668545</v>
      </c>
      <c r="K253" s="30" t="s">
        <v>2973</v>
      </c>
      <c r="L253" s="30" t="s">
        <v>2979</v>
      </c>
      <c r="M253" s="15">
        <v>249900</v>
      </c>
      <c r="N253" s="9">
        <f t="shared" si="19"/>
        <v>0.9</v>
      </c>
      <c r="O253" s="8">
        <f t="shared" si="20"/>
        <v>24990</v>
      </c>
      <c r="P253" s="9" t="str">
        <f t="shared" si="21"/>
        <v>PERCENTAGE</v>
      </c>
    </row>
    <row r="254" spans="1:16" x14ac:dyDescent="0.25">
      <c r="A254" s="6" t="str">
        <f t="shared" si="24"/>
        <v>2023 ALL D90</v>
      </c>
      <c r="B254" s="7">
        <f t="shared" si="22"/>
        <v>46114</v>
      </c>
      <c r="C254" s="7">
        <f t="shared" si="23"/>
        <v>46120</v>
      </c>
      <c r="D254" s="6">
        <v>3280</v>
      </c>
      <c r="E254" s="6">
        <v>337</v>
      </c>
      <c r="F254" s="14">
        <v>4</v>
      </c>
      <c r="G254" s="15">
        <v>2</v>
      </c>
      <c r="H254" s="15">
        <v>81622</v>
      </c>
      <c r="I254" s="15" t="s">
        <v>1505</v>
      </c>
      <c r="J254" s="30">
        <v>78925634</v>
      </c>
      <c r="K254" s="30" t="s">
        <v>2898</v>
      </c>
      <c r="L254" s="30" t="s">
        <v>2899</v>
      </c>
      <c r="M254" s="15">
        <v>239900</v>
      </c>
      <c r="N254" s="9">
        <f t="shared" si="19"/>
        <v>0.9</v>
      </c>
      <c r="O254" s="8">
        <f t="shared" si="20"/>
        <v>23990</v>
      </c>
      <c r="P254" s="9" t="str">
        <f t="shared" si="21"/>
        <v>PERCENTAGE</v>
      </c>
    </row>
    <row r="255" spans="1:16" x14ac:dyDescent="0.25">
      <c r="A255" s="6" t="str">
        <f t="shared" si="24"/>
        <v>2023 ALL D90</v>
      </c>
      <c r="B255" s="7">
        <f t="shared" si="22"/>
        <v>46114</v>
      </c>
      <c r="C255" s="7">
        <f t="shared" si="23"/>
        <v>46120</v>
      </c>
      <c r="D255" s="6">
        <v>3280</v>
      </c>
      <c r="E255" s="6">
        <v>337</v>
      </c>
      <c r="F255" s="14">
        <v>4</v>
      </c>
      <c r="G255" s="15">
        <v>2</v>
      </c>
      <c r="H255" s="15">
        <v>81622</v>
      </c>
      <c r="I255" s="15" t="s">
        <v>1505</v>
      </c>
      <c r="J255" s="30">
        <v>78925643</v>
      </c>
      <c r="K255" s="30" t="s">
        <v>2898</v>
      </c>
      <c r="L255" s="30" t="s">
        <v>2900</v>
      </c>
      <c r="M255" s="15">
        <v>239900</v>
      </c>
      <c r="N255" s="9">
        <f t="shared" si="19"/>
        <v>0.9</v>
      </c>
      <c r="O255" s="8">
        <f t="shared" si="20"/>
        <v>23990</v>
      </c>
      <c r="P255" s="9" t="str">
        <f t="shared" si="21"/>
        <v>PERCENTAGE</v>
      </c>
    </row>
    <row r="256" spans="1:16" x14ac:dyDescent="0.25">
      <c r="A256" s="6" t="str">
        <f t="shared" si="24"/>
        <v>2023 ALL D90</v>
      </c>
      <c r="B256" s="7">
        <f t="shared" si="22"/>
        <v>46114</v>
      </c>
      <c r="C256" s="7">
        <f t="shared" si="23"/>
        <v>46120</v>
      </c>
      <c r="D256" s="6">
        <v>3280</v>
      </c>
      <c r="E256" s="6">
        <v>337</v>
      </c>
      <c r="F256" s="14">
        <v>4</v>
      </c>
      <c r="G256" s="15">
        <v>2</v>
      </c>
      <c r="H256" s="15">
        <v>81622</v>
      </c>
      <c r="I256" s="15" t="s">
        <v>1505</v>
      </c>
      <c r="J256" s="30">
        <v>78925652</v>
      </c>
      <c r="K256" s="30" t="s">
        <v>2898</v>
      </c>
      <c r="L256" s="30" t="s">
        <v>2901</v>
      </c>
      <c r="M256" s="15">
        <v>239900</v>
      </c>
      <c r="N256" s="9">
        <f t="shared" si="19"/>
        <v>0.9</v>
      </c>
      <c r="O256" s="8">
        <f t="shared" si="20"/>
        <v>23990</v>
      </c>
      <c r="P256" s="9" t="str">
        <f t="shared" si="21"/>
        <v>PERCENTAGE</v>
      </c>
    </row>
    <row r="257" spans="1:16" x14ac:dyDescent="0.25">
      <c r="A257" s="6" t="str">
        <f t="shared" si="24"/>
        <v>2023 ALL D90</v>
      </c>
      <c r="B257" s="7">
        <f t="shared" si="22"/>
        <v>46114</v>
      </c>
      <c r="C257" s="7">
        <f t="shared" si="23"/>
        <v>46120</v>
      </c>
      <c r="D257" s="6">
        <v>3280</v>
      </c>
      <c r="E257" s="6">
        <v>337</v>
      </c>
      <c r="F257" s="14">
        <v>4</v>
      </c>
      <c r="G257" s="15">
        <v>2</v>
      </c>
      <c r="H257" s="15">
        <v>81622</v>
      </c>
      <c r="I257" s="15" t="s">
        <v>1505</v>
      </c>
      <c r="J257" s="30">
        <v>78925661</v>
      </c>
      <c r="K257" s="30" t="s">
        <v>2898</v>
      </c>
      <c r="L257" s="30" t="s">
        <v>2902</v>
      </c>
      <c r="M257" s="15">
        <v>249900</v>
      </c>
      <c r="N257" s="9">
        <f t="shared" si="19"/>
        <v>0.9</v>
      </c>
      <c r="O257" s="8">
        <f t="shared" si="20"/>
        <v>24990</v>
      </c>
      <c r="P257" s="9" t="str">
        <f t="shared" si="21"/>
        <v>PERCENTAGE</v>
      </c>
    </row>
    <row r="258" spans="1:16" x14ac:dyDescent="0.25">
      <c r="A258" s="6" t="str">
        <f t="shared" si="24"/>
        <v>2023 ALL D90</v>
      </c>
      <c r="B258" s="7">
        <f t="shared" si="22"/>
        <v>46114</v>
      </c>
      <c r="C258" s="7">
        <f t="shared" si="23"/>
        <v>46120</v>
      </c>
      <c r="D258" s="6">
        <v>3280</v>
      </c>
      <c r="E258" s="6">
        <v>337</v>
      </c>
      <c r="F258" s="14">
        <v>4</v>
      </c>
      <c r="G258" s="15">
        <v>2</v>
      </c>
      <c r="H258" s="15">
        <v>81622</v>
      </c>
      <c r="I258" s="15" t="s">
        <v>1505</v>
      </c>
      <c r="J258" s="30">
        <v>78925670</v>
      </c>
      <c r="K258" s="30" t="s">
        <v>2898</v>
      </c>
      <c r="L258" s="30" t="s">
        <v>2903</v>
      </c>
      <c r="M258" s="15">
        <v>249900</v>
      </c>
      <c r="N258" s="9">
        <f t="shared" si="19"/>
        <v>0.9</v>
      </c>
      <c r="O258" s="8">
        <f t="shared" si="20"/>
        <v>24990</v>
      </c>
      <c r="P258" s="9" t="str">
        <f t="shared" si="21"/>
        <v>PERCENTAGE</v>
      </c>
    </row>
    <row r="259" spans="1:16" x14ac:dyDescent="0.25">
      <c r="A259" s="6" t="str">
        <f t="shared" si="24"/>
        <v>2023 ALL D90</v>
      </c>
      <c r="B259" s="7">
        <f t="shared" si="22"/>
        <v>46114</v>
      </c>
      <c r="C259" s="7">
        <f t="shared" si="23"/>
        <v>46120</v>
      </c>
      <c r="D259" s="6">
        <v>3280</v>
      </c>
      <c r="E259" s="6">
        <v>337</v>
      </c>
      <c r="F259" s="14">
        <v>4</v>
      </c>
      <c r="G259" s="15">
        <v>2</v>
      </c>
      <c r="H259" s="15">
        <v>81622</v>
      </c>
      <c r="I259" s="15" t="s">
        <v>1505</v>
      </c>
      <c r="J259" s="30">
        <v>78925689</v>
      </c>
      <c r="K259" s="30" t="s">
        <v>2898</v>
      </c>
      <c r="L259" s="30" t="s">
        <v>2904</v>
      </c>
      <c r="M259" s="15">
        <v>249900</v>
      </c>
      <c r="N259" s="9">
        <f t="shared" ref="N259:N322" si="25">N258</f>
        <v>0.9</v>
      </c>
      <c r="O259" s="8">
        <f t="shared" ref="O259:O322" si="26">M259-((90*M259)/100)</f>
        <v>24990</v>
      </c>
      <c r="P259" s="9" t="str">
        <f t="shared" ref="P259:P322" si="27">P258</f>
        <v>PERCENTAGE</v>
      </c>
    </row>
    <row r="260" spans="1:16" x14ac:dyDescent="0.25">
      <c r="A260" s="6" t="str">
        <f t="shared" si="24"/>
        <v>2023 ALL D90</v>
      </c>
      <c r="B260" s="7">
        <f t="shared" si="22"/>
        <v>46114</v>
      </c>
      <c r="C260" s="7">
        <f t="shared" si="23"/>
        <v>46120</v>
      </c>
      <c r="D260" s="6">
        <v>3280</v>
      </c>
      <c r="E260" s="6">
        <v>337</v>
      </c>
      <c r="F260" s="14">
        <v>4</v>
      </c>
      <c r="G260" s="15">
        <v>2</v>
      </c>
      <c r="H260" s="15">
        <v>81622</v>
      </c>
      <c r="I260" s="15" t="s">
        <v>1505</v>
      </c>
      <c r="J260" s="30">
        <v>78925698</v>
      </c>
      <c r="K260" s="30" t="s">
        <v>2905</v>
      </c>
      <c r="L260" s="30" t="s">
        <v>2906</v>
      </c>
      <c r="M260" s="15">
        <v>239900</v>
      </c>
      <c r="N260" s="9">
        <f t="shared" si="25"/>
        <v>0.9</v>
      </c>
      <c r="O260" s="8">
        <f t="shared" si="26"/>
        <v>23990</v>
      </c>
      <c r="P260" s="9" t="str">
        <f t="shared" si="27"/>
        <v>PERCENTAGE</v>
      </c>
    </row>
    <row r="261" spans="1:16" x14ac:dyDescent="0.25">
      <c r="A261" s="6" t="str">
        <f t="shared" si="24"/>
        <v>2023 ALL D90</v>
      </c>
      <c r="B261" s="7">
        <f t="shared" si="22"/>
        <v>46114</v>
      </c>
      <c r="C261" s="7">
        <f t="shared" si="23"/>
        <v>46120</v>
      </c>
      <c r="D261" s="6">
        <v>3280</v>
      </c>
      <c r="E261" s="6">
        <v>337</v>
      </c>
      <c r="F261" s="14">
        <v>4</v>
      </c>
      <c r="G261" s="15">
        <v>2</v>
      </c>
      <c r="H261" s="15">
        <v>81622</v>
      </c>
      <c r="I261" s="15" t="s">
        <v>1505</v>
      </c>
      <c r="J261" s="30">
        <v>78925705</v>
      </c>
      <c r="K261" s="30" t="s">
        <v>2905</v>
      </c>
      <c r="L261" s="30" t="s">
        <v>2907</v>
      </c>
      <c r="M261" s="15">
        <v>239900</v>
      </c>
      <c r="N261" s="9">
        <f t="shared" si="25"/>
        <v>0.9</v>
      </c>
      <c r="O261" s="8">
        <f t="shared" si="26"/>
        <v>23990</v>
      </c>
      <c r="P261" s="9" t="str">
        <f t="shared" si="27"/>
        <v>PERCENTAGE</v>
      </c>
    </row>
    <row r="262" spans="1:16" x14ac:dyDescent="0.25">
      <c r="A262" s="6" t="str">
        <f t="shared" si="24"/>
        <v>2023 ALL D90</v>
      </c>
      <c r="B262" s="7">
        <f t="shared" si="22"/>
        <v>46114</v>
      </c>
      <c r="C262" s="7">
        <f t="shared" si="23"/>
        <v>46120</v>
      </c>
      <c r="D262" s="6">
        <v>3280</v>
      </c>
      <c r="E262" s="6">
        <v>337</v>
      </c>
      <c r="F262" s="14">
        <v>4</v>
      </c>
      <c r="G262" s="15">
        <v>2</v>
      </c>
      <c r="H262" s="15">
        <v>81622</v>
      </c>
      <c r="I262" s="15" t="s">
        <v>1505</v>
      </c>
      <c r="J262" s="30">
        <v>78925714</v>
      </c>
      <c r="K262" s="30" t="s">
        <v>2905</v>
      </c>
      <c r="L262" s="30" t="s">
        <v>2908</v>
      </c>
      <c r="M262" s="15">
        <v>239900</v>
      </c>
      <c r="N262" s="9">
        <f t="shared" si="25"/>
        <v>0.9</v>
      </c>
      <c r="O262" s="8">
        <f t="shared" si="26"/>
        <v>23990</v>
      </c>
      <c r="P262" s="9" t="str">
        <f t="shared" si="27"/>
        <v>PERCENTAGE</v>
      </c>
    </row>
    <row r="263" spans="1:16" x14ac:dyDescent="0.25">
      <c r="A263" s="6" t="str">
        <f t="shared" si="24"/>
        <v>2023 ALL D90</v>
      </c>
      <c r="B263" s="7">
        <f t="shared" si="22"/>
        <v>46114</v>
      </c>
      <c r="C263" s="7">
        <f t="shared" si="23"/>
        <v>46120</v>
      </c>
      <c r="D263" s="6">
        <v>3280</v>
      </c>
      <c r="E263" s="6">
        <v>337</v>
      </c>
      <c r="F263" s="14">
        <v>4</v>
      </c>
      <c r="G263" s="15">
        <v>2</v>
      </c>
      <c r="H263" s="15">
        <v>81622</v>
      </c>
      <c r="I263" s="15" t="s">
        <v>1505</v>
      </c>
      <c r="J263" s="30">
        <v>78925723</v>
      </c>
      <c r="K263" s="30" t="s">
        <v>2905</v>
      </c>
      <c r="L263" s="30" t="s">
        <v>2909</v>
      </c>
      <c r="M263" s="15">
        <v>249900</v>
      </c>
      <c r="N263" s="9">
        <f t="shared" si="25"/>
        <v>0.9</v>
      </c>
      <c r="O263" s="8">
        <f t="shared" si="26"/>
        <v>24990</v>
      </c>
      <c r="P263" s="9" t="str">
        <f t="shared" si="27"/>
        <v>PERCENTAGE</v>
      </c>
    </row>
    <row r="264" spans="1:16" x14ac:dyDescent="0.25">
      <c r="A264" s="6" t="str">
        <f t="shared" si="24"/>
        <v>2023 ALL D90</v>
      </c>
      <c r="B264" s="7">
        <f t="shared" si="22"/>
        <v>46114</v>
      </c>
      <c r="C264" s="7">
        <f t="shared" si="23"/>
        <v>46120</v>
      </c>
      <c r="D264" s="6">
        <v>3280</v>
      </c>
      <c r="E264" s="6">
        <v>337</v>
      </c>
      <c r="F264" s="14">
        <v>4</v>
      </c>
      <c r="G264" s="15">
        <v>2</v>
      </c>
      <c r="H264" s="15">
        <v>81622</v>
      </c>
      <c r="I264" s="15" t="s">
        <v>1505</v>
      </c>
      <c r="J264" s="30">
        <v>78925732</v>
      </c>
      <c r="K264" s="30" t="s">
        <v>2905</v>
      </c>
      <c r="L264" s="30" t="s">
        <v>2910</v>
      </c>
      <c r="M264" s="15">
        <v>249900</v>
      </c>
      <c r="N264" s="9">
        <f t="shared" si="25"/>
        <v>0.9</v>
      </c>
      <c r="O264" s="8">
        <f t="shared" si="26"/>
        <v>24990</v>
      </c>
      <c r="P264" s="9" t="str">
        <f t="shared" si="27"/>
        <v>PERCENTAGE</v>
      </c>
    </row>
    <row r="265" spans="1:16" x14ac:dyDescent="0.25">
      <c r="A265" s="6" t="str">
        <f t="shared" si="24"/>
        <v>2023 ALL D90</v>
      </c>
      <c r="B265" s="7">
        <f t="shared" si="22"/>
        <v>46114</v>
      </c>
      <c r="C265" s="7">
        <f t="shared" si="23"/>
        <v>46120</v>
      </c>
      <c r="D265" s="6">
        <v>3280</v>
      </c>
      <c r="E265" s="6">
        <v>337</v>
      </c>
      <c r="F265" s="14">
        <v>4</v>
      </c>
      <c r="G265" s="15">
        <v>2</v>
      </c>
      <c r="H265" s="15">
        <v>81622</v>
      </c>
      <c r="I265" s="15" t="s">
        <v>1505</v>
      </c>
      <c r="J265" s="30">
        <v>78925741</v>
      </c>
      <c r="K265" s="30" t="s">
        <v>2905</v>
      </c>
      <c r="L265" s="30" t="s">
        <v>2911</v>
      </c>
      <c r="M265" s="15">
        <v>249900</v>
      </c>
      <c r="N265" s="9">
        <f t="shared" si="25"/>
        <v>0.9</v>
      </c>
      <c r="O265" s="8">
        <f t="shared" si="26"/>
        <v>24990</v>
      </c>
      <c r="P265" s="9" t="str">
        <f t="shared" si="27"/>
        <v>PERCENTAGE</v>
      </c>
    </row>
    <row r="266" spans="1:16" x14ac:dyDescent="0.25">
      <c r="A266" s="6" t="str">
        <f t="shared" si="24"/>
        <v>2023 ALL D90</v>
      </c>
      <c r="B266" s="7">
        <f t="shared" si="22"/>
        <v>46114</v>
      </c>
      <c r="C266" s="7">
        <f t="shared" si="23"/>
        <v>46120</v>
      </c>
      <c r="D266" s="6">
        <v>3280</v>
      </c>
      <c r="E266" s="6">
        <v>337</v>
      </c>
      <c r="F266" s="14">
        <v>4</v>
      </c>
      <c r="G266" s="15">
        <v>2</v>
      </c>
      <c r="H266" s="15">
        <v>81306</v>
      </c>
      <c r="I266" s="15" t="s">
        <v>1505</v>
      </c>
      <c r="J266" s="30">
        <v>78925992</v>
      </c>
      <c r="K266" s="30" t="s">
        <v>2940</v>
      </c>
      <c r="L266" s="30" t="s">
        <v>2941</v>
      </c>
      <c r="M266" s="15">
        <v>249900</v>
      </c>
      <c r="N266" s="9">
        <f t="shared" si="25"/>
        <v>0.9</v>
      </c>
      <c r="O266" s="8">
        <f t="shared" si="26"/>
        <v>24990</v>
      </c>
      <c r="P266" s="9" t="str">
        <f t="shared" si="27"/>
        <v>PERCENTAGE</v>
      </c>
    </row>
    <row r="267" spans="1:16" x14ac:dyDescent="0.25">
      <c r="A267" s="6" t="str">
        <f t="shared" si="24"/>
        <v>2023 ALL D90</v>
      </c>
      <c r="B267" s="7">
        <f t="shared" si="22"/>
        <v>46114</v>
      </c>
      <c r="C267" s="7">
        <f t="shared" si="23"/>
        <v>46120</v>
      </c>
      <c r="D267" s="6">
        <v>3280</v>
      </c>
      <c r="E267" s="6">
        <v>337</v>
      </c>
      <c r="F267" s="14">
        <v>4</v>
      </c>
      <c r="G267" s="15">
        <v>2</v>
      </c>
      <c r="H267" s="15">
        <v>81306</v>
      </c>
      <c r="I267" s="15" t="s">
        <v>1505</v>
      </c>
      <c r="J267" s="30">
        <v>78926008</v>
      </c>
      <c r="K267" s="30" t="s">
        <v>2940</v>
      </c>
      <c r="L267" s="30" t="s">
        <v>2942</v>
      </c>
      <c r="M267" s="15">
        <v>249900</v>
      </c>
      <c r="N267" s="9">
        <f t="shared" si="25"/>
        <v>0.9</v>
      </c>
      <c r="O267" s="8">
        <f t="shared" si="26"/>
        <v>24990</v>
      </c>
      <c r="P267" s="9" t="str">
        <f t="shared" si="27"/>
        <v>PERCENTAGE</v>
      </c>
    </row>
    <row r="268" spans="1:16" x14ac:dyDescent="0.25">
      <c r="A268" s="6" t="str">
        <f t="shared" si="24"/>
        <v>2023 ALL D90</v>
      </c>
      <c r="B268" s="7">
        <f t="shared" ref="B268:B331" si="28">B267</f>
        <v>46114</v>
      </c>
      <c r="C268" s="7">
        <f t="shared" ref="C268:C331" si="29">C267</f>
        <v>46120</v>
      </c>
      <c r="D268" s="6">
        <v>3280</v>
      </c>
      <c r="E268" s="6">
        <v>337</v>
      </c>
      <c r="F268" s="14">
        <v>4</v>
      </c>
      <c r="G268" s="15">
        <v>2</v>
      </c>
      <c r="H268" s="15">
        <v>81306</v>
      </c>
      <c r="I268" s="15" t="s">
        <v>1505</v>
      </c>
      <c r="J268" s="30">
        <v>78926017</v>
      </c>
      <c r="K268" s="30" t="s">
        <v>2940</v>
      </c>
      <c r="L268" s="30" t="s">
        <v>2943</v>
      </c>
      <c r="M268" s="15">
        <v>249900</v>
      </c>
      <c r="N268" s="9">
        <f t="shared" si="25"/>
        <v>0.9</v>
      </c>
      <c r="O268" s="8">
        <f t="shared" si="26"/>
        <v>24990</v>
      </c>
      <c r="P268" s="9" t="str">
        <f t="shared" si="27"/>
        <v>PERCENTAGE</v>
      </c>
    </row>
    <row r="269" spans="1:16" x14ac:dyDescent="0.25">
      <c r="A269" s="6" t="str">
        <f t="shared" ref="A269:A332" si="30">A268</f>
        <v>2023 ALL D90</v>
      </c>
      <c r="B269" s="7">
        <f t="shared" si="28"/>
        <v>46114</v>
      </c>
      <c r="C269" s="7">
        <f t="shared" si="29"/>
        <v>46120</v>
      </c>
      <c r="D269" s="6">
        <v>3280</v>
      </c>
      <c r="E269" s="6">
        <v>337</v>
      </c>
      <c r="F269" s="14">
        <v>4</v>
      </c>
      <c r="G269" s="15">
        <v>2</v>
      </c>
      <c r="H269" s="15">
        <v>81306</v>
      </c>
      <c r="I269" s="15" t="s">
        <v>1505</v>
      </c>
      <c r="J269" s="30">
        <v>78926026</v>
      </c>
      <c r="K269" s="30" t="s">
        <v>2940</v>
      </c>
      <c r="L269" s="30" t="s">
        <v>2944</v>
      </c>
      <c r="M269" s="15">
        <v>259900</v>
      </c>
      <c r="N269" s="9">
        <f t="shared" si="25"/>
        <v>0.9</v>
      </c>
      <c r="O269" s="8">
        <f t="shared" si="26"/>
        <v>25990</v>
      </c>
      <c r="P269" s="9" t="str">
        <f t="shared" si="27"/>
        <v>PERCENTAGE</v>
      </c>
    </row>
    <row r="270" spans="1:16" x14ac:dyDescent="0.25">
      <c r="A270" s="6" t="str">
        <f t="shared" si="30"/>
        <v>2023 ALL D90</v>
      </c>
      <c r="B270" s="7">
        <f t="shared" si="28"/>
        <v>46114</v>
      </c>
      <c r="C270" s="7">
        <f t="shared" si="29"/>
        <v>46120</v>
      </c>
      <c r="D270" s="6">
        <v>3280</v>
      </c>
      <c r="E270" s="6">
        <v>337</v>
      </c>
      <c r="F270" s="14">
        <v>4</v>
      </c>
      <c r="G270" s="15">
        <v>2</v>
      </c>
      <c r="H270" s="15">
        <v>81306</v>
      </c>
      <c r="I270" s="15" t="s">
        <v>1505</v>
      </c>
      <c r="J270" s="30">
        <v>78926035</v>
      </c>
      <c r="K270" s="30" t="s">
        <v>2940</v>
      </c>
      <c r="L270" s="30" t="s">
        <v>2945</v>
      </c>
      <c r="M270" s="15">
        <v>259900</v>
      </c>
      <c r="N270" s="9">
        <f t="shared" si="25"/>
        <v>0.9</v>
      </c>
      <c r="O270" s="8">
        <f t="shared" si="26"/>
        <v>25990</v>
      </c>
      <c r="P270" s="9" t="str">
        <f t="shared" si="27"/>
        <v>PERCENTAGE</v>
      </c>
    </row>
    <row r="271" spans="1:16" x14ac:dyDescent="0.25">
      <c r="A271" s="6" t="str">
        <f t="shared" si="30"/>
        <v>2023 ALL D90</v>
      </c>
      <c r="B271" s="7">
        <f t="shared" si="28"/>
        <v>46114</v>
      </c>
      <c r="C271" s="7">
        <f t="shared" si="29"/>
        <v>46120</v>
      </c>
      <c r="D271" s="6">
        <v>3280</v>
      </c>
      <c r="E271" s="6">
        <v>337</v>
      </c>
      <c r="F271" s="14">
        <v>4</v>
      </c>
      <c r="G271" s="15">
        <v>2</v>
      </c>
      <c r="H271" s="15">
        <v>81306</v>
      </c>
      <c r="I271" s="15" t="s">
        <v>1505</v>
      </c>
      <c r="J271" s="30">
        <v>78926044</v>
      </c>
      <c r="K271" s="30" t="s">
        <v>2940</v>
      </c>
      <c r="L271" s="30" t="s">
        <v>2946</v>
      </c>
      <c r="M271" s="15">
        <v>259900</v>
      </c>
      <c r="N271" s="9">
        <f t="shared" si="25"/>
        <v>0.9</v>
      </c>
      <c r="O271" s="8">
        <f t="shared" si="26"/>
        <v>25990</v>
      </c>
      <c r="P271" s="9" t="str">
        <f t="shared" si="27"/>
        <v>PERCENTAGE</v>
      </c>
    </row>
    <row r="272" spans="1:16" x14ac:dyDescent="0.25">
      <c r="A272" s="6" t="str">
        <f t="shared" si="30"/>
        <v>2023 ALL D90</v>
      </c>
      <c r="B272" s="7">
        <f t="shared" si="28"/>
        <v>46114</v>
      </c>
      <c r="C272" s="7">
        <f t="shared" si="29"/>
        <v>46120</v>
      </c>
      <c r="D272" s="6">
        <v>3280</v>
      </c>
      <c r="E272" s="6">
        <v>337</v>
      </c>
      <c r="F272" s="14">
        <v>4</v>
      </c>
      <c r="G272" s="15">
        <v>2</v>
      </c>
      <c r="H272" s="15">
        <v>81622</v>
      </c>
      <c r="I272" s="15" t="s">
        <v>1505</v>
      </c>
      <c r="J272" s="30">
        <v>79668438</v>
      </c>
      <c r="K272" s="30" t="s">
        <v>2966</v>
      </c>
      <c r="L272" s="30" t="s">
        <v>2967</v>
      </c>
      <c r="M272" s="15">
        <v>239900</v>
      </c>
      <c r="N272" s="9">
        <f t="shared" si="25"/>
        <v>0.9</v>
      </c>
      <c r="O272" s="8">
        <f t="shared" si="26"/>
        <v>23990</v>
      </c>
      <c r="P272" s="9" t="str">
        <f t="shared" si="27"/>
        <v>PERCENTAGE</v>
      </c>
    </row>
    <row r="273" spans="1:16" x14ac:dyDescent="0.25">
      <c r="A273" s="6" t="str">
        <f t="shared" si="30"/>
        <v>2023 ALL D90</v>
      </c>
      <c r="B273" s="7">
        <f t="shared" si="28"/>
        <v>46114</v>
      </c>
      <c r="C273" s="7">
        <f t="shared" si="29"/>
        <v>46120</v>
      </c>
      <c r="D273" s="6">
        <v>3280</v>
      </c>
      <c r="E273" s="6">
        <v>337</v>
      </c>
      <c r="F273" s="14">
        <v>4</v>
      </c>
      <c r="G273" s="15">
        <v>2</v>
      </c>
      <c r="H273" s="15">
        <v>81622</v>
      </c>
      <c r="I273" s="15" t="s">
        <v>1505</v>
      </c>
      <c r="J273" s="30">
        <v>79668447</v>
      </c>
      <c r="K273" s="30" t="s">
        <v>2966</v>
      </c>
      <c r="L273" s="30" t="s">
        <v>2968</v>
      </c>
      <c r="M273" s="15">
        <v>239900</v>
      </c>
      <c r="N273" s="9">
        <f t="shared" si="25"/>
        <v>0.9</v>
      </c>
      <c r="O273" s="8">
        <f t="shared" si="26"/>
        <v>23990</v>
      </c>
      <c r="P273" s="9" t="str">
        <f t="shared" si="27"/>
        <v>PERCENTAGE</v>
      </c>
    </row>
    <row r="274" spans="1:16" x14ac:dyDescent="0.25">
      <c r="A274" s="6" t="str">
        <f t="shared" si="30"/>
        <v>2023 ALL D90</v>
      </c>
      <c r="B274" s="7">
        <f t="shared" si="28"/>
        <v>46114</v>
      </c>
      <c r="C274" s="7">
        <f t="shared" si="29"/>
        <v>46120</v>
      </c>
      <c r="D274" s="6">
        <v>3280</v>
      </c>
      <c r="E274" s="6">
        <v>337</v>
      </c>
      <c r="F274" s="14">
        <v>4</v>
      </c>
      <c r="G274" s="15">
        <v>2</v>
      </c>
      <c r="H274" s="15">
        <v>81622</v>
      </c>
      <c r="I274" s="15" t="s">
        <v>1505</v>
      </c>
      <c r="J274" s="30">
        <v>79668456</v>
      </c>
      <c r="K274" s="30" t="s">
        <v>2966</v>
      </c>
      <c r="L274" s="30" t="s">
        <v>2969</v>
      </c>
      <c r="M274" s="15">
        <v>239900</v>
      </c>
      <c r="N274" s="9">
        <f t="shared" si="25"/>
        <v>0.9</v>
      </c>
      <c r="O274" s="8">
        <f t="shared" si="26"/>
        <v>23990</v>
      </c>
      <c r="P274" s="9" t="str">
        <f t="shared" si="27"/>
        <v>PERCENTAGE</v>
      </c>
    </row>
    <row r="275" spans="1:16" x14ac:dyDescent="0.25">
      <c r="A275" s="6" t="str">
        <f t="shared" si="30"/>
        <v>2023 ALL D90</v>
      </c>
      <c r="B275" s="7">
        <f t="shared" si="28"/>
        <v>46114</v>
      </c>
      <c r="C275" s="7">
        <f t="shared" si="29"/>
        <v>46120</v>
      </c>
      <c r="D275" s="6">
        <v>3280</v>
      </c>
      <c r="E275" s="6">
        <v>337</v>
      </c>
      <c r="F275" s="14">
        <v>4</v>
      </c>
      <c r="G275" s="15">
        <v>2</v>
      </c>
      <c r="H275" s="15">
        <v>81622</v>
      </c>
      <c r="I275" s="15" t="s">
        <v>1505</v>
      </c>
      <c r="J275" s="30">
        <v>79668465</v>
      </c>
      <c r="K275" s="30" t="s">
        <v>2966</v>
      </c>
      <c r="L275" s="30" t="s">
        <v>2970</v>
      </c>
      <c r="M275" s="15">
        <v>249900</v>
      </c>
      <c r="N275" s="9">
        <f t="shared" si="25"/>
        <v>0.9</v>
      </c>
      <c r="O275" s="8">
        <f t="shared" si="26"/>
        <v>24990</v>
      </c>
      <c r="P275" s="9" t="str">
        <f t="shared" si="27"/>
        <v>PERCENTAGE</v>
      </c>
    </row>
    <row r="276" spans="1:16" x14ac:dyDescent="0.25">
      <c r="A276" s="6" t="str">
        <f t="shared" si="30"/>
        <v>2023 ALL D90</v>
      </c>
      <c r="B276" s="7">
        <f t="shared" si="28"/>
        <v>46114</v>
      </c>
      <c r="C276" s="7">
        <f t="shared" si="29"/>
        <v>46120</v>
      </c>
      <c r="D276" s="6">
        <v>3280</v>
      </c>
      <c r="E276" s="6">
        <v>337</v>
      </c>
      <c r="F276" s="14">
        <v>4</v>
      </c>
      <c r="G276" s="15">
        <v>2</v>
      </c>
      <c r="H276" s="15">
        <v>81622</v>
      </c>
      <c r="I276" s="15" t="s">
        <v>1505</v>
      </c>
      <c r="J276" s="30">
        <v>79668474</v>
      </c>
      <c r="K276" s="30" t="s">
        <v>2966</v>
      </c>
      <c r="L276" s="30" t="s">
        <v>2971</v>
      </c>
      <c r="M276" s="15">
        <v>249900</v>
      </c>
      <c r="N276" s="9">
        <f t="shared" si="25"/>
        <v>0.9</v>
      </c>
      <c r="O276" s="8">
        <f t="shared" si="26"/>
        <v>24990</v>
      </c>
      <c r="P276" s="9" t="str">
        <f t="shared" si="27"/>
        <v>PERCENTAGE</v>
      </c>
    </row>
    <row r="277" spans="1:16" x14ac:dyDescent="0.25">
      <c r="A277" s="6" t="str">
        <f t="shared" si="30"/>
        <v>2023 ALL D90</v>
      </c>
      <c r="B277" s="7">
        <f t="shared" si="28"/>
        <v>46114</v>
      </c>
      <c r="C277" s="7">
        <f t="shared" si="29"/>
        <v>46120</v>
      </c>
      <c r="D277" s="6">
        <v>3280</v>
      </c>
      <c r="E277" s="6">
        <v>337</v>
      </c>
      <c r="F277" s="14">
        <v>4</v>
      </c>
      <c r="G277" s="15">
        <v>2</v>
      </c>
      <c r="H277" s="15">
        <v>81622</v>
      </c>
      <c r="I277" s="15" t="s">
        <v>1505</v>
      </c>
      <c r="J277" s="30">
        <v>79668483</v>
      </c>
      <c r="K277" s="30" t="s">
        <v>2966</v>
      </c>
      <c r="L277" s="30" t="s">
        <v>2972</v>
      </c>
      <c r="M277" s="15">
        <v>249900</v>
      </c>
      <c r="N277" s="9">
        <f t="shared" si="25"/>
        <v>0.9</v>
      </c>
      <c r="O277" s="8">
        <f t="shared" si="26"/>
        <v>24990</v>
      </c>
      <c r="P277" s="9" t="str">
        <f t="shared" si="27"/>
        <v>PERCENTAGE</v>
      </c>
    </row>
    <row r="278" spans="1:16" x14ac:dyDescent="0.25">
      <c r="A278" s="6" t="str">
        <f t="shared" si="30"/>
        <v>2023 ALL D90</v>
      </c>
      <c r="B278" s="7">
        <f t="shared" si="28"/>
        <v>46114</v>
      </c>
      <c r="C278" s="7">
        <f t="shared" si="29"/>
        <v>46120</v>
      </c>
      <c r="D278" s="6">
        <v>3280</v>
      </c>
      <c r="E278" s="6">
        <v>337</v>
      </c>
      <c r="F278" s="14">
        <v>4</v>
      </c>
      <c r="G278" s="15">
        <v>2</v>
      </c>
      <c r="H278" s="15">
        <v>81622</v>
      </c>
      <c r="I278" s="15" t="s">
        <v>1505</v>
      </c>
      <c r="J278" s="30">
        <v>79668554</v>
      </c>
      <c r="K278" s="30" t="s">
        <v>2980</v>
      </c>
      <c r="L278" s="30" t="s">
        <v>2981</v>
      </c>
      <c r="M278" s="15">
        <v>239900</v>
      </c>
      <c r="N278" s="9">
        <f t="shared" si="25"/>
        <v>0.9</v>
      </c>
      <c r="O278" s="8">
        <f t="shared" si="26"/>
        <v>23990</v>
      </c>
      <c r="P278" s="9" t="str">
        <f t="shared" si="27"/>
        <v>PERCENTAGE</v>
      </c>
    </row>
    <row r="279" spans="1:16" x14ac:dyDescent="0.25">
      <c r="A279" s="6" t="str">
        <f t="shared" si="30"/>
        <v>2023 ALL D90</v>
      </c>
      <c r="B279" s="7">
        <f t="shared" si="28"/>
        <v>46114</v>
      </c>
      <c r="C279" s="7">
        <f t="shared" si="29"/>
        <v>46120</v>
      </c>
      <c r="D279" s="6">
        <v>3280</v>
      </c>
      <c r="E279" s="6">
        <v>337</v>
      </c>
      <c r="F279" s="14">
        <v>4</v>
      </c>
      <c r="G279" s="15">
        <v>2</v>
      </c>
      <c r="H279" s="15">
        <v>81622</v>
      </c>
      <c r="I279" s="15" t="s">
        <v>1505</v>
      </c>
      <c r="J279" s="30">
        <v>79668563</v>
      </c>
      <c r="K279" s="30" t="s">
        <v>2980</v>
      </c>
      <c r="L279" s="30" t="s">
        <v>2982</v>
      </c>
      <c r="M279" s="15">
        <v>239900</v>
      </c>
      <c r="N279" s="9">
        <f t="shared" si="25"/>
        <v>0.9</v>
      </c>
      <c r="O279" s="8">
        <f t="shared" si="26"/>
        <v>23990</v>
      </c>
      <c r="P279" s="9" t="str">
        <f t="shared" si="27"/>
        <v>PERCENTAGE</v>
      </c>
    </row>
    <row r="280" spans="1:16" x14ac:dyDescent="0.25">
      <c r="A280" s="6" t="str">
        <f t="shared" si="30"/>
        <v>2023 ALL D90</v>
      </c>
      <c r="B280" s="7">
        <f t="shared" si="28"/>
        <v>46114</v>
      </c>
      <c r="C280" s="7">
        <f t="shared" si="29"/>
        <v>46120</v>
      </c>
      <c r="D280" s="6">
        <v>3280</v>
      </c>
      <c r="E280" s="6">
        <v>337</v>
      </c>
      <c r="F280" s="14">
        <v>4</v>
      </c>
      <c r="G280" s="15">
        <v>2</v>
      </c>
      <c r="H280" s="15">
        <v>81622</v>
      </c>
      <c r="I280" s="15" t="s">
        <v>1505</v>
      </c>
      <c r="J280" s="30">
        <v>79668572</v>
      </c>
      <c r="K280" s="30" t="s">
        <v>2980</v>
      </c>
      <c r="L280" s="30" t="s">
        <v>2983</v>
      </c>
      <c r="M280" s="15">
        <v>239900</v>
      </c>
      <c r="N280" s="9">
        <f t="shared" si="25"/>
        <v>0.9</v>
      </c>
      <c r="O280" s="8">
        <f t="shared" si="26"/>
        <v>23990</v>
      </c>
      <c r="P280" s="9" t="str">
        <f t="shared" si="27"/>
        <v>PERCENTAGE</v>
      </c>
    </row>
    <row r="281" spans="1:16" x14ac:dyDescent="0.25">
      <c r="A281" s="6" t="str">
        <f t="shared" si="30"/>
        <v>2023 ALL D90</v>
      </c>
      <c r="B281" s="7">
        <f t="shared" si="28"/>
        <v>46114</v>
      </c>
      <c r="C281" s="7">
        <f t="shared" si="29"/>
        <v>46120</v>
      </c>
      <c r="D281" s="6">
        <v>3280</v>
      </c>
      <c r="E281" s="6">
        <v>337</v>
      </c>
      <c r="F281" s="14">
        <v>4</v>
      </c>
      <c r="G281" s="15">
        <v>2</v>
      </c>
      <c r="H281" s="15">
        <v>81622</v>
      </c>
      <c r="I281" s="15" t="s">
        <v>1505</v>
      </c>
      <c r="J281" s="30">
        <v>79668581</v>
      </c>
      <c r="K281" s="30" t="s">
        <v>2980</v>
      </c>
      <c r="L281" s="30" t="s">
        <v>2984</v>
      </c>
      <c r="M281" s="15">
        <v>249900</v>
      </c>
      <c r="N281" s="9">
        <f t="shared" si="25"/>
        <v>0.9</v>
      </c>
      <c r="O281" s="8">
        <f t="shared" si="26"/>
        <v>24990</v>
      </c>
      <c r="P281" s="9" t="str">
        <f t="shared" si="27"/>
        <v>PERCENTAGE</v>
      </c>
    </row>
    <row r="282" spans="1:16" x14ac:dyDescent="0.25">
      <c r="A282" s="6" t="str">
        <f t="shared" si="30"/>
        <v>2023 ALL D90</v>
      </c>
      <c r="B282" s="7">
        <f t="shared" si="28"/>
        <v>46114</v>
      </c>
      <c r="C282" s="7">
        <f t="shared" si="29"/>
        <v>46120</v>
      </c>
      <c r="D282" s="6">
        <v>3280</v>
      </c>
      <c r="E282" s="6">
        <v>337</v>
      </c>
      <c r="F282" s="14">
        <v>4</v>
      </c>
      <c r="G282" s="15">
        <v>2</v>
      </c>
      <c r="H282" s="15">
        <v>81622</v>
      </c>
      <c r="I282" s="15" t="s">
        <v>1505</v>
      </c>
      <c r="J282" s="30">
        <v>79668590</v>
      </c>
      <c r="K282" s="30" t="s">
        <v>2980</v>
      </c>
      <c r="L282" s="30" t="s">
        <v>2985</v>
      </c>
      <c r="M282" s="15">
        <v>249900</v>
      </c>
      <c r="N282" s="9">
        <f t="shared" si="25"/>
        <v>0.9</v>
      </c>
      <c r="O282" s="8">
        <f t="shared" si="26"/>
        <v>24990</v>
      </c>
      <c r="P282" s="9" t="str">
        <f t="shared" si="27"/>
        <v>PERCENTAGE</v>
      </c>
    </row>
    <row r="283" spans="1:16" x14ac:dyDescent="0.25">
      <c r="A283" s="6" t="str">
        <f t="shared" si="30"/>
        <v>2023 ALL D90</v>
      </c>
      <c r="B283" s="7">
        <f t="shared" si="28"/>
        <v>46114</v>
      </c>
      <c r="C283" s="7">
        <f t="shared" si="29"/>
        <v>46120</v>
      </c>
      <c r="D283" s="6">
        <v>3280</v>
      </c>
      <c r="E283" s="6">
        <v>337</v>
      </c>
      <c r="F283" s="14">
        <v>4</v>
      </c>
      <c r="G283" s="15">
        <v>2</v>
      </c>
      <c r="H283" s="15">
        <v>81622</v>
      </c>
      <c r="I283" s="15" t="s">
        <v>1505</v>
      </c>
      <c r="J283" s="30">
        <v>79668607</v>
      </c>
      <c r="K283" s="30" t="s">
        <v>2980</v>
      </c>
      <c r="L283" s="30" t="s">
        <v>2986</v>
      </c>
      <c r="M283" s="15">
        <v>249900</v>
      </c>
      <c r="N283" s="9">
        <f t="shared" si="25"/>
        <v>0.9</v>
      </c>
      <c r="O283" s="8">
        <f t="shared" si="26"/>
        <v>24990</v>
      </c>
      <c r="P283" s="9" t="str">
        <f t="shared" si="27"/>
        <v>PERCENTAGE</v>
      </c>
    </row>
    <row r="284" spans="1:16" x14ac:dyDescent="0.25">
      <c r="A284" s="6" t="str">
        <f t="shared" si="30"/>
        <v>2023 ALL D90</v>
      </c>
      <c r="B284" s="7">
        <f t="shared" si="28"/>
        <v>46114</v>
      </c>
      <c r="C284" s="7">
        <f t="shared" si="29"/>
        <v>46120</v>
      </c>
      <c r="D284" s="6">
        <v>3280</v>
      </c>
      <c r="E284" s="6">
        <v>337</v>
      </c>
      <c r="F284" s="14">
        <v>4</v>
      </c>
      <c r="G284" s="15">
        <v>2</v>
      </c>
      <c r="H284" s="15">
        <v>81622</v>
      </c>
      <c r="I284" s="15" t="s">
        <v>1505</v>
      </c>
      <c r="J284" s="30">
        <v>79668670</v>
      </c>
      <c r="K284" s="30" t="s">
        <v>2994</v>
      </c>
      <c r="L284" s="30" t="s">
        <v>2995</v>
      </c>
      <c r="M284" s="15">
        <v>239900</v>
      </c>
      <c r="N284" s="9">
        <f t="shared" si="25"/>
        <v>0.9</v>
      </c>
      <c r="O284" s="8">
        <f t="shared" si="26"/>
        <v>23990</v>
      </c>
      <c r="P284" s="9" t="str">
        <f t="shared" si="27"/>
        <v>PERCENTAGE</v>
      </c>
    </row>
    <row r="285" spans="1:16" x14ac:dyDescent="0.25">
      <c r="A285" s="6" t="str">
        <f t="shared" si="30"/>
        <v>2023 ALL D90</v>
      </c>
      <c r="B285" s="7">
        <f t="shared" si="28"/>
        <v>46114</v>
      </c>
      <c r="C285" s="7">
        <f t="shared" si="29"/>
        <v>46120</v>
      </c>
      <c r="D285" s="6">
        <v>3280</v>
      </c>
      <c r="E285" s="6">
        <v>337</v>
      </c>
      <c r="F285" s="14">
        <v>4</v>
      </c>
      <c r="G285" s="15">
        <v>2</v>
      </c>
      <c r="H285" s="15">
        <v>81622</v>
      </c>
      <c r="I285" s="15" t="s">
        <v>1505</v>
      </c>
      <c r="J285" s="30">
        <v>79668689</v>
      </c>
      <c r="K285" s="30" t="s">
        <v>2994</v>
      </c>
      <c r="L285" s="30" t="s">
        <v>2996</v>
      </c>
      <c r="M285" s="15">
        <v>239900</v>
      </c>
      <c r="N285" s="9">
        <f t="shared" si="25"/>
        <v>0.9</v>
      </c>
      <c r="O285" s="8">
        <f t="shared" si="26"/>
        <v>23990</v>
      </c>
      <c r="P285" s="9" t="str">
        <f t="shared" si="27"/>
        <v>PERCENTAGE</v>
      </c>
    </row>
    <row r="286" spans="1:16" x14ac:dyDescent="0.25">
      <c r="A286" s="6" t="str">
        <f t="shared" si="30"/>
        <v>2023 ALL D90</v>
      </c>
      <c r="B286" s="7">
        <f t="shared" si="28"/>
        <v>46114</v>
      </c>
      <c r="C286" s="7">
        <f t="shared" si="29"/>
        <v>46120</v>
      </c>
      <c r="D286" s="6">
        <v>3280</v>
      </c>
      <c r="E286" s="6">
        <v>337</v>
      </c>
      <c r="F286" s="14">
        <v>4</v>
      </c>
      <c r="G286" s="15">
        <v>2</v>
      </c>
      <c r="H286" s="15">
        <v>81622</v>
      </c>
      <c r="I286" s="15" t="s">
        <v>1505</v>
      </c>
      <c r="J286" s="30">
        <v>79668698</v>
      </c>
      <c r="K286" s="30" t="s">
        <v>2994</v>
      </c>
      <c r="L286" s="30" t="s">
        <v>2997</v>
      </c>
      <c r="M286" s="15">
        <v>239900</v>
      </c>
      <c r="N286" s="9">
        <f t="shared" si="25"/>
        <v>0.9</v>
      </c>
      <c r="O286" s="8">
        <f t="shared" si="26"/>
        <v>23990</v>
      </c>
      <c r="P286" s="9" t="str">
        <f t="shared" si="27"/>
        <v>PERCENTAGE</v>
      </c>
    </row>
    <row r="287" spans="1:16" x14ac:dyDescent="0.25">
      <c r="A287" s="6" t="str">
        <f t="shared" si="30"/>
        <v>2023 ALL D90</v>
      </c>
      <c r="B287" s="7">
        <f t="shared" si="28"/>
        <v>46114</v>
      </c>
      <c r="C287" s="7">
        <f t="shared" si="29"/>
        <v>46120</v>
      </c>
      <c r="D287" s="6">
        <v>3280</v>
      </c>
      <c r="E287" s="6">
        <v>337</v>
      </c>
      <c r="F287" s="14">
        <v>4</v>
      </c>
      <c r="G287" s="15">
        <v>2</v>
      </c>
      <c r="H287" s="15">
        <v>81622</v>
      </c>
      <c r="I287" s="15" t="s">
        <v>1505</v>
      </c>
      <c r="J287" s="30">
        <v>79668705</v>
      </c>
      <c r="K287" s="30" t="s">
        <v>2994</v>
      </c>
      <c r="L287" s="30" t="s">
        <v>2998</v>
      </c>
      <c r="M287" s="15">
        <v>249900</v>
      </c>
      <c r="N287" s="9">
        <f t="shared" si="25"/>
        <v>0.9</v>
      </c>
      <c r="O287" s="8">
        <f t="shared" si="26"/>
        <v>24990</v>
      </c>
      <c r="P287" s="9" t="str">
        <f t="shared" si="27"/>
        <v>PERCENTAGE</v>
      </c>
    </row>
    <row r="288" spans="1:16" x14ac:dyDescent="0.25">
      <c r="A288" s="6" t="str">
        <f t="shared" si="30"/>
        <v>2023 ALL D90</v>
      </c>
      <c r="B288" s="7">
        <f t="shared" si="28"/>
        <v>46114</v>
      </c>
      <c r="C288" s="7">
        <f t="shared" si="29"/>
        <v>46120</v>
      </c>
      <c r="D288" s="6">
        <v>3280</v>
      </c>
      <c r="E288" s="6">
        <v>337</v>
      </c>
      <c r="F288" s="14">
        <v>4</v>
      </c>
      <c r="G288" s="15">
        <v>2</v>
      </c>
      <c r="H288" s="15">
        <v>81622</v>
      </c>
      <c r="I288" s="15" t="s">
        <v>1505</v>
      </c>
      <c r="J288" s="30">
        <v>79668714</v>
      </c>
      <c r="K288" s="30" t="s">
        <v>2994</v>
      </c>
      <c r="L288" s="30" t="s">
        <v>2999</v>
      </c>
      <c r="M288" s="15">
        <v>249900</v>
      </c>
      <c r="N288" s="9">
        <f t="shared" si="25"/>
        <v>0.9</v>
      </c>
      <c r="O288" s="8">
        <f t="shared" si="26"/>
        <v>24990</v>
      </c>
      <c r="P288" s="9" t="str">
        <f t="shared" si="27"/>
        <v>PERCENTAGE</v>
      </c>
    </row>
    <row r="289" spans="1:16" x14ac:dyDescent="0.25">
      <c r="A289" s="6" t="str">
        <f t="shared" si="30"/>
        <v>2023 ALL D90</v>
      </c>
      <c r="B289" s="7">
        <f t="shared" si="28"/>
        <v>46114</v>
      </c>
      <c r="C289" s="7">
        <f t="shared" si="29"/>
        <v>46120</v>
      </c>
      <c r="D289" s="6">
        <v>3280</v>
      </c>
      <c r="E289" s="6">
        <v>337</v>
      </c>
      <c r="F289" s="14">
        <v>4</v>
      </c>
      <c r="G289" s="15">
        <v>2</v>
      </c>
      <c r="H289" s="15">
        <v>81622</v>
      </c>
      <c r="I289" s="15" t="s">
        <v>1505</v>
      </c>
      <c r="J289" s="30">
        <v>79668723</v>
      </c>
      <c r="K289" s="30" t="s">
        <v>2994</v>
      </c>
      <c r="L289" s="30" t="s">
        <v>3000</v>
      </c>
      <c r="M289" s="15">
        <v>249900</v>
      </c>
      <c r="N289" s="9">
        <f t="shared" si="25"/>
        <v>0.9</v>
      </c>
      <c r="O289" s="8">
        <f t="shared" si="26"/>
        <v>24990</v>
      </c>
      <c r="P289" s="9" t="str">
        <f t="shared" si="27"/>
        <v>PERCENTAGE</v>
      </c>
    </row>
    <row r="290" spans="1:16" x14ac:dyDescent="0.25">
      <c r="A290" s="6" t="str">
        <f t="shared" si="30"/>
        <v>2023 ALL D90</v>
      </c>
      <c r="B290" s="7">
        <f t="shared" si="28"/>
        <v>46114</v>
      </c>
      <c r="C290" s="7">
        <f t="shared" si="29"/>
        <v>46120</v>
      </c>
      <c r="D290" s="6">
        <v>3280</v>
      </c>
      <c r="E290" s="6">
        <v>337</v>
      </c>
      <c r="F290" s="14">
        <v>4</v>
      </c>
      <c r="G290" s="15">
        <v>2</v>
      </c>
      <c r="H290" s="15">
        <v>81306</v>
      </c>
      <c r="I290" s="15" t="s">
        <v>1505</v>
      </c>
      <c r="J290" s="30">
        <v>79669151</v>
      </c>
      <c r="K290" s="30" t="s">
        <v>3036</v>
      </c>
      <c r="L290" s="30" t="s">
        <v>3037</v>
      </c>
      <c r="M290" s="15">
        <v>249900</v>
      </c>
      <c r="N290" s="9">
        <f t="shared" si="25"/>
        <v>0.9</v>
      </c>
      <c r="O290" s="8">
        <f t="shared" si="26"/>
        <v>24990</v>
      </c>
      <c r="P290" s="9" t="str">
        <f t="shared" si="27"/>
        <v>PERCENTAGE</v>
      </c>
    </row>
    <row r="291" spans="1:16" x14ac:dyDescent="0.25">
      <c r="A291" s="6" t="str">
        <f t="shared" si="30"/>
        <v>2023 ALL D90</v>
      </c>
      <c r="B291" s="7">
        <f t="shared" si="28"/>
        <v>46114</v>
      </c>
      <c r="C291" s="7">
        <f t="shared" si="29"/>
        <v>46120</v>
      </c>
      <c r="D291" s="6">
        <v>3280</v>
      </c>
      <c r="E291" s="6">
        <v>337</v>
      </c>
      <c r="F291" s="14">
        <v>4</v>
      </c>
      <c r="G291" s="15">
        <v>2</v>
      </c>
      <c r="H291" s="15">
        <v>81306</v>
      </c>
      <c r="I291" s="15" t="s">
        <v>1505</v>
      </c>
      <c r="J291" s="30">
        <v>79669160</v>
      </c>
      <c r="K291" s="30" t="s">
        <v>3036</v>
      </c>
      <c r="L291" s="30" t="s">
        <v>3038</v>
      </c>
      <c r="M291" s="15">
        <v>249900</v>
      </c>
      <c r="N291" s="9">
        <f t="shared" si="25"/>
        <v>0.9</v>
      </c>
      <c r="O291" s="8">
        <f t="shared" si="26"/>
        <v>24990</v>
      </c>
      <c r="P291" s="9" t="str">
        <f t="shared" si="27"/>
        <v>PERCENTAGE</v>
      </c>
    </row>
    <row r="292" spans="1:16" x14ac:dyDescent="0.25">
      <c r="A292" s="6" t="str">
        <f t="shared" si="30"/>
        <v>2023 ALL D90</v>
      </c>
      <c r="B292" s="7">
        <f t="shared" si="28"/>
        <v>46114</v>
      </c>
      <c r="C292" s="7">
        <f t="shared" si="29"/>
        <v>46120</v>
      </c>
      <c r="D292" s="6">
        <v>3280</v>
      </c>
      <c r="E292" s="6">
        <v>337</v>
      </c>
      <c r="F292" s="14">
        <v>4</v>
      </c>
      <c r="G292" s="15">
        <v>2</v>
      </c>
      <c r="H292" s="15">
        <v>81306</v>
      </c>
      <c r="I292" s="15" t="s">
        <v>1505</v>
      </c>
      <c r="J292" s="30">
        <v>79669179</v>
      </c>
      <c r="K292" s="30" t="s">
        <v>3036</v>
      </c>
      <c r="L292" s="30" t="s">
        <v>3039</v>
      </c>
      <c r="M292" s="15">
        <v>249900</v>
      </c>
      <c r="N292" s="9">
        <f t="shared" si="25"/>
        <v>0.9</v>
      </c>
      <c r="O292" s="8">
        <f t="shared" si="26"/>
        <v>24990</v>
      </c>
      <c r="P292" s="9" t="str">
        <f t="shared" si="27"/>
        <v>PERCENTAGE</v>
      </c>
    </row>
    <row r="293" spans="1:16" x14ac:dyDescent="0.25">
      <c r="A293" s="6" t="str">
        <f t="shared" si="30"/>
        <v>2023 ALL D90</v>
      </c>
      <c r="B293" s="7">
        <f t="shared" si="28"/>
        <v>46114</v>
      </c>
      <c r="C293" s="7">
        <f t="shared" si="29"/>
        <v>46120</v>
      </c>
      <c r="D293" s="6">
        <v>3280</v>
      </c>
      <c r="E293" s="6">
        <v>337</v>
      </c>
      <c r="F293" s="14">
        <v>4</v>
      </c>
      <c r="G293" s="15">
        <v>2</v>
      </c>
      <c r="H293" s="15">
        <v>81306</v>
      </c>
      <c r="I293" s="15" t="s">
        <v>1505</v>
      </c>
      <c r="J293" s="30">
        <v>79669188</v>
      </c>
      <c r="K293" s="30" t="s">
        <v>3036</v>
      </c>
      <c r="L293" s="30" t="s">
        <v>3040</v>
      </c>
      <c r="M293" s="15">
        <v>259900</v>
      </c>
      <c r="N293" s="9">
        <f t="shared" si="25"/>
        <v>0.9</v>
      </c>
      <c r="O293" s="8">
        <f t="shared" si="26"/>
        <v>25990</v>
      </c>
      <c r="P293" s="9" t="str">
        <f t="shared" si="27"/>
        <v>PERCENTAGE</v>
      </c>
    </row>
    <row r="294" spans="1:16" x14ac:dyDescent="0.25">
      <c r="A294" s="6" t="str">
        <f t="shared" si="30"/>
        <v>2023 ALL D90</v>
      </c>
      <c r="B294" s="7">
        <f t="shared" si="28"/>
        <v>46114</v>
      </c>
      <c r="C294" s="7">
        <f t="shared" si="29"/>
        <v>46120</v>
      </c>
      <c r="D294" s="6">
        <v>3280</v>
      </c>
      <c r="E294" s="6">
        <v>337</v>
      </c>
      <c r="F294" s="14">
        <v>4</v>
      </c>
      <c r="G294" s="15">
        <v>2</v>
      </c>
      <c r="H294" s="15">
        <v>81306</v>
      </c>
      <c r="I294" s="15" t="s">
        <v>1505</v>
      </c>
      <c r="J294" s="30">
        <v>79669197</v>
      </c>
      <c r="K294" s="30" t="s">
        <v>3036</v>
      </c>
      <c r="L294" s="30" t="s">
        <v>3041</v>
      </c>
      <c r="M294" s="15">
        <v>259900</v>
      </c>
      <c r="N294" s="9">
        <f t="shared" si="25"/>
        <v>0.9</v>
      </c>
      <c r="O294" s="8">
        <f t="shared" si="26"/>
        <v>25990</v>
      </c>
      <c r="P294" s="9" t="str">
        <f t="shared" si="27"/>
        <v>PERCENTAGE</v>
      </c>
    </row>
    <row r="295" spans="1:16" x14ac:dyDescent="0.25">
      <c r="A295" s="6" t="str">
        <f t="shared" si="30"/>
        <v>2023 ALL D90</v>
      </c>
      <c r="B295" s="7">
        <f t="shared" si="28"/>
        <v>46114</v>
      </c>
      <c r="C295" s="7">
        <f t="shared" si="29"/>
        <v>46120</v>
      </c>
      <c r="D295" s="6">
        <v>3280</v>
      </c>
      <c r="E295" s="6">
        <v>337</v>
      </c>
      <c r="F295" s="14">
        <v>4</v>
      </c>
      <c r="G295" s="15">
        <v>2</v>
      </c>
      <c r="H295" s="15">
        <v>81306</v>
      </c>
      <c r="I295" s="15" t="s">
        <v>1505</v>
      </c>
      <c r="J295" s="30">
        <v>79669204</v>
      </c>
      <c r="K295" s="30" t="s">
        <v>3036</v>
      </c>
      <c r="L295" s="30" t="s">
        <v>3042</v>
      </c>
      <c r="M295" s="15">
        <v>259900</v>
      </c>
      <c r="N295" s="9">
        <f t="shared" si="25"/>
        <v>0.9</v>
      </c>
      <c r="O295" s="8">
        <f t="shared" si="26"/>
        <v>25990</v>
      </c>
      <c r="P295" s="9" t="str">
        <f t="shared" si="27"/>
        <v>PERCENTAGE</v>
      </c>
    </row>
    <row r="296" spans="1:16" x14ac:dyDescent="0.25">
      <c r="A296" s="6" t="str">
        <f t="shared" si="30"/>
        <v>2023 ALL D90</v>
      </c>
      <c r="B296" s="7">
        <f t="shared" si="28"/>
        <v>46114</v>
      </c>
      <c r="C296" s="7">
        <f t="shared" si="29"/>
        <v>46120</v>
      </c>
      <c r="D296" s="6">
        <v>3280</v>
      </c>
      <c r="E296" s="6">
        <v>337</v>
      </c>
      <c r="F296" s="14">
        <v>4</v>
      </c>
      <c r="G296" s="15">
        <v>2</v>
      </c>
      <c r="H296" s="15">
        <v>81622</v>
      </c>
      <c r="I296" s="15" t="s">
        <v>1505</v>
      </c>
      <c r="J296" s="30">
        <v>79668376</v>
      </c>
      <c r="K296" s="30" t="s">
        <v>2959</v>
      </c>
      <c r="L296" s="30" t="s">
        <v>2960</v>
      </c>
      <c r="M296" s="15">
        <v>239900</v>
      </c>
      <c r="N296" s="9">
        <f t="shared" si="25"/>
        <v>0.9</v>
      </c>
      <c r="O296" s="8">
        <f t="shared" si="26"/>
        <v>23990</v>
      </c>
      <c r="P296" s="9" t="str">
        <f t="shared" si="27"/>
        <v>PERCENTAGE</v>
      </c>
    </row>
    <row r="297" spans="1:16" x14ac:dyDescent="0.25">
      <c r="A297" s="6" t="str">
        <f t="shared" si="30"/>
        <v>2023 ALL D90</v>
      </c>
      <c r="B297" s="7">
        <f t="shared" si="28"/>
        <v>46114</v>
      </c>
      <c r="C297" s="7">
        <f t="shared" si="29"/>
        <v>46120</v>
      </c>
      <c r="D297" s="6">
        <v>3280</v>
      </c>
      <c r="E297" s="6">
        <v>337</v>
      </c>
      <c r="F297" s="14">
        <v>4</v>
      </c>
      <c r="G297" s="15">
        <v>2</v>
      </c>
      <c r="H297" s="15">
        <v>81622</v>
      </c>
      <c r="I297" s="15" t="s">
        <v>1505</v>
      </c>
      <c r="J297" s="30">
        <v>79668385</v>
      </c>
      <c r="K297" s="30" t="s">
        <v>2959</v>
      </c>
      <c r="L297" s="30" t="s">
        <v>2961</v>
      </c>
      <c r="M297" s="15">
        <v>239900</v>
      </c>
      <c r="N297" s="9">
        <f t="shared" si="25"/>
        <v>0.9</v>
      </c>
      <c r="O297" s="8">
        <f t="shared" si="26"/>
        <v>23990</v>
      </c>
      <c r="P297" s="9" t="str">
        <f t="shared" si="27"/>
        <v>PERCENTAGE</v>
      </c>
    </row>
    <row r="298" spans="1:16" x14ac:dyDescent="0.25">
      <c r="A298" s="6" t="str">
        <f t="shared" si="30"/>
        <v>2023 ALL D90</v>
      </c>
      <c r="B298" s="7">
        <f t="shared" si="28"/>
        <v>46114</v>
      </c>
      <c r="C298" s="7">
        <f t="shared" si="29"/>
        <v>46120</v>
      </c>
      <c r="D298" s="6">
        <v>3280</v>
      </c>
      <c r="E298" s="6">
        <v>337</v>
      </c>
      <c r="F298" s="14">
        <v>4</v>
      </c>
      <c r="G298" s="15">
        <v>2</v>
      </c>
      <c r="H298" s="15">
        <v>81622</v>
      </c>
      <c r="I298" s="15" t="s">
        <v>1505</v>
      </c>
      <c r="J298" s="30">
        <v>79668394</v>
      </c>
      <c r="K298" s="30" t="s">
        <v>2959</v>
      </c>
      <c r="L298" s="30" t="s">
        <v>2962</v>
      </c>
      <c r="M298" s="15">
        <v>239900</v>
      </c>
      <c r="N298" s="9">
        <f t="shared" si="25"/>
        <v>0.9</v>
      </c>
      <c r="O298" s="8">
        <f t="shared" si="26"/>
        <v>23990</v>
      </c>
      <c r="P298" s="9" t="str">
        <f t="shared" si="27"/>
        <v>PERCENTAGE</v>
      </c>
    </row>
    <row r="299" spans="1:16" x14ac:dyDescent="0.25">
      <c r="A299" s="6" t="str">
        <f t="shared" si="30"/>
        <v>2023 ALL D90</v>
      </c>
      <c r="B299" s="7">
        <f t="shared" si="28"/>
        <v>46114</v>
      </c>
      <c r="C299" s="7">
        <f t="shared" si="29"/>
        <v>46120</v>
      </c>
      <c r="D299" s="6">
        <v>3280</v>
      </c>
      <c r="E299" s="6">
        <v>337</v>
      </c>
      <c r="F299" s="14">
        <v>4</v>
      </c>
      <c r="G299" s="15">
        <v>2</v>
      </c>
      <c r="H299" s="34">
        <v>81622</v>
      </c>
      <c r="I299" s="15" t="s">
        <v>1505</v>
      </c>
      <c r="J299" s="24">
        <v>79668401</v>
      </c>
      <c r="K299" s="24" t="s">
        <v>2959</v>
      </c>
      <c r="L299" s="24" t="s">
        <v>2963</v>
      </c>
      <c r="M299" s="23">
        <v>249900</v>
      </c>
      <c r="N299" s="9">
        <f t="shared" si="25"/>
        <v>0.9</v>
      </c>
      <c r="O299" s="8">
        <f t="shared" si="26"/>
        <v>24990</v>
      </c>
      <c r="P299" s="9" t="str">
        <f t="shared" si="27"/>
        <v>PERCENTAGE</v>
      </c>
    </row>
    <row r="300" spans="1:16" x14ac:dyDescent="0.25">
      <c r="A300" s="6" t="str">
        <f t="shared" si="30"/>
        <v>2023 ALL D90</v>
      </c>
      <c r="B300" s="7">
        <f t="shared" si="28"/>
        <v>46114</v>
      </c>
      <c r="C300" s="7">
        <f t="shared" si="29"/>
        <v>46120</v>
      </c>
      <c r="D300" s="6">
        <v>3280</v>
      </c>
      <c r="E300" s="6">
        <v>337</v>
      </c>
      <c r="F300" s="14">
        <v>4</v>
      </c>
      <c r="G300" s="15">
        <v>2</v>
      </c>
      <c r="H300" s="34">
        <v>81622</v>
      </c>
      <c r="I300" s="15" t="s">
        <v>1505</v>
      </c>
      <c r="J300" s="24">
        <v>79668410</v>
      </c>
      <c r="K300" s="24" t="s">
        <v>2959</v>
      </c>
      <c r="L300" s="24" t="s">
        <v>2964</v>
      </c>
      <c r="M300" s="23">
        <v>249900</v>
      </c>
      <c r="N300" s="9">
        <f t="shared" si="25"/>
        <v>0.9</v>
      </c>
      <c r="O300" s="8">
        <f t="shared" si="26"/>
        <v>24990</v>
      </c>
      <c r="P300" s="9" t="str">
        <f t="shared" si="27"/>
        <v>PERCENTAGE</v>
      </c>
    </row>
    <row r="301" spans="1:16" x14ac:dyDescent="0.25">
      <c r="A301" s="6" t="str">
        <f t="shared" si="30"/>
        <v>2023 ALL D90</v>
      </c>
      <c r="B301" s="7">
        <f t="shared" si="28"/>
        <v>46114</v>
      </c>
      <c r="C301" s="7">
        <f t="shared" si="29"/>
        <v>46120</v>
      </c>
      <c r="D301" s="6">
        <v>3280</v>
      </c>
      <c r="E301" s="6">
        <v>337</v>
      </c>
      <c r="F301" s="14">
        <v>4</v>
      </c>
      <c r="G301" s="15">
        <v>2</v>
      </c>
      <c r="H301" s="34">
        <v>81622</v>
      </c>
      <c r="I301" s="15" t="s">
        <v>1505</v>
      </c>
      <c r="J301" s="24">
        <v>79668429</v>
      </c>
      <c r="K301" s="24" t="s">
        <v>2959</v>
      </c>
      <c r="L301" s="24" t="s">
        <v>2965</v>
      </c>
      <c r="M301" s="23">
        <v>249900</v>
      </c>
      <c r="N301" s="9">
        <f t="shared" si="25"/>
        <v>0.9</v>
      </c>
      <c r="O301" s="8">
        <f t="shared" si="26"/>
        <v>24990</v>
      </c>
      <c r="P301" s="9" t="str">
        <f t="shared" si="27"/>
        <v>PERCENTAGE</v>
      </c>
    </row>
    <row r="302" spans="1:16" x14ac:dyDescent="0.25">
      <c r="A302" s="6" t="str">
        <f t="shared" si="30"/>
        <v>2023 ALL D90</v>
      </c>
      <c r="B302" s="7">
        <f t="shared" si="28"/>
        <v>46114</v>
      </c>
      <c r="C302" s="7">
        <f t="shared" si="29"/>
        <v>46120</v>
      </c>
      <c r="D302" s="6">
        <v>3280</v>
      </c>
      <c r="E302" s="6">
        <v>337</v>
      </c>
      <c r="F302" s="14">
        <v>4</v>
      </c>
      <c r="G302" s="15">
        <v>2</v>
      </c>
      <c r="H302" s="34">
        <v>81306</v>
      </c>
      <c r="I302" s="15" t="s">
        <v>1505</v>
      </c>
      <c r="J302" s="24">
        <v>78925876</v>
      </c>
      <c r="K302" s="24" t="s">
        <v>2926</v>
      </c>
      <c r="L302" s="24" t="s">
        <v>2927</v>
      </c>
      <c r="M302" s="23">
        <v>239900</v>
      </c>
      <c r="N302" s="9">
        <f t="shared" si="25"/>
        <v>0.9</v>
      </c>
      <c r="O302" s="8">
        <f t="shared" si="26"/>
        <v>23990</v>
      </c>
      <c r="P302" s="9" t="str">
        <f t="shared" si="27"/>
        <v>PERCENTAGE</v>
      </c>
    </row>
    <row r="303" spans="1:16" x14ac:dyDescent="0.25">
      <c r="A303" s="6" t="str">
        <f t="shared" si="30"/>
        <v>2023 ALL D90</v>
      </c>
      <c r="B303" s="7">
        <f t="shared" si="28"/>
        <v>46114</v>
      </c>
      <c r="C303" s="7">
        <f t="shared" si="29"/>
        <v>46120</v>
      </c>
      <c r="D303" s="6">
        <v>3280</v>
      </c>
      <c r="E303" s="6">
        <v>337</v>
      </c>
      <c r="F303" s="14">
        <v>4</v>
      </c>
      <c r="G303" s="15">
        <v>2</v>
      </c>
      <c r="H303" s="34">
        <v>81306</v>
      </c>
      <c r="I303" s="15" t="s">
        <v>1505</v>
      </c>
      <c r="J303" s="24">
        <v>78925885</v>
      </c>
      <c r="K303" s="24" t="s">
        <v>2926</v>
      </c>
      <c r="L303" s="24" t="s">
        <v>2928</v>
      </c>
      <c r="M303" s="23">
        <v>239900</v>
      </c>
      <c r="N303" s="9">
        <f t="shared" si="25"/>
        <v>0.9</v>
      </c>
      <c r="O303" s="8">
        <f t="shared" si="26"/>
        <v>23990</v>
      </c>
      <c r="P303" s="9" t="str">
        <f t="shared" si="27"/>
        <v>PERCENTAGE</v>
      </c>
    </row>
    <row r="304" spans="1:16" x14ac:dyDescent="0.25">
      <c r="A304" s="6" t="str">
        <f t="shared" si="30"/>
        <v>2023 ALL D90</v>
      </c>
      <c r="B304" s="7">
        <f t="shared" si="28"/>
        <v>46114</v>
      </c>
      <c r="C304" s="7">
        <f t="shared" si="29"/>
        <v>46120</v>
      </c>
      <c r="D304" s="6">
        <v>3280</v>
      </c>
      <c r="E304" s="6">
        <v>337</v>
      </c>
      <c r="F304" s="14">
        <v>4</v>
      </c>
      <c r="G304" s="15">
        <v>2</v>
      </c>
      <c r="H304" s="34">
        <v>81306</v>
      </c>
      <c r="I304" s="15" t="s">
        <v>1505</v>
      </c>
      <c r="J304" s="24">
        <v>78925894</v>
      </c>
      <c r="K304" s="24" t="s">
        <v>2926</v>
      </c>
      <c r="L304" s="24" t="s">
        <v>2929</v>
      </c>
      <c r="M304" s="23">
        <v>239900</v>
      </c>
      <c r="N304" s="9">
        <f t="shared" si="25"/>
        <v>0.9</v>
      </c>
      <c r="O304" s="8">
        <f t="shared" si="26"/>
        <v>23990</v>
      </c>
      <c r="P304" s="9" t="str">
        <f t="shared" si="27"/>
        <v>PERCENTAGE</v>
      </c>
    </row>
    <row r="305" spans="1:16" x14ac:dyDescent="0.25">
      <c r="A305" s="6" t="str">
        <f t="shared" si="30"/>
        <v>2023 ALL D90</v>
      </c>
      <c r="B305" s="7">
        <f t="shared" si="28"/>
        <v>46114</v>
      </c>
      <c r="C305" s="7">
        <f t="shared" si="29"/>
        <v>46120</v>
      </c>
      <c r="D305" s="6">
        <v>3280</v>
      </c>
      <c r="E305" s="6">
        <v>337</v>
      </c>
      <c r="F305" s="14">
        <v>4</v>
      </c>
      <c r="G305" s="15">
        <v>2</v>
      </c>
      <c r="H305" s="34">
        <v>81306</v>
      </c>
      <c r="I305" s="15" t="s">
        <v>1505</v>
      </c>
      <c r="J305" s="24">
        <v>78925901</v>
      </c>
      <c r="K305" s="24" t="s">
        <v>2926</v>
      </c>
      <c r="L305" s="24" t="s">
        <v>2930</v>
      </c>
      <c r="M305" s="23">
        <v>249900</v>
      </c>
      <c r="N305" s="9">
        <f t="shared" si="25"/>
        <v>0.9</v>
      </c>
      <c r="O305" s="8">
        <f t="shared" si="26"/>
        <v>24990</v>
      </c>
      <c r="P305" s="9" t="str">
        <f t="shared" si="27"/>
        <v>PERCENTAGE</v>
      </c>
    </row>
    <row r="306" spans="1:16" x14ac:dyDescent="0.25">
      <c r="A306" s="6" t="str">
        <f t="shared" si="30"/>
        <v>2023 ALL D90</v>
      </c>
      <c r="B306" s="7">
        <f t="shared" si="28"/>
        <v>46114</v>
      </c>
      <c r="C306" s="7">
        <f t="shared" si="29"/>
        <v>46120</v>
      </c>
      <c r="D306" s="6">
        <v>3280</v>
      </c>
      <c r="E306" s="6">
        <v>337</v>
      </c>
      <c r="F306" s="14">
        <v>4</v>
      </c>
      <c r="G306" s="15">
        <v>2</v>
      </c>
      <c r="H306" s="34">
        <v>81306</v>
      </c>
      <c r="I306" s="15" t="s">
        <v>1505</v>
      </c>
      <c r="J306" s="24">
        <v>78925910</v>
      </c>
      <c r="K306" s="24" t="s">
        <v>2926</v>
      </c>
      <c r="L306" s="24" t="s">
        <v>2931</v>
      </c>
      <c r="M306" s="23">
        <v>249900</v>
      </c>
      <c r="N306" s="9">
        <f t="shared" si="25"/>
        <v>0.9</v>
      </c>
      <c r="O306" s="8">
        <f t="shared" si="26"/>
        <v>24990</v>
      </c>
      <c r="P306" s="9" t="str">
        <f t="shared" si="27"/>
        <v>PERCENTAGE</v>
      </c>
    </row>
    <row r="307" spans="1:16" x14ac:dyDescent="0.25">
      <c r="A307" s="6" t="str">
        <f t="shared" si="30"/>
        <v>2023 ALL D90</v>
      </c>
      <c r="B307" s="7">
        <f t="shared" si="28"/>
        <v>46114</v>
      </c>
      <c r="C307" s="7">
        <f t="shared" si="29"/>
        <v>46120</v>
      </c>
      <c r="D307" s="6">
        <v>3280</v>
      </c>
      <c r="E307" s="6">
        <v>337</v>
      </c>
      <c r="F307" s="14">
        <v>4</v>
      </c>
      <c r="G307" s="15">
        <v>2</v>
      </c>
      <c r="H307" s="34">
        <v>81306</v>
      </c>
      <c r="I307" s="15" t="s">
        <v>1505</v>
      </c>
      <c r="J307" s="24">
        <v>78925929</v>
      </c>
      <c r="K307" s="24" t="s">
        <v>2926</v>
      </c>
      <c r="L307" s="24" t="s">
        <v>2932</v>
      </c>
      <c r="M307" s="23">
        <v>249900</v>
      </c>
      <c r="N307" s="9">
        <f t="shared" si="25"/>
        <v>0.9</v>
      </c>
      <c r="O307" s="8">
        <f t="shared" si="26"/>
        <v>24990</v>
      </c>
      <c r="P307" s="9" t="str">
        <f t="shared" si="27"/>
        <v>PERCENTAGE</v>
      </c>
    </row>
    <row r="308" spans="1:16" x14ac:dyDescent="0.25">
      <c r="A308" s="6" t="str">
        <f t="shared" si="30"/>
        <v>2023 ALL D90</v>
      </c>
      <c r="B308" s="7">
        <f t="shared" si="28"/>
        <v>46114</v>
      </c>
      <c r="C308" s="7">
        <f t="shared" si="29"/>
        <v>46120</v>
      </c>
      <c r="D308" s="6">
        <v>3280</v>
      </c>
      <c r="E308" s="6">
        <v>337</v>
      </c>
      <c r="F308" s="14">
        <v>4</v>
      </c>
      <c r="G308" s="15">
        <v>2</v>
      </c>
      <c r="H308" s="34">
        <v>81622</v>
      </c>
      <c r="I308" s="15" t="s">
        <v>1505</v>
      </c>
      <c r="J308" s="24">
        <v>79668858</v>
      </c>
      <c r="K308" s="24" t="s">
        <v>3015</v>
      </c>
      <c r="L308" s="24" t="s">
        <v>3016</v>
      </c>
      <c r="M308" s="23">
        <v>239900</v>
      </c>
      <c r="N308" s="9">
        <f t="shared" si="25"/>
        <v>0.9</v>
      </c>
      <c r="O308" s="8">
        <f t="shared" si="26"/>
        <v>23990</v>
      </c>
      <c r="P308" s="9" t="str">
        <f t="shared" si="27"/>
        <v>PERCENTAGE</v>
      </c>
    </row>
    <row r="309" spans="1:16" x14ac:dyDescent="0.25">
      <c r="A309" s="6" t="str">
        <f t="shared" si="30"/>
        <v>2023 ALL D90</v>
      </c>
      <c r="B309" s="7">
        <f t="shared" si="28"/>
        <v>46114</v>
      </c>
      <c r="C309" s="7">
        <f t="shared" si="29"/>
        <v>46120</v>
      </c>
      <c r="D309" s="6">
        <v>3280</v>
      </c>
      <c r="E309" s="6">
        <v>337</v>
      </c>
      <c r="F309" s="14">
        <v>4</v>
      </c>
      <c r="G309" s="15">
        <v>2</v>
      </c>
      <c r="H309" s="34">
        <v>81622</v>
      </c>
      <c r="I309" s="15" t="s">
        <v>1505</v>
      </c>
      <c r="J309" s="24">
        <v>79668867</v>
      </c>
      <c r="K309" s="24" t="s">
        <v>3015</v>
      </c>
      <c r="L309" s="24" t="s">
        <v>3017</v>
      </c>
      <c r="M309" s="23">
        <v>239900</v>
      </c>
      <c r="N309" s="9">
        <f t="shared" si="25"/>
        <v>0.9</v>
      </c>
      <c r="O309" s="8">
        <f t="shared" si="26"/>
        <v>23990</v>
      </c>
      <c r="P309" s="9" t="str">
        <f t="shared" si="27"/>
        <v>PERCENTAGE</v>
      </c>
    </row>
    <row r="310" spans="1:16" x14ac:dyDescent="0.25">
      <c r="A310" s="6" t="str">
        <f t="shared" si="30"/>
        <v>2023 ALL D90</v>
      </c>
      <c r="B310" s="7">
        <f t="shared" si="28"/>
        <v>46114</v>
      </c>
      <c r="C310" s="7">
        <f t="shared" si="29"/>
        <v>46120</v>
      </c>
      <c r="D310" s="6">
        <v>3280</v>
      </c>
      <c r="E310" s="6">
        <v>337</v>
      </c>
      <c r="F310" s="14">
        <v>4</v>
      </c>
      <c r="G310" s="15">
        <v>2</v>
      </c>
      <c r="H310" s="34">
        <v>81622</v>
      </c>
      <c r="I310" s="15" t="s">
        <v>1505</v>
      </c>
      <c r="J310" s="24">
        <v>79668876</v>
      </c>
      <c r="K310" s="24" t="s">
        <v>3015</v>
      </c>
      <c r="L310" s="24" t="s">
        <v>3018</v>
      </c>
      <c r="M310" s="23">
        <v>239900</v>
      </c>
      <c r="N310" s="9">
        <f t="shared" si="25"/>
        <v>0.9</v>
      </c>
      <c r="O310" s="8">
        <f t="shared" si="26"/>
        <v>23990</v>
      </c>
      <c r="P310" s="9" t="str">
        <f t="shared" si="27"/>
        <v>PERCENTAGE</v>
      </c>
    </row>
    <row r="311" spans="1:16" x14ac:dyDescent="0.25">
      <c r="A311" s="6" t="str">
        <f t="shared" si="30"/>
        <v>2023 ALL D90</v>
      </c>
      <c r="B311" s="7">
        <f t="shared" si="28"/>
        <v>46114</v>
      </c>
      <c r="C311" s="7">
        <f t="shared" si="29"/>
        <v>46120</v>
      </c>
      <c r="D311" s="6">
        <v>3280</v>
      </c>
      <c r="E311" s="6">
        <v>337</v>
      </c>
      <c r="F311" s="14">
        <v>4</v>
      </c>
      <c r="G311" s="15">
        <v>2</v>
      </c>
      <c r="H311" s="34">
        <v>81622</v>
      </c>
      <c r="I311" s="15" t="s">
        <v>1505</v>
      </c>
      <c r="J311" s="24">
        <v>79668885</v>
      </c>
      <c r="K311" s="24" t="s">
        <v>3015</v>
      </c>
      <c r="L311" s="24" t="s">
        <v>3019</v>
      </c>
      <c r="M311" s="23">
        <v>249900</v>
      </c>
      <c r="N311" s="9">
        <f t="shared" si="25"/>
        <v>0.9</v>
      </c>
      <c r="O311" s="8">
        <f t="shared" si="26"/>
        <v>24990</v>
      </c>
      <c r="P311" s="9" t="str">
        <f t="shared" si="27"/>
        <v>PERCENTAGE</v>
      </c>
    </row>
    <row r="312" spans="1:16" x14ac:dyDescent="0.25">
      <c r="A312" s="6" t="str">
        <f t="shared" si="30"/>
        <v>2023 ALL D90</v>
      </c>
      <c r="B312" s="7">
        <f t="shared" si="28"/>
        <v>46114</v>
      </c>
      <c r="C312" s="7">
        <f t="shared" si="29"/>
        <v>46120</v>
      </c>
      <c r="D312" s="6">
        <v>3280</v>
      </c>
      <c r="E312" s="6">
        <v>337</v>
      </c>
      <c r="F312" s="14">
        <v>4</v>
      </c>
      <c r="G312" s="15">
        <v>2</v>
      </c>
      <c r="H312" s="34">
        <v>81622</v>
      </c>
      <c r="I312" s="15" t="s">
        <v>1505</v>
      </c>
      <c r="J312" s="24">
        <v>79668894</v>
      </c>
      <c r="K312" s="24" t="s">
        <v>3015</v>
      </c>
      <c r="L312" s="24" t="s">
        <v>3020</v>
      </c>
      <c r="M312" s="23">
        <v>249900</v>
      </c>
      <c r="N312" s="9">
        <f t="shared" si="25"/>
        <v>0.9</v>
      </c>
      <c r="O312" s="8">
        <f t="shared" si="26"/>
        <v>24990</v>
      </c>
      <c r="P312" s="9" t="str">
        <f t="shared" si="27"/>
        <v>PERCENTAGE</v>
      </c>
    </row>
    <row r="313" spans="1:16" x14ac:dyDescent="0.25">
      <c r="A313" s="6" t="str">
        <f t="shared" si="30"/>
        <v>2023 ALL D90</v>
      </c>
      <c r="B313" s="7">
        <f t="shared" si="28"/>
        <v>46114</v>
      </c>
      <c r="C313" s="7">
        <f t="shared" si="29"/>
        <v>46120</v>
      </c>
      <c r="D313" s="6">
        <v>3280</v>
      </c>
      <c r="E313" s="6">
        <v>337</v>
      </c>
      <c r="F313" s="14">
        <v>4</v>
      </c>
      <c r="G313" s="15">
        <v>2</v>
      </c>
      <c r="H313" s="34">
        <v>81622</v>
      </c>
      <c r="I313" s="15" t="s">
        <v>1505</v>
      </c>
      <c r="J313" s="24">
        <v>79668901</v>
      </c>
      <c r="K313" s="24" t="s">
        <v>3015</v>
      </c>
      <c r="L313" s="24" t="s">
        <v>3021</v>
      </c>
      <c r="M313" s="23">
        <v>249900</v>
      </c>
      <c r="N313" s="9">
        <f t="shared" si="25"/>
        <v>0.9</v>
      </c>
      <c r="O313" s="8">
        <f t="shared" si="26"/>
        <v>24990</v>
      </c>
      <c r="P313" s="9" t="str">
        <f t="shared" si="27"/>
        <v>PERCENTAGE</v>
      </c>
    </row>
    <row r="314" spans="1:16" x14ac:dyDescent="0.25">
      <c r="A314" s="6" t="str">
        <f t="shared" si="30"/>
        <v>2023 ALL D90</v>
      </c>
      <c r="B314" s="7">
        <f t="shared" si="28"/>
        <v>46114</v>
      </c>
      <c r="C314" s="7">
        <f t="shared" si="29"/>
        <v>46120</v>
      </c>
      <c r="D314" s="6">
        <v>3280</v>
      </c>
      <c r="E314" s="6">
        <v>337</v>
      </c>
      <c r="F314" s="14">
        <v>4</v>
      </c>
      <c r="G314" s="15">
        <v>2</v>
      </c>
      <c r="H314" s="34">
        <v>81622</v>
      </c>
      <c r="I314" s="15" t="s">
        <v>1505</v>
      </c>
      <c r="J314" s="24">
        <v>79669035</v>
      </c>
      <c r="K314" s="24" t="s">
        <v>3029</v>
      </c>
      <c r="L314" s="24" t="s">
        <v>3030</v>
      </c>
      <c r="M314" s="23">
        <v>239900</v>
      </c>
      <c r="N314" s="9">
        <f t="shared" si="25"/>
        <v>0.9</v>
      </c>
      <c r="O314" s="8">
        <f t="shared" si="26"/>
        <v>23990</v>
      </c>
      <c r="P314" s="9" t="str">
        <f t="shared" si="27"/>
        <v>PERCENTAGE</v>
      </c>
    </row>
    <row r="315" spans="1:16" x14ac:dyDescent="0.25">
      <c r="A315" s="6" t="str">
        <f t="shared" si="30"/>
        <v>2023 ALL D90</v>
      </c>
      <c r="B315" s="7">
        <f t="shared" si="28"/>
        <v>46114</v>
      </c>
      <c r="C315" s="7">
        <f t="shared" si="29"/>
        <v>46120</v>
      </c>
      <c r="D315" s="6">
        <v>3280</v>
      </c>
      <c r="E315" s="6">
        <v>337</v>
      </c>
      <c r="F315" s="14">
        <v>4</v>
      </c>
      <c r="G315" s="15">
        <v>2</v>
      </c>
      <c r="H315" s="34">
        <v>81622</v>
      </c>
      <c r="I315" s="15" t="s">
        <v>1505</v>
      </c>
      <c r="J315" s="24">
        <v>79669044</v>
      </c>
      <c r="K315" s="24" t="s">
        <v>3029</v>
      </c>
      <c r="L315" s="24" t="s">
        <v>3031</v>
      </c>
      <c r="M315" s="23">
        <v>239900</v>
      </c>
      <c r="N315" s="9">
        <f t="shared" si="25"/>
        <v>0.9</v>
      </c>
      <c r="O315" s="8">
        <f t="shared" si="26"/>
        <v>23990</v>
      </c>
      <c r="P315" s="9" t="str">
        <f t="shared" si="27"/>
        <v>PERCENTAGE</v>
      </c>
    </row>
    <row r="316" spans="1:16" x14ac:dyDescent="0.25">
      <c r="A316" s="6" t="str">
        <f t="shared" si="30"/>
        <v>2023 ALL D90</v>
      </c>
      <c r="B316" s="7">
        <f t="shared" si="28"/>
        <v>46114</v>
      </c>
      <c r="C316" s="7">
        <f t="shared" si="29"/>
        <v>46120</v>
      </c>
      <c r="D316" s="6">
        <v>3280</v>
      </c>
      <c r="E316" s="6">
        <v>337</v>
      </c>
      <c r="F316" s="14">
        <v>4</v>
      </c>
      <c r="G316" s="15">
        <v>2</v>
      </c>
      <c r="H316" s="34">
        <v>81622</v>
      </c>
      <c r="I316" s="15" t="s">
        <v>1505</v>
      </c>
      <c r="J316" s="24">
        <v>79669053</v>
      </c>
      <c r="K316" s="24" t="s">
        <v>3029</v>
      </c>
      <c r="L316" s="24" t="s">
        <v>3032</v>
      </c>
      <c r="M316" s="23">
        <v>239900</v>
      </c>
      <c r="N316" s="9">
        <f t="shared" si="25"/>
        <v>0.9</v>
      </c>
      <c r="O316" s="8">
        <f t="shared" si="26"/>
        <v>23990</v>
      </c>
      <c r="P316" s="9" t="str">
        <f t="shared" si="27"/>
        <v>PERCENTAGE</v>
      </c>
    </row>
    <row r="317" spans="1:16" x14ac:dyDescent="0.25">
      <c r="A317" s="6" t="str">
        <f t="shared" si="30"/>
        <v>2023 ALL D90</v>
      </c>
      <c r="B317" s="7">
        <f t="shared" si="28"/>
        <v>46114</v>
      </c>
      <c r="C317" s="7">
        <f t="shared" si="29"/>
        <v>46120</v>
      </c>
      <c r="D317" s="6">
        <v>3280</v>
      </c>
      <c r="E317" s="6">
        <v>337</v>
      </c>
      <c r="F317" s="14">
        <v>4</v>
      </c>
      <c r="G317" s="15">
        <v>2</v>
      </c>
      <c r="H317" s="34">
        <v>81622</v>
      </c>
      <c r="I317" s="15" t="s">
        <v>1505</v>
      </c>
      <c r="J317" s="24">
        <v>79669062</v>
      </c>
      <c r="K317" s="24" t="s">
        <v>3029</v>
      </c>
      <c r="L317" s="24" t="s">
        <v>3033</v>
      </c>
      <c r="M317" s="23">
        <v>249900</v>
      </c>
      <c r="N317" s="9">
        <f t="shared" si="25"/>
        <v>0.9</v>
      </c>
      <c r="O317" s="8">
        <f t="shared" si="26"/>
        <v>24990</v>
      </c>
      <c r="P317" s="9" t="str">
        <f t="shared" si="27"/>
        <v>PERCENTAGE</v>
      </c>
    </row>
    <row r="318" spans="1:16" x14ac:dyDescent="0.25">
      <c r="A318" s="6" t="str">
        <f t="shared" si="30"/>
        <v>2023 ALL D90</v>
      </c>
      <c r="B318" s="7">
        <f t="shared" si="28"/>
        <v>46114</v>
      </c>
      <c r="C318" s="7">
        <f t="shared" si="29"/>
        <v>46120</v>
      </c>
      <c r="D318" s="6">
        <v>3280</v>
      </c>
      <c r="E318" s="6">
        <v>337</v>
      </c>
      <c r="F318" s="14">
        <v>4</v>
      </c>
      <c r="G318" s="15">
        <v>2</v>
      </c>
      <c r="H318" s="34">
        <v>81622</v>
      </c>
      <c r="I318" s="15" t="s">
        <v>1505</v>
      </c>
      <c r="J318" s="24">
        <v>79669071</v>
      </c>
      <c r="K318" s="24" t="s">
        <v>3029</v>
      </c>
      <c r="L318" s="24" t="s">
        <v>3034</v>
      </c>
      <c r="M318" s="23">
        <v>249900</v>
      </c>
      <c r="N318" s="9">
        <f t="shared" si="25"/>
        <v>0.9</v>
      </c>
      <c r="O318" s="8">
        <f t="shared" si="26"/>
        <v>24990</v>
      </c>
      <c r="P318" s="9" t="str">
        <f t="shared" si="27"/>
        <v>PERCENTAGE</v>
      </c>
    </row>
    <row r="319" spans="1:16" x14ac:dyDescent="0.25">
      <c r="A319" s="6" t="str">
        <f t="shared" si="30"/>
        <v>2023 ALL D90</v>
      </c>
      <c r="B319" s="7">
        <f t="shared" si="28"/>
        <v>46114</v>
      </c>
      <c r="C319" s="7">
        <f t="shared" si="29"/>
        <v>46120</v>
      </c>
      <c r="D319" s="6">
        <v>3280</v>
      </c>
      <c r="E319" s="6">
        <v>337</v>
      </c>
      <c r="F319" s="14">
        <v>4</v>
      </c>
      <c r="G319" s="15">
        <v>2</v>
      </c>
      <c r="H319" s="34">
        <v>81622</v>
      </c>
      <c r="I319" s="15" t="s">
        <v>1505</v>
      </c>
      <c r="J319" s="24">
        <v>79669080</v>
      </c>
      <c r="K319" s="24" t="s">
        <v>3029</v>
      </c>
      <c r="L319" s="24" t="s">
        <v>3035</v>
      </c>
      <c r="M319" s="23">
        <v>249900</v>
      </c>
      <c r="N319" s="9">
        <f t="shared" si="25"/>
        <v>0.9</v>
      </c>
      <c r="O319" s="8">
        <f t="shared" si="26"/>
        <v>24990</v>
      </c>
      <c r="P319" s="9" t="str">
        <f t="shared" si="27"/>
        <v>PERCENTAGE</v>
      </c>
    </row>
    <row r="320" spans="1:16" x14ac:dyDescent="0.25">
      <c r="A320" s="6" t="str">
        <f t="shared" si="30"/>
        <v>2023 ALL D90</v>
      </c>
      <c r="B320" s="7">
        <f t="shared" si="28"/>
        <v>46114</v>
      </c>
      <c r="C320" s="7">
        <f t="shared" si="29"/>
        <v>46120</v>
      </c>
      <c r="D320" s="6">
        <v>3280</v>
      </c>
      <c r="E320" s="6">
        <v>337</v>
      </c>
      <c r="F320" s="14">
        <v>4</v>
      </c>
      <c r="G320" s="15">
        <v>2</v>
      </c>
      <c r="H320" s="34">
        <v>80942</v>
      </c>
      <c r="I320" s="15" t="s">
        <v>1505</v>
      </c>
      <c r="J320" s="24">
        <v>80711431</v>
      </c>
      <c r="K320" s="24" t="s">
        <v>3050</v>
      </c>
      <c r="L320" s="24" t="s">
        <v>3051</v>
      </c>
      <c r="M320" s="23">
        <v>229900</v>
      </c>
      <c r="N320" s="9">
        <f t="shared" si="25"/>
        <v>0.9</v>
      </c>
      <c r="O320" s="8">
        <f t="shared" si="26"/>
        <v>22990</v>
      </c>
      <c r="P320" s="9" t="str">
        <f t="shared" si="27"/>
        <v>PERCENTAGE</v>
      </c>
    </row>
    <row r="321" spans="1:16" x14ac:dyDescent="0.25">
      <c r="A321" s="6" t="str">
        <f t="shared" si="30"/>
        <v>2023 ALL D90</v>
      </c>
      <c r="B321" s="7">
        <f t="shared" si="28"/>
        <v>46114</v>
      </c>
      <c r="C321" s="7">
        <f t="shared" si="29"/>
        <v>46120</v>
      </c>
      <c r="D321" s="6">
        <v>3280</v>
      </c>
      <c r="E321" s="6">
        <v>337</v>
      </c>
      <c r="F321" s="14">
        <v>4</v>
      </c>
      <c r="G321" s="15">
        <v>2</v>
      </c>
      <c r="H321" s="34">
        <v>80942</v>
      </c>
      <c r="I321" s="15" t="s">
        <v>1505</v>
      </c>
      <c r="J321" s="24">
        <v>80711440</v>
      </c>
      <c r="K321" s="24" t="s">
        <v>3050</v>
      </c>
      <c r="L321" s="24" t="s">
        <v>3052</v>
      </c>
      <c r="M321" s="23">
        <v>229900</v>
      </c>
      <c r="N321" s="9">
        <f t="shared" si="25"/>
        <v>0.9</v>
      </c>
      <c r="O321" s="8">
        <f t="shared" si="26"/>
        <v>22990</v>
      </c>
      <c r="P321" s="9" t="str">
        <f t="shared" si="27"/>
        <v>PERCENTAGE</v>
      </c>
    </row>
    <row r="322" spans="1:16" x14ac:dyDescent="0.25">
      <c r="A322" s="6" t="str">
        <f t="shared" si="30"/>
        <v>2023 ALL D90</v>
      </c>
      <c r="B322" s="7">
        <f t="shared" si="28"/>
        <v>46114</v>
      </c>
      <c r="C322" s="7">
        <f t="shared" si="29"/>
        <v>46120</v>
      </c>
      <c r="D322" s="6">
        <v>3280</v>
      </c>
      <c r="E322" s="6">
        <v>337</v>
      </c>
      <c r="F322" s="14">
        <v>4</v>
      </c>
      <c r="G322" s="15">
        <v>2</v>
      </c>
      <c r="H322" s="34">
        <v>80942</v>
      </c>
      <c r="I322" s="15" t="s">
        <v>1505</v>
      </c>
      <c r="J322" s="24">
        <v>80711459</v>
      </c>
      <c r="K322" s="24" t="s">
        <v>3050</v>
      </c>
      <c r="L322" s="24" t="s">
        <v>3053</v>
      </c>
      <c r="M322" s="23">
        <v>229900</v>
      </c>
      <c r="N322" s="9">
        <f t="shared" si="25"/>
        <v>0.9</v>
      </c>
      <c r="O322" s="8">
        <f t="shared" si="26"/>
        <v>22990</v>
      </c>
      <c r="P322" s="9" t="str">
        <f t="shared" si="27"/>
        <v>PERCENTAGE</v>
      </c>
    </row>
    <row r="323" spans="1:16" x14ac:dyDescent="0.25">
      <c r="A323" s="6" t="str">
        <f t="shared" si="30"/>
        <v>2023 ALL D90</v>
      </c>
      <c r="B323" s="7">
        <f t="shared" si="28"/>
        <v>46114</v>
      </c>
      <c r="C323" s="7">
        <f t="shared" si="29"/>
        <v>46120</v>
      </c>
      <c r="D323" s="6">
        <v>3280</v>
      </c>
      <c r="E323" s="6">
        <v>337</v>
      </c>
      <c r="F323" s="14">
        <v>4</v>
      </c>
      <c r="G323" s="15">
        <v>2</v>
      </c>
      <c r="H323" s="34">
        <v>80942</v>
      </c>
      <c r="I323" s="15" t="s">
        <v>1505</v>
      </c>
      <c r="J323" s="24">
        <v>80711468</v>
      </c>
      <c r="K323" s="24" t="s">
        <v>3050</v>
      </c>
      <c r="L323" s="24" t="s">
        <v>3054</v>
      </c>
      <c r="M323" s="23">
        <v>239900</v>
      </c>
      <c r="N323" s="9">
        <f t="shared" ref="N323:N386" si="31">N322</f>
        <v>0.9</v>
      </c>
      <c r="O323" s="8">
        <f t="shared" ref="O323:O386" si="32">M323-((90*M323)/100)</f>
        <v>23990</v>
      </c>
      <c r="P323" s="9" t="str">
        <f t="shared" ref="P323:P386" si="33">P322</f>
        <v>PERCENTAGE</v>
      </c>
    </row>
    <row r="324" spans="1:16" x14ac:dyDescent="0.25">
      <c r="A324" s="6" t="str">
        <f t="shared" si="30"/>
        <v>2023 ALL D90</v>
      </c>
      <c r="B324" s="7">
        <f t="shared" si="28"/>
        <v>46114</v>
      </c>
      <c r="C324" s="7">
        <f t="shared" si="29"/>
        <v>46120</v>
      </c>
      <c r="D324" s="6">
        <v>3280</v>
      </c>
      <c r="E324" s="6">
        <v>337</v>
      </c>
      <c r="F324" s="14">
        <v>4</v>
      </c>
      <c r="G324" s="15">
        <v>2</v>
      </c>
      <c r="H324" s="34">
        <v>80942</v>
      </c>
      <c r="I324" s="15" t="s">
        <v>1505</v>
      </c>
      <c r="J324" s="24">
        <v>80711477</v>
      </c>
      <c r="K324" s="24" t="s">
        <v>3050</v>
      </c>
      <c r="L324" s="24" t="s">
        <v>3055</v>
      </c>
      <c r="M324" s="23">
        <v>239900</v>
      </c>
      <c r="N324" s="9">
        <f t="shared" si="31"/>
        <v>0.9</v>
      </c>
      <c r="O324" s="8">
        <f t="shared" si="32"/>
        <v>23990</v>
      </c>
      <c r="P324" s="9" t="str">
        <f t="shared" si="33"/>
        <v>PERCENTAGE</v>
      </c>
    </row>
    <row r="325" spans="1:16" x14ac:dyDescent="0.25">
      <c r="A325" s="6" t="str">
        <f t="shared" si="30"/>
        <v>2023 ALL D90</v>
      </c>
      <c r="B325" s="7">
        <f t="shared" si="28"/>
        <v>46114</v>
      </c>
      <c r="C325" s="7">
        <f t="shared" si="29"/>
        <v>46120</v>
      </c>
      <c r="D325" s="6">
        <v>3280</v>
      </c>
      <c r="E325" s="6">
        <v>337</v>
      </c>
      <c r="F325" s="14">
        <v>4</v>
      </c>
      <c r="G325" s="15">
        <v>2</v>
      </c>
      <c r="H325" s="34">
        <v>80942</v>
      </c>
      <c r="I325" s="15" t="s">
        <v>1505</v>
      </c>
      <c r="J325" s="24">
        <v>80711486</v>
      </c>
      <c r="K325" s="24" t="s">
        <v>3050</v>
      </c>
      <c r="L325" s="24" t="s">
        <v>3056</v>
      </c>
      <c r="M325" s="23">
        <v>239900</v>
      </c>
      <c r="N325" s="9">
        <f t="shared" si="31"/>
        <v>0.9</v>
      </c>
      <c r="O325" s="8">
        <f t="shared" si="32"/>
        <v>23990</v>
      </c>
      <c r="P325" s="9" t="str">
        <f t="shared" si="33"/>
        <v>PERCENTAGE</v>
      </c>
    </row>
    <row r="326" spans="1:16" x14ac:dyDescent="0.25">
      <c r="A326" s="6" t="str">
        <f t="shared" si="30"/>
        <v>2023 ALL D90</v>
      </c>
      <c r="B326" s="7">
        <f t="shared" si="28"/>
        <v>46114</v>
      </c>
      <c r="C326" s="7">
        <f t="shared" si="29"/>
        <v>46120</v>
      </c>
      <c r="D326" s="6">
        <v>3280</v>
      </c>
      <c r="E326" s="6">
        <v>337</v>
      </c>
      <c r="F326" s="14">
        <v>4</v>
      </c>
      <c r="G326" s="15">
        <v>3</v>
      </c>
      <c r="H326" s="34">
        <v>81490</v>
      </c>
      <c r="I326" s="15" t="s">
        <v>1505</v>
      </c>
      <c r="J326" s="24">
        <v>79081204</v>
      </c>
      <c r="K326" s="24" t="s">
        <v>3408</v>
      </c>
      <c r="L326" s="24" t="s">
        <v>3493</v>
      </c>
      <c r="M326" s="23">
        <v>329900</v>
      </c>
      <c r="N326" s="9">
        <f t="shared" si="31"/>
        <v>0.9</v>
      </c>
      <c r="O326" s="8">
        <f t="shared" si="32"/>
        <v>32990</v>
      </c>
      <c r="P326" s="9" t="str">
        <f t="shared" si="33"/>
        <v>PERCENTAGE</v>
      </c>
    </row>
    <row r="327" spans="1:16" x14ac:dyDescent="0.25">
      <c r="A327" s="6" t="str">
        <f t="shared" si="30"/>
        <v>2023 ALL D90</v>
      </c>
      <c r="B327" s="7">
        <f t="shared" si="28"/>
        <v>46114</v>
      </c>
      <c r="C327" s="7">
        <f t="shared" si="29"/>
        <v>46120</v>
      </c>
      <c r="D327" s="6">
        <v>3280</v>
      </c>
      <c r="E327" s="6">
        <v>337</v>
      </c>
      <c r="F327" s="14">
        <v>4</v>
      </c>
      <c r="G327" s="15">
        <v>3</v>
      </c>
      <c r="H327" s="34">
        <v>81490</v>
      </c>
      <c r="I327" s="15" t="s">
        <v>1505</v>
      </c>
      <c r="J327" s="24">
        <v>79081213</v>
      </c>
      <c r="K327" s="24" t="s">
        <v>3408</v>
      </c>
      <c r="L327" s="24" t="s">
        <v>3494</v>
      </c>
      <c r="M327" s="23">
        <v>329900</v>
      </c>
      <c r="N327" s="9">
        <f t="shared" si="31"/>
        <v>0.9</v>
      </c>
      <c r="O327" s="8">
        <f t="shared" si="32"/>
        <v>32990</v>
      </c>
      <c r="P327" s="9" t="str">
        <f t="shared" si="33"/>
        <v>PERCENTAGE</v>
      </c>
    </row>
    <row r="328" spans="1:16" x14ac:dyDescent="0.25">
      <c r="A328" s="6" t="str">
        <f t="shared" si="30"/>
        <v>2023 ALL D90</v>
      </c>
      <c r="B328" s="7">
        <f t="shared" si="28"/>
        <v>46114</v>
      </c>
      <c r="C328" s="7">
        <f t="shared" si="29"/>
        <v>46120</v>
      </c>
      <c r="D328" s="6">
        <v>3280</v>
      </c>
      <c r="E328" s="6">
        <v>337</v>
      </c>
      <c r="F328" s="14">
        <v>4</v>
      </c>
      <c r="G328" s="15">
        <v>3</v>
      </c>
      <c r="H328" s="34">
        <v>81490</v>
      </c>
      <c r="I328" s="15" t="s">
        <v>1505</v>
      </c>
      <c r="J328" s="24">
        <v>79081222</v>
      </c>
      <c r="K328" s="24" t="s">
        <v>3408</v>
      </c>
      <c r="L328" s="24" t="s">
        <v>3495</v>
      </c>
      <c r="M328" s="23">
        <v>329900</v>
      </c>
      <c r="N328" s="9">
        <f t="shared" si="31"/>
        <v>0.9</v>
      </c>
      <c r="O328" s="8">
        <f t="shared" si="32"/>
        <v>32990</v>
      </c>
      <c r="P328" s="9" t="str">
        <f t="shared" si="33"/>
        <v>PERCENTAGE</v>
      </c>
    </row>
    <row r="329" spans="1:16" x14ac:dyDescent="0.25">
      <c r="A329" s="6" t="str">
        <f t="shared" si="30"/>
        <v>2023 ALL D90</v>
      </c>
      <c r="B329" s="7">
        <f t="shared" si="28"/>
        <v>46114</v>
      </c>
      <c r="C329" s="7">
        <f t="shared" si="29"/>
        <v>46120</v>
      </c>
      <c r="D329" s="6">
        <v>3280</v>
      </c>
      <c r="E329" s="6">
        <v>337</v>
      </c>
      <c r="F329" s="14">
        <v>4</v>
      </c>
      <c r="G329" s="15">
        <v>3</v>
      </c>
      <c r="H329" s="34">
        <v>81490</v>
      </c>
      <c r="I329" s="15" t="s">
        <v>1505</v>
      </c>
      <c r="J329" s="24">
        <v>79081231</v>
      </c>
      <c r="K329" s="24" t="s">
        <v>3408</v>
      </c>
      <c r="L329" s="24" t="s">
        <v>3496</v>
      </c>
      <c r="M329" s="23">
        <v>329900</v>
      </c>
      <c r="N329" s="9">
        <f t="shared" si="31"/>
        <v>0.9</v>
      </c>
      <c r="O329" s="8">
        <f t="shared" si="32"/>
        <v>32990</v>
      </c>
      <c r="P329" s="9" t="str">
        <f t="shared" si="33"/>
        <v>PERCENTAGE</v>
      </c>
    </row>
    <row r="330" spans="1:16" x14ac:dyDescent="0.25">
      <c r="A330" s="6" t="str">
        <f t="shared" si="30"/>
        <v>2023 ALL D90</v>
      </c>
      <c r="B330" s="7">
        <f t="shared" si="28"/>
        <v>46114</v>
      </c>
      <c r="C330" s="7">
        <f t="shared" si="29"/>
        <v>46120</v>
      </c>
      <c r="D330" s="6">
        <v>3280</v>
      </c>
      <c r="E330" s="6">
        <v>337</v>
      </c>
      <c r="F330" s="14">
        <v>4</v>
      </c>
      <c r="G330" s="15">
        <v>3</v>
      </c>
      <c r="H330" s="34">
        <v>81490</v>
      </c>
      <c r="I330" s="15" t="s">
        <v>1505</v>
      </c>
      <c r="J330" s="24">
        <v>79081240</v>
      </c>
      <c r="K330" s="24" t="s">
        <v>3408</v>
      </c>
      <c r="L330" s="24" t="s">
        <v>3497</v>
      </c>
      <c r="M330" s="23">
        <v>329900</v>
      </c>
      <c r="N330" s="9">
        <f t="shared" si="31"/>
        <v>0.9</v>
      </c>
      <c r="O330" s="8">
        <f t="shared" si="32"/>
        <v>32990</v>
      </c>
      <c r="P330" s="9" t="str">
        <f t="shared" si="33"/>
        <v>PERCENTAGE</v>
      </c>
    </row>
    <row r="331" spans="1:16" x14ac:dyDescent="0.25">
      <c r="A331" s="6" t="str">
        <f t="shared" si="30"/>
        <v>2023 ALL D90</v>
      </c>
      <c r="B331" s="7">
        <f t="shared" si="28"/>
        <v>46114</v>
      </c>
      <c r="C331" s="7">
        <f t="shared" si="29"/>
        <v>46120</v>
      </c>
      <c r="D331" s="6">
        <v>3280</v>
      </c>
      <c r="E331" s="6">
        <v>337</v>
      </c>
      <c r="F331" s="14">
        <v>4</v>
      </c>
      <c r="G331" s="15">
        <v>3</v>
      </c>
      <c r="H331" s="34">
        <v>81490</v>
      </c>
      <c r="I331" s="15" t="s">
        <v>1505</v>
      </c>
      <c r="J331" s="24">
        <v>79081259</v>
      </c>
      <c r="K331" s="24" t="s">
        <v>3408</v>
      </c>
      <c r="L331" s="24" t="s">
        <v>3498</v>
      </c>
      <c r="M331" s="23">
        <v>329900</v>
      </c>
      <c r="N331" s="9">
        <f t="shared" si="31"/>
        <v>0.9</v>
      </c>
      <c r="O331" s="8">
        <f t="shared" si="32"/>
        <v>32990</v>
      </c>
      <c r="P331" s="9" t="str">
        <f t="shared" si="33"/>
        <v>PERCENTAGE</v>
      </c>
    </row>
    <row r="332" spans="1:16" x14ac:dyDescent="0.25">
      <c r="A332" s="6" t="str">
        <f t="shared" si="30"/>
        <v>2023 ALL D90</v>
      </c>
      <c r="B332" s="7">
        <f t="shared" ref="B332:B395" si="34">B331</f>
        <v>46114</v>
      </c>
      <c r="C332" s="7">
        <f t="shared" ref="C332:C395" si="35">C331</f>
        <v>46120</v>
      </c>
      <c r="D332" s="6">
        <v>3280</v>
      </c>
      <c r="E332" s="6">
        <v>337</v>
      </c>
      <c r="F332" s="14">
        <v>4</v>
      </c>
      <c r="G332" s="15">
        <v>3</v>
      </c>
      <c r="H332" s="34">
        <v>81490</v>
      </c>
      <c r="I332" s="15" t="s">
        <v>1505</v>
      </c>
      <c r="J332" s="24">
        <v>79081320</v>
      </c>
      <c r="K332" s="24" t="s">
        <v>3410</v>
      </c>
      <c r="L332" s="24" t="s">
        <v>3506</v>
      </c>
      <c r="M332" s="23">
        <v>329900</v>
      </c>
      <c r="N332" s="9">
        <f t="shared" si="31"/>
        <v>0.9</v>
      </c>
      <c r="O332" s="8">
        <f t="shared" si="32"/>
        <v>32990</v>
      </c>
      <c r="P332" s="9" t="str">
        <f t="shared" si="33"/>
        <v>PERCENTAGE</v>
      </c>
    </row>
    <row r="333" spans="1:16" x14ac:dyDescent="0.25">
      <c r="A333" s="6" t="str">
        <f t="shared" ref="A333:A396" si="36">A332</f>
        <v>2023 ALL D90</v>
      </c>
      <c r="B333" s="7">
        <f t="shared" si="34"/>
        <v>46114</v>
      </c>
      <c r="C333" s="7">
        <f t="shared" si="35"/>
        <v>46120</v>
      </c>
      <c r="D333" s="6">
        <v>3280</v>
      </c>
      <c r="E333" s="6">
        <v>337</v>
      </c>
      <c r="F333" s="14">
        <v>4</v>
      </c>
      <c r="G333" s="15">
        <v>3</v>
      </c>
      <c r="H333" s="34">
        <v>81490</v>
      </c>
      <c r="I333" s="15" t="s">
        <v>1505</v>
      </c>
      <c r="J333" s="24">
        <v>79081339</v>
      </c>
      <c r="K333" s="24" t="s">
        <v>3410</v>
      </c>
      <c r="L333" s="24" t="s">
        <v>3507</v>
      </c>
      <c r="M333" s="23">
        <v>329900</v>
      </c>
      <c r="N333" s="9">
        <f t="shared" si="31"/>
        <v>0.9</v>
      </c>
      <c r="O333" s="8">
        <f t="shared" si="32"/>
        <v>32990</v>
      </c>
      <c r="P333" s="9" t="str">
        <f t="shared" si="33"/>
        <v>PERCENTAGE</v>
      </c>
    </row>
    <row r="334" spans="1:16" x14ac:dyDescent="0.25">
      <c r="A334" s="6" t="str">
        <f t="shared" si="36"/>
        <v>2023 ALL D90</v>
      </c>
      <c r="B334" s="7">
        <f t="shared" si="34"/>
        <v>46114</v>
      </c>
      <c r="C334" s="7">
        <f t="shared" si="35"/>
        <v>46120</v>
      </c>
      <c r="D334" s="6">
        <v>3280</v>
      </c>
      <c r="E334" s="6">
        <v>337</v>
      </c>
      <c r="F334" s="14">
        <v>4</v>
      </c>
      <c r="G334" s="15">
        <v>3</v>
      </c>
      <c r="H334" s="34">
        <v>81490</v>
      </c>
      <c r="I334" s="15" t="s">
        <v>1505</v>
      </c>
      <c r="J334" s="24">
        <v>79081348</v>
      </c>
      <c r="K334" s="24" t="s">
        <v>3410</v>
      </c>
      <c r="L334" s="24" t="s">
        <v>3508</v>
      </c>
      <c r="M334" s="23">
        <v>329900</v>
      </c>
      <c r="N334" s="9">
        <f t="shared" si="31"/>
        <v>0.9</v>
      </c>
      <c r="O334" s="8">
        <f t="shared" si="32"/>
        <v>32990</v>
      </c>
      <c r="P334" s="9" t="str">
        <f t="shared" si="33"/>
        <v>PERCENTAGE</v>
      </c>
    </row>
    <row r="335" spans="1:16" x14ac:dyDescent="0.25">
      <c r="A335" s="6" t="str">
        <f t="shared" si="36"/>
        <v>2023 ALL D90</v>
      </c>
      <c r="B335" s="7">
        <f t="shared" si="34"/>
        <v>46114</v>
      </c>
      <c r="C335" s="7">
        <f t="shared" si="35"/>
        <v>46120</v>
      </c>
      <c r="D335" s="6">
        <v>3280</v>
      </c>
      <c r="E335" s="6">
        <v>337</v>
      </c>
      <c r="F335" s="14">
        <v>4</v>
      </c>
      <c r="G335" s="15">
        <v>3</v>
      </c>
      <c r="H335" s="34">
        <v>81490</v>
      </c>
      <c r="I335" s="15" t="s">
        <v>1505</v>
      </c>
      <c r="J335" s="24">
        <v>79081357</v>
      </c>
      <c r="K335" s="24" t="s">
        <v>3410</v>
      </c>
      <c r="L335" s="24" t="s">
        <v>3509</v>
      </c>
      <c r="M335" s="23">
        <v>329900</v>
      </c>
      <c r="N335" s="9">
        <f t="shared" si="31"/>
        <v>0.9</v>
      </c>
      <c r="O335" s="8">
        <f t="shared" si="32"/>
        <v>32990</v>
      </c>
      <c r="P335" s="9" t="str">
        <f t="shared" si="33"/>
        <v>PERCENTAGE</v>
      </c>
    </row>
    <row r="336" spans="1:16" x14ac:dyDescent="0.25">
      <c r="A336" s="6" t="str">
        <f t="shared" si="36"/>
        <v>2023 ALL D90</v>
      </c>
      <c r="B336" s="7">
        <f t="shared" si="34"/>
        <v>46114</v>
      </c>
      <c r="C336" s="7">
        <f t="shared" si="35"/>
        <v>46120</v>
      </c>
      <c r="D336" s="6">
        <v>3280</v>
      </c>
      <c r="E336" s="6">
        <v>337</v>
      </c>
      <c r="F336" s="14">
        <v>4</v>
      </c>
      <c r="G336" s="15">
        <v>3</v>
      </c>
      <c r="H336" s="34">
        <v>81490</v>
      </c>
      <c r="I336" s="15" t="s">
        <v>1505</v>
      </c>
      <c r="J336" s="24">
        <v>79081366</v>
      </c>
      <c r="K336" s="24" t="s">
        <v>3410</v>
      </c>
      <c r="L336" s="24" t="s">
        <v>3510</v>
      </c>
      <c r="M336" s="23">
        <v>329900</v>
      </c>
      <c r="N336" s="9">
        <f t="shared" si="31"/>
        <v>0.9</v>
      </c>
      <c r="O336" s="8">
        <f t="shared" si="32"/>
        <v>32990</v>
      </c>
      <c r="P336" s="9" t="str">
        <f t="shared" si="33"/>
        <v>PERCENTAGE</v>
      </c>
    </row>
    <row r="337" spans="1:16" x14ac:dyDescent="0.25">
      <c r="A337" s="6" t="str">
        <f t="shared" si="36"/>
        <v>2023 ALL D90</v>
      </c>
      <c r="B337" s="7">
        <f t="shared" si="34"/>
        <v>46114</v>
      </c>
      <c r="C337" s="7">
        <f t="shared" si="35"/>
        <v>46120</v>
      </c>
      <c r="D337" s="6">
        <v>3280</v>
      </c>
      <c r="E337" s="6">
        <v>337</v>
      </c>
      <c r="F337" s="14">
        <v>4</v>
      </c>
      <c r="G337" s="15">
        <v>3</v>
      </c>
      <c r="H337" s="34">
        <v>81490</v>
      </c>
      <c r="I337" s="15" t="s">
        <v>1505</v>
      </c>
      <c r="J337" s="24">
        <v>79081375</v>
      </c>
      <c r="K337" s="24" t="s">
        <v>3410</v>
      </c>
      <c r="L337" s="24" t="s">
        <v>3511</v>
      </c>
      <c r="M337" s="23">
        <v>329900</v>
      </c>
      <c r="N337" s="9">
        <f t="shared" si="31"/>
        <v>0.9</v>
      </c>
      <c r="O337" s="8">
        <f t="shared" si="32"/>
        <v>32990</v>
      </c>
      <c r="P337" s="9" t="str">
        <f t="shared" si="33"/>
        <v>PERCENTAGE</v>
      </c>
    </row>
    <row r="338" spans="1:16" x14ac:dyDescent="0.25">
      <c r="A338" s="6" t="str">
        <f t="shared" si="36"/>
        <v>2023 ALL D90</v>
      </c>
      <c r="B338" s="7">
        <f t="shared" si="34"/>
        <v>46114</v>
      </c>
      <c r="C338" s="7">
        <f t="shared" si="35"/>
        <v>46120</v>
      </c>
      <c r="D338" s="6">
        <v>3280</v>
      </c>
      <c r="E338" s="6">
        <v>337</v>
      </c>
      <c r="F338" s="14">
        <v>4</v>
      </c>
      <c r="G338" s="15">
        <v>3</v>
      </c>
      <c r="H338" s="34">
        <v>81490</v>
      </c>
      <c r="I338" s="15" t="s">
        <v>1505</v>
      </c>
      <c r="J338" s="24">
        <v>79426243</v>
      </c>
      <c r="K338" s="24" t="s">
        <v>3410</v>
      </c>
      <c r="L338" s="24" t="s">
        <v>3512</v>
      </c>
      <c r="M338" s="23">
        <v>329900</v>
      </c>
      <c r="N338" s="9">
        <f t="shared" si="31"/>
        <v>0.9</v>
      </c>
      <c r="O338" s="8">
        <f t="shared" si="32"/>
        <v>32990</v>
      </c>
      <c r="P338" s="9" t="str">
        <f t="shared" si="33"/>
        <v>PERCENTAGE</v>
      </c>
    </row>
    <row r="339" spans="1:16" x14ac:dyDescent="0.25">
      <c r="A339" s="6" t="str">
        <f t="shared" si="36"/>
        <v>2023 ALL D90</v>
      </c>
      <c r="B339" s="7">
        <f t="shared" si="34"/>
        <v>46114</v>
      </c>
      <c r="C339" s="7">
        <f t="shared" si="35"/>
        <v>46120</v>
      </c>
      <c r="D339" s="6">
        <v>3280</v>
      </c>
      <c r="E339" s="6">
        <v>337</v>
      </c>
      <c r="F339" s="14">
        <v>4</v>
      </c>
      <c r="G339" s="15">
        <v>3</v>
      </c>
      <c r="H339" s="34">
        <v>81490</v>
      </c>
      <c r="I339" s="15" t="s">
        <v>1505</v>
      </c>
      <c r="J339" s="24">
        <v>79080965</v>
      </c>
      <c r="K339" s="24" t="s">
        <v>3404</v>
      </c>
      <c r="L339" s="24" t="s">
        <v>3468</v>
      </c>
      <c r="M339" s="23">
        <v>319900</v>
      </c>
      <c r="N339" s="9">
        <f t="shared" si="31"/>
        <v>0.9</v>
      </c>
      <c r="O339" s="8">
        <f t="shared" si="32"/>
        <v>31990</v>
      </c>
      <c r="P339" s="9" t="str">
        <f t="shared" si="33"/>
        <v>PERCENTAGE</v>
      </c>
    </row>
    <row r="340" spans="1:16" x14ac:dyDescent="0.25">
      <c r="A340" s="6" t="str">
        <f t="shared" si="36"/>
        <v>2023 ALL D90</v>
      </c>
      <c r="B340" s="7">
        <f t="shared" si="34"/>
        <v>46114</v>
      </c>
      <c r="C340" s="7">
        <f t="shared" si="35"/>
        <v>46120</v>
      </c>
      <c r="D340" s="6">
        <v>3280</v>
      </c>
      <c r="E340" s="6">
        <v>337</v>
      </c>
      <c r="F340" s="14">
        <v>4</v>
      </c>
      <c r="G340" s="15">
        <v>3</v>
      </c>
      <c r="H340" s="34">
        <v>81490</v>
      </c>
      <c r="I340" s="15" t="s">
        <v>1505</v>
      </c>
      <c r="J340" s="24">
        <v>79080974</v>
      </c>
      <c r="K340" s="24" t="s">
        <v>3404</v>
      </c>
      <c r="L340" s="24" t="s">
        <v>3469</v>
      </c>
      <c r="M340" s="23">
        <v>319900</v>
      </c>
      <c r="N340" s="9">
        <f t="shared" si="31"/>
        <v>0.9</v>
      </c>
      <c r="O340" s="8">
        <f t="shared" si="32"/>
        <v>31990</v>
      </c>
      <c r="P340" s="9" t="str">
        <f t="shared" si="33"/>
        <v>PERCENTAGE</v>
      </c>
    </row>
    <row r="341" spans="1:16" x14ac:dyDescent="0.25">
      <c r="A341" s="6" t="str">
        <f t="shared" si="36"/>
        <v>2023 ALL D90</v>
      </c>
      <c r="B341" s="7">
        <f t="shared" si="34"/>
        <v>46114</v>
      </c>
      <c r="C341" s="7">
        <f t="shared" si="35"/>
        <v>46120</v>
      </c>
      <c r="D341" s="6">
        <v>3280</v>
      </c>
      <c r="E341" s="6">
        <v>337</v>
      </c>
      <c r="F341" s="14">
        <v>4</v>
      </c>
      <c r="G341" s="15">
        <v>3</v>
      </c>
      <c r="H341" s="34">
        <v>81490</v>
      </c>
      <c r="I341" s="15" t="s">
        <v>1505</v>
      </c>
      <c r="J341" s="24">
        <v>79080983</v>
      </c>
      <c r="K341" s="24" t="s">
        <v>3404</v>
      </c>
      <c r="L341" s="24" t="s">
        <v>3470</v>
      </c>
      <c r="M341" s="23">
        <v>319900</v>
      </c>
      <c r="N341" s="9">
        <f t="shared" si="31"/>
        <v>0.9</v>
      </c>
      <c r="O341" s="8">
        <f t="shared" si="32"/>
        <v>31990</v>
      </c>
      <c r="P341" s="9" t="str">
        <f t="shared" si="33"/>
        <v>PERCENTAGE</v>
      </c>
    </row>
    <row r="342" spans="1:16" x14ac:dyDescent="0.25">
      <c r="A342" s="6" t="str">
        <f t="shared" si="36"/>
        <v>2023 ALL D90</v>
      </c>
      <c r="B342" s="7">
        <f t="shared" si="34"/>
        <v>46114</v>
      </c>
      <c r="C342" s="7">
        <f t="shared" si="35"/>
        <v>46120</v>
      </c>
      <c r="D342" s="6">
        <v>3280</v>
      </c>
      <c r="E342" s="6">
        <v>337</v>
      </c>
      <c r="F342" s="14">
        <v>4</v>
      </c>
      <c r="G342" s="15">
        <v>3</v>
      </c>
      <c r="H342" s="34">
        <v>81490</v>
      </c>
      <c r="I342" s="15" t="s">
        <v>1505</v>
      </c>
      <c r="J342" s="24">
        <v>79080992</v>
      </c>
      <c r="K342" s="24" t="s">
        <v>3404</v>
      </c>
      <c r="L342" s="24" t="s">
        <v>3471</v>
      </c>
      <c r="M342" s="23">
        <v>319900</v>
      </c>
      <c r="N342" s="9">
        <f t="shared" si="31"/>
        <v>0.9</v>
      </c>
      <c r="O342" s="8">
        <f t="shared" si="32"/>
        <v>31990</v>
      </c>
      <c r="P342" s="9" t="str">
        <f t="shared" si="33"/>
        <v>PERCENTAGE</v>
      </c>
    </row>
    <row r="343" spans="1:16" x14ac:dyDescent="0.25">
      <c r="A343" s="6" t="str">
        <f t="shared" si="36"/>
        <v>2023 ALL D90</v>
      </c>
      <c r="B343" s="7">
        <f t="shared" si="34"/>
        <v>46114</v>
      </c>
      <c r="C343" s="7">
        <f t="shared" si="35"/>
        <v>46120</v>
      </c>
      <c r="D343" s="6">
        <v>3280</v>
      </c>
      <c r="E343" s="6">
        <v>337</v>
      </c>
      <c r="F343" s="14">
        <v>4</v>
      </c>
      <c r="G343" s="15">
        <v>3</v>
      </c>
      <c r="H343" s="34">
        <v>81490</v>
      </c>
      <c r="I343" s="15" t="s">
        <v>1505</v>
      </c>
      <c r="J343" s="24">
        <v>79081008</v>
      </c>
      <c r="K343" s="24" t="s">
        <v>3404</v>
      </c>
      <c r="L343" s="24" t="s">
        <v>3472</v>
      </c>
      <c r="M343" s="23">
        <v>319900</v>
      </c>
      <c r="N343" s="9">
        <f t="shared" si="31"/>
        <v>0.9</v>
      </c>
      <c r="O343" s="8">
        <f t="shared" si="32"/>
        <v>31990</v>
      </c>
      <c r="P343" s="9" t="str">
        <f t="shared" si="33"/>
        <v>PERCENTAGE</v>
      </c>
    </row>
    <row r="344" spans="1:16" x14ac:dyDescent="0.25">
      <c r="A344" s="6" t="str">
        <f t="shared" si="36"/>
        <v>2023 ALL D90</v>
      </c>
      <c r="B344" s="7">
        <f t="shared" si="34"/>
        <v>46114</v>
      </c>
      <c r="C344" s="7">
        <f t="shared" si="35"/>
        <v>46120</v>
      </c>
      <c r="D344" s="6">
        <v>3280</v>
      </c>
      <c r="E344" s="6">
        <v>337</v>
      </c>
      <c r="F344" s="14">
        <v>4</v>
      </c>
      <c r="G344" s="15">
        <v>3</v>
      </c>
      <c r="H344" s="34">
        <v>81490</v>
      </c>
      <c r="I344" s="15" t="s">
        <v>1505</v>
      </c>
      <c r="J344" s="24">
        <v>79081017</v>
      </c>
      <c r="K344" s="24" t="s">
        <v>3404</v>
      </c>
      <c r="L344" s="24" t="s">
        <v>3473</v>
      </c>
      <c r="M344" s="23">
        <v>319900</v>
      </c>
      <c r="N344" s="9">
        <f t="shared" si="31"/>
        <v>0.9</v>
      </c>
      <c r="O344" s="8">
        <f t="shared" si="32"/>
        <v>31990</v>
      </c>
      <c r="P344" s="9" t="str">
        <f t="shared" si="33"/>
        <v>PERCENTAGE</v>
      </c>
    </row>
    <row r="345" spans="1:16" x14ac:dyDescent="0.25">
      <c r="A345" s="6" t="str">
        <f t="shared" si="36"/>
        <v>2023 ALL D90</v>
      </c>
      <c r="B345" s="7">
        <f t="shared" si="34"/>
        <v>46114</v>
      </c>
      <c r="C345" s="7">
        <f t="shared" si="35"/>
        <v>46120</v>
      </c>
      <c r="D345" s="6">
        <v>3280</v>
      </c>
      <c r="E345" s="6">
        <v>337</v>
      </c>
      <c r="F345" s="14">
        <v>4</v>
      </c>
      <c r="G345" s="15">
        <v>3</v>
      </c>
      <c r="H345" s="34">
        <v>81490</v>
      </c>
      <c r="I345" s="15" t="s">
        <v>1505</v>
      </c>
      <c r="J345" s="24">
        <v>79356355</v>
      </c>
      <c r="K345" s="24" t="s">
        <v>3404</v>
      </c>
      <c r="L345" s="24" t="s">
        <v>3474</v>
      </c>
      <c r="M345" s="23">
        <v>319900</v>
      </c>
      <c r="N345" s="9">
        <f t="shared" si="31"/>
        <v>0.9</v>
      </c>
      <c r="O345" s="8">
        <f t="shared" si="32"/>
        <v>31990</v>
      </c>
      <c r="P345" s="9" t="str">
        <f t="shared" si="33"/>
        <v>PERCENTAGE</v>
      </c>
    </row>
    <row r="346" spans="1:16" x14ac:dyDescent="0.25">
      <c r="A346" s="6" t="str">
        <f t="shared" si="36"/>
        <v>2023 ALL D90</v>
      </c>
      <c r="B346" s="7">
        <f t="shared" si="34"/>
        <v>46114</v>
      </c>
      <c r="C346" s="7">
        <f t="shared" si="35"/>
        <v>46120</v>
      </c>
      <c r="D346" s="6">
        <v>3280</v>
      </c>
      <c r="E346" s="6">
        <v>337</v>
      </c>
      <c r="F346" s="14">
        <v>4</v>
      </c>
      <c r="G346" s="15">
        <v>3</v>
      </c>
      <c r="H346" s="34">
        <v>81490</v>
      </c>
      <c r="I346" s="15" t="s">
        <v>1505</v>
      </c>
      <c r="J346" s="24">
        <v>79081268</v>
      </c>
      <c r="K346" s="24" t="s">
        <v>3409</v>
      </c>
      <c r="L346" s="24" t="s">
        <v>3499</v>
      </c>
      <c r="M346" s="23">
        <v>329900</v>
      </c>
      <c r="N346" s="9">
        <f t="shared" si="31"/>
        <v>0.9</v>
      </c>
      <c r="O346" s="8">
        <f t="shared" si="32"/>
        <v>32990</v>
      </c>
      <c r="P346" s="9" t="str">
        <f t="shared" si="33"/>
        <v>PERCENTAGE</v>
      </c>
    </row>
    <row r="347" spans="1:16" x14ac:dyDescent="0.25">
      <c r="A347" s="6" t="str">
        <f t="shared" si="36"/>
        <v>2023 ALL D90</v>
      </c>
      <c r="B347" s="7">
        <f t="shared" si="34"/>
        <v>46114</v>
      </c>
      <c r="C347" s="7">
        <f t="shared" si="35"/>
        <v>46120</v>
      </c>
      <c r="D347" s="6">
        <v>3280</v>
      </c>
      <c r="E347" s="6">
        <v>337</v>
      </c>
      <c r="F347" s="14">
        <v>4</v>
      </c>
      <c r="G347" s="15">
        <v>3</v>
      </c>
      <c r="H347" s="34">
        <v>81490</v>
      </c>
      <c r="I347" s="15" t="s">
        <v>1505</v>
      </c>
      <c r="J347" s="24">
        <v>79081277</v>
      </c>
      <c r="K347" s="24" t="s">
        <v>3409</v>
      </c>
      <c r="L347" s="24" t="s">
        <v>3500</v>
      </c>
      <c r="M347" s="23">
        <v>329900</v>
      </c>
      <c r="N347" s="9">
        <f t="shared" si="31"/>
        <v>0.9</v>
      </c>
      <c r="O347" s="8">
        <f t="shared" si="32"/>
        <v>32990</v>
      </c>
      <c r="P347" s="9" t="str">
        <f t="shared" si="33"/>
        <v>PERCENTAGE</v>
      </c>
    </row>
    <row r="348" spans="1:16" x14ac:dyDescent="0.25">
      <c r="A348" s="6" t="str">
        <f t="shared" si="36"/>
        <v>2023 ALL D90</v>
      </c>
      <c r="B348" s="7">
        <f t="shared" si="34"/>
        <v>46114</v>
      </c>
      <c r="C348" s="7">
        <f t="shared" si="35"/>
        <v>46120</v>
      </c>
      <c r="D348" s="6">
        <v>3280</v>
      </c>
      <c r="E348" s="6">
        <v>337</v>
      </c>
      <c r="F348" s="14">
        <v>4</v>
      </c>
      <c r="G348" s="15">
        <v>3</v>
      </c>
      <c r="H348" s="34">
        <v>81490</v>
      </c>
      <c r="I348" s="15" t="s">
        <v>1505</v>
      </c>
      <c r="J348" s="24">
        <v>79081286</v>
      </c>
      <c r="K348" s="24" t="s">
        <v>3409</v>
      </c>
      <c r="L348" s="24" t="s">
        <v>3501</v>
      </c>
      <c r="M348" s="23">
        <v>329900</v>
      </c>
      <c r="N348" s="9">
        <f t="shared" si="31"/>
        <v>0.9</v>
      </c>
      <c r="O348" s="8">
        <f t="shared" si="32"/>
        <v>32990</v>
      </c>
      <c r="P348" s="9" t="str">
        <f t="shared" si="33"/>
        <v>PERCENTAGE</v>
      </c>
    </row>
    <row r="349" spans="1:16" x14ac:dyDescent="0.25">
      <c r="A349" s="6" t="str">
        <f t="shared" si="36"/>
        <v>2023 ALL D90</v>
      </c>
      <c r="B349" s="7">
        <f t="shared" si="34"/>
        <v>46114</v>
      </c>
      <c r="C349" s="7">
        <f t="shared" si="35"/>
        <v>46120</v>
      </c>
      <c r="D349" s="6">
        <v>3280</v>
      </c>
      <c r="E349" s="6">
        <v>337</v>
      </c>
      <c r="F349" s="6">
        <v>4</v>
      </c>
      <c r="G349" s="15">
        <v>3</v>
      </c>
      <c r="H349" s="15">
        <v>81490</v>
      </c>
      <c r="I349" s="15" t="s">
        <v>1505</v>
      </c>
      <c r="J349" s="30">
        <v>79081295</v>
      </c>
      <c r="K349" s="30" t="s">
        <v>3409</v>
      </c>
      <c r="L349" s="30" t="s">
        <v>3502</v>
      </c>
      <c r="M349" s="15">
        <v>329900</v>
      </c>
      <c r="N349" s="9">
        <f t="shared" si="31"/>
        <v>0.9</v>
      </c>
      <c r="O349" s="8">
        <f t="shared" si="32"/>
        <v>32990</v>
      </c>
      <c r="P349" s="9" t="str">
        <f t="shared" si="33"/>
        <v>PERCENTAGE</v>
      </c>
    </row>
    <row r="350" spans="1:16" x14ac:dyDescent="0.25">
      <c r="A350" s="6" t="str">
        <f t="shared" si="36"/>
        <v>2023 ALL D90</v>
      </c>
      <c r="B350" s="7">
        <f t="shared" si="34"/>
        <v>46114</v>
      </c>
      <c r="C350" s="7">
        <f t="shared" si="35"/>
        <v>46120</v>
      </c>
      <c r="D350" s="6">
        <v>3280</v>
      </c>
      <c r="E350" s="6">
        <v>337</v>
      </c>
      <c r="F350" s="6">
        <v>4</v>
      </c>
      <c r="G350" s="15">
        <v>3</v>
      </c>
      <c r="H350" s="15">
        <v>81490</v>
      </c>
      <c r="I350" s="15" t="s">
        <v>1505</v>
      </c>
      <c r="J350" s="30">
        <v>79081302</v>
      </c>
      <c r="K350" s="30" t="s">
        <v>3409</v>
      </c>
      <c r="L350" s="30" t="s">
        <v>3503</v>
      </c>
      <c r="M350" s="15">
        <v>329900</v>
      </c>
      <c r="N350" s="9">
        <f t="shared" si="31"/>
        <v>0.9</v>
      </c>
      <c r="O350" s="8">
        <f t="shared" si="32"/>
        <v>32990</v>
      </c>
      <c r="P350" s="9" t="str">
        <f t="shared" si="33"/>
        <v>PERCENTAGE</v>
      </c>
    </row>
    <row r="351" spans="1:16" x14ac:dyDescent="0.25">
      <c r="A351" s="6" t="str">
        <f t="shared" si="36"/>
        <v>2023 ALL D90</v>
      </c>
      <c r="B351" s="7">
        <f t="shared" si="34"/>
        <v>46114</v>
      </c>
      <c r="C351" s="7">
        <f t="shared" si="35"/>
        <v>46120</v>
      </c>
      <c r="D351" s="6">
        <v>3280</v>
      </c>
      <c r="E351" s="6">
        <v>337</v>
      </c>
      <c r="F351" s="6">
        <v>4</v>
      </c>
      <c r="G351" s="15">
        <v>3</v>
      </c>
      <c r="H351" s="15">
        <v>81490</v>
      </c>
      <c r="I351" s="15" t="s">
        <v>1505</v>
      </c>
      <c r="J351" s="30">
        <v>79081311</v>
      </c>
      <c r="K351" s="30" t="s">
        <v>3409</v>
      </c>
      <c r="L351" s="30" t="s">
        <v>3504</v>
      </c>
      <c r="M351" s="15">
        <v>329900</v>
      </c>
      <c r="N351" s="9">
        <f t="shared" si="31"/>
        <v>0.9</v>
      </c>
      <c r="O351" s="8">
        <f t="shared" si="32"/>
        <v>32990</v>
      </c>
      <c r="P351" s="9" t="str">
        <f t="shared" si="33"/>
        <v>PERCENTAGE</v>
      </c>
    </row>
    <row r="352" spans="1:16" x14ac:dyDescent="0.25">
      <c r="A352" s="6" t="str">
        <f t="shared" si="36"/>
        <v>2023 ALL D90</v>
      </c>
      <c r="B352" s="7">
        <f t="shared" si="34"/>
        <v>46114</v>
      </c>
      <c r="C352" s="7">
        <f t="shared" si="35"/>
        <v>46120</v>
      </c>
      <c r="D352" s="6">
        <v>3280</v>
      </c>
      <c r="E352" s="6">
        <v>337</v>
      </c>
      <c r="F352" s="6">
        <v>4</v>
      </c>
      <c r="G352" s="15">
        <v>3</v>
      </c>
      <c r="H352" s="15">
        <v>81490</v>
      </c>
      <c r="I352" s="15" t="s">
        <v>1505</v>
      </c>
      <c r="J352" s="30">
        <v>79356364</v>
      </c>
      <c r="K352" s="30" t="s">
        <v>3409</v>
      </c>
      <c r="L352" s="30" t="s">
        <v>3505</v>
      </c>
      <c r="M352" s="15">
        <v>329900</v>
      </c>
      <c r="N352" s="9">
        <f t="shared" si="31"/>
        <v>0.9</v>
      </c>
      <c r="O352" s="8">
        <f t="shared" si="32"/>
        <v>32990</v>
      </c>
      <c r="P352" s="9" t="str">
        <f t="shared" si="33"/>
        <v>PERCENTAGE</v>
      </c>
    </row>
    <row r="353" spans="1:16" x14ac:dyDescent="0.25">
      <c r="A353" s="6" t="str">
        <f t="shared" si="36"/>
        <v>2023 ALL D90</v>
      </c>
      <c r="B353" s="7">
        <f t="shared" si="34"/>
        <v>46114</v>
      </c>
      <c r="C353" s="7">
        <f t="shared" si="35"/>
        <v>46120</v>
      </c>
      <c r="D353" s="6">
        <v>3280</v>
      </c>
      <c r="E353" s="6">
        <v>337</v>
      </c>
      <c r="F353" s="6">
        <v>4</v>
      </c>
      <c r="G353" s="15">
        <v>3</v>
      </c>
      <c r="H353" s="15">
        <v>81490</v>
      </c>
      <c r="I353" s="15" t="s">
        <v>1505</v>
      </c>
      <c r="J353" s="30">
        <v>79081562</v>
      </c>
      <c r="K353" s="30" t="s">
        <v>4300</v>
      </c>
      <c r="L353" s="30" t="s">
        <v>4309</v>
      </c>
      <c r="M353" s="15">
        <v>319900</v>
      </c>
      <c r="N353" s="9">
        <f t="shared" si="31"/>
        <v>0.9</v>
      </c>
      <c r="O353" s="8">
        <f t="shared" si="32"/>
        <v>31990</v>
      </c>
      <c r="P353" s="9" t="str">
        <f t="shared" si="33"/>
        <v>PERCENTAGE</v>
      </c>
    </row>
    <row r="354" spans="1:16" x14ac:dyDescent="0.25">
      <c r="A354" s="6" t="str">
        <f t="shared" si="36"/>
        <v>2023 ALL D90</v>
      </c>
      <c r="B354" s="7">
        <f t="shared" si="34"/>
        <v>46114</v>
      </c>
      <c r="C354" s="7">
        <f t="shared" si="35"/>
        <v>46120</v>
      </c>
      <c r="D354" s="6">
        <v>3280</v>
      </c>
      <c r="E354" s="6">
        <v>337</v>
      </c>
      <c r="F354" s="6">
        <v>4</v>
      </c>
      <c r="G354" s="15">
        <v>3</v>
      </c>
      <c r="H354" s="15">
        <v>81490</v>
      </c>
      <c r="I354" s="15" t="s">
        <v>1505</v>
      </c>
      <c r="J354" s="30">
        <v>79081571</v>
      </c>
      <c r="K354" s="30" t="s">
        <v>4300</v>
      </c>
      <c r="L354" s="30" t="s">
        <v>4310</v>
      </c>
      <c r="M354" s="15">
        <v>319900</v>
      </c>
      <c r="N354" s="9">
        <f t="shared" si="31"/>
        <v>0.9</v>
      </c>
      <c r="O354" s="8">
        <f t="shared" si="32"/>
        <v>31990</v>
      </c>
      <c r="P354" s="9" t="str">
        <f t="shared" si="33"/>
        <v>PERCENTAGE</v>
      </c>
    </row>
    <row r="355" spans="1:16" x14ac:dyDescent="0.25">
      <c r="A355" s="6" t="str">
        <f t="shared" si="36"/>
        <v>2023 ALL D90</v>
      </c>
      <c r="B355" s="7">
        <f t="shared" si="34"/>
        <v>46114</v>
      </c>
      <c r="C355" s="7">
        <f t="shared" si="35"/>
        <v>46120</v>
      </c>
      <c r="D355" s="6">
        <v>3280</v>
      </c>
      <c r="E355" s="6">
        <v>337</v>
      </c>
      <c r="F355" s="14">
        <v>4</v>
      </c>
      <c r="G355" s="15">
        <v>3</v>
      </c>
      <c r="H355" s="15">
        <v>81490</v>
      </c>
      <c r="I355" s="15" t="s">
        <v>1505</v>
      </c>
      <c r="J355" s="30">
        <v>79081580</v>
      </c>
      <c r="K355" s="30" t="s">
        <v>4300</v>
      </c>
      <c r="L355" s="30" t="s">
        <v>4311</v>
      </c>
      <c r="M355" s="15">
        <v>319900</v>
      </c>
      <c r="N355" s="9">
        <f t="shared" si="31"/>
        <v>0.9</v>
      </c>
      <c r="O355" s="8">
        <f t="shared" si="32"/>
        <v>31990</v>
      </c>
      <c r="P355" s="9" t="str">
        <f t="shared" si="33"/>
        <v>PERCENTAGE</v>
      </c>
    </row>
    <row r="356" spans="1:16" x14ac:dyDescent="0.25">
      <c r="A356" s="6" t="str">
        <f t="shared" si="36"/>
        <v>2023 ALL D90</v>
      </c>
      <c r="B356" s="7">
        <f t="shared" si="34"/>
        <v>46114</v>
      </c>
      <c r="C356" s="7">
        <f t="shared" si="35"/>
        <v>46120</v>
      </c>
      <c r="D356" s="6">
        <v>3280</v>
      </c>
      <c r="E356" s="6">
        <v>337</v>
      </c>
      <c r="F356" s="14">
        <v>4</v>
      </c>
      <c r="G356" s="15">
        <v>3</v>
      </c>
      <c r="H356" s="15">
        <v>81490</v>
      </c>
      <c r="I356" s="15" t="s">
        <v>1505</v>
      </c>
      <c r="J356" s="30">
        <v>79081599</v>
      </c>
      <c r="K356" s="30" t="s">
        <v>4300</v>
      </c>
      <c r="L356" s="30" t="s">
        <v>4312</v>
      </c>
      <c r="M356" s="15">
        <v>319900</v>
      </c>
      <c r="N356" s="9">
        <f t="shared" si="31"/>
        <v>0.9</v>
      </c>
      <c r="O356" s="8">
        <f t="shared" si="32"/>
        <v>31990</v>
      </c>
      <c r="P356" s="9" t="str">
        <f t="shared" si="33"/>
        <v>PERCENTAGE</v>
      </c>
    </row>
    <row r="357" spans="1:16" x14ac:dyDescent="0.25">
      <c r="A357" s="6" t="str">
        <f t="shared" si="36"/>
        <v>2023 ALL D90</v>
      </c>
      <c r="B357" s="7">
        <f t="shared" si="34"/>
        <v>46114</v>
      </c>
      <c r="C357" s="7">
        <f t="shared" si="35"/>
        <v>46120</v>
      </c>
      <c r="D357" s="6">
        <v>3280</v>
      </c>
      <c r="E357" s="6">
        <v>337</v>
      </c>
      <c r="F357" s="14">
        <v>4</v>
      </c>
      <c r="G357" s="15">
        <v>3</v>
      </c>
      <c r="H357" s="15">
        <v>81490</v>
      </c>
      <c r="I357" s="15" t="s">
        <v>1505</v>
      </c>
      <c r="J357" s="30">
        <v>79081606</v>
      </c>
      <c r="K357" s="30" t="s">
        <v>4300</v>
      </c>
      <c r="L357" s="30" t="s">
        <v>4313</v>
      </c>
      <c r="M357" s="15">
        <v>319900</v>
      </c>
      <c r="N357" s="9">
        <f t="shared" si="31"/>
        <v>0.9</v>
      </c>
      <c r="O357" s="8">
        <f t="shared" si="32"/>
        <v>31990</v>
      </c>
      <c r="P357" s="9" t="str">
        <f t="shared" si="33"/>
        <v>PERCENTAGE</v>
      </c>
    </row>
    <row r="358" spans="1:16" x14ac:dyDescent="0.25">
      <c r="A358" s="6" t="str">
        <f t="shared" si="36"/>
        <v>2023 ALL D90</v>
      </c>
      <c r="B358" s="7">
        <f t="shared" si="34"/>
        <v>46114</v>
      </c>
      <c r="C358" s="7">
        <f t="shared" si="35"/>
        <v>46120</v>
      </c>
      <c r="D358" s="6">
        <v>3280</v>
      </c>
      <c r="E358" s="6">
        <v>337</v>
      </c>
      <c r="F358" s="14">
        <v>4</v>
      </c>
      <c r="G358" s="15">
        <v>3</v>
      </c>
      <c r="H358" s="15">
        <v>81490</v>
      </c>
      <c r="I358" s="15" t="s">
        <v>1505</v>
      </c>
      <c r="J358" s="30">
        <v>79081615</v>
      </c>
      <c r="K358" s="30" t="s">
        <v>4300</v>
      </c>
      <c r="L358" s="30" t="s">
        <v>4314</v>
      </c>
      <c r="M358" s="15">
        <v>319900</v>
      </c>
      <c r="N358" s="9">
        <f t="shared" si="31"/>
        <v>0.9</v>
      </c>
      <c r="O358" s="8">
        <f t="shared" si="32"/>
        <v>31990</v>
      </c>
      <c r="P358" s="9" t="str">
        <f t="shared" si="33"/>
        <v>PERCENTAGE</v>
      </c>
    </row>
    <row r="359" spans="1:16" x14ac:dyDescent="0.25">
      <c r="A359" s="6" t="str">
        <f t="shared" si="36"/>
        <v>2023 ALL D90</v>
      </c>
      <c r="B359" s="7">
        <f t="shared" si="34"/>
        <v>46114</v>
      </c>
      <c r="C359" s="7">
        <f t="shared" si="35"/>
        <v>46120</v>
      </c>
      <c r="D359" s="6">
        <v>3280</v>
      </c>
      <c r="E359" s="6">
        <v>337</v>
      </c>
      <c r="F359" s="14">
        <v>4</v>
      </c>
      <c r="G359" s="15">
        <v>3</v>
      </c>
      <c r="H359" s="15">
        <v>81490</v>
      </c>
      <c r="I359" s="15" t="s">
        <v>1505</v>
      </c>
      <c r="J359" s="30">
        <v>79081802</v>
      </c>
      <c r="K359" s="30" t="s">
        <v>3416</v>
      </c>
      <c r="L359" s="30" t="s">
        <v>3546</v>
      </c>
      <c r="M359" s="15">
        <v>329900</v>
      </c>
      <c r="N359" s="9">
        <f t="shared" si="31"/>
        <v>0.9</v>
      </c>
      <c r="O359" s="8">
        <f t="shared" si="32"/>
        <v>32990</v>
      </c>
      <c r="P359" s="9" t="str">
        <f t="shared" si="33"/>
        <v>PERCENTAGE</v>
      </c>
    </row>
    <row r="360" spans="1:16" x14ac:dyDescent="0.25">
      <c r="A360" s="6" t="str">
        <f t="shared" si="36"/>
        <v>2023 ALL D90</v>
      </c>
      <c r="B360" s="7">
        <f t="shared" si="34"/>
        <v>46114</v>
      </c>
      <c r="C360" s="7">
        <f t="shared" si="35"/>
        <v>46120</v>
      </c>
      <c r="D360" s="6">
        <v>3280</v>
      </c>
      <c r="E360" s="6">
        <v>337</v>
      </c>
      <c r="F360" s="14">
        <v>4</v>
      </c>
      <c r="G360" s="15">
        <v>3</v>
      </c>
      <c r="H360" s="15">
        <v>81490</v>
      </c>
      <c r="I360" s="15" t="s">
        <v>1505</v>
      </c>
      <c r="J360" s="30">
        <v>79081811</v>
      </c>
      <c r="K360" s="30" t="s">
        <v>3416</v>
      </c>
      <c r="L360" s="30" t="s">
        <v>3547</v>
      </c>
      <c r="M360" s="15">
        <v>329900</v>
      </c>
      <c r="N360" s="9">
        <f t="shared" si="31"/>
        <v>0.9</v>
      </c>
      <c r="O360" s="8">
        <f t="shared" si="32"/>
        <v>32990</v>
      </c>
      <c r="P360" s="9" t="str">
        <f t="shared" si="33"/>
        <v>PERCENTAGE</v>
      </c>
    </row>
    <row r="361" spans="1:16" x14ac:dyDescent="0.25">
      <c r="A361" s="6" t="str">
        <f t="shared" si="36"/>
        <v>2023 ALL D90</v>
      </c>
      <c r="B361" s="7">
        <f t="shared" si="34"/>
        <v>46114</v>
      </c>
      <c r="C361" s="7">
        <f t="shared" si="35"/>
        <v>46120</v>
      </c>
      <c r="D361" s="6">
        <v>3280</v>
      </c>
      <c r="E361" s="6">
        <v>337</v>
      </c>
      <c r="F361" s="14">
        <v>4</v>
      </c>
      <c r="G361" s="15">
        <v>3</v>
      </c>
      <c r="H361" s="15">
        <v>81490</v>
      </c>
      <c r="I361" s="15" t="s">
        <v>1505</v>
      </c>
      <c r="J361" s="30">
        <v>79081820</v>
      </c>
      <c r="K361" s="30" t="s">
        <v>3416</v>
      </c>
      <c r="L361" s="30" t="s">
        <v>3548</v>
      </c>
      <c r="M361" s="15">
        <v>329900</v>
      </c>
      <c r="N361" s="9">
        <f t="shared" si="31"/>
        <v>0.9</v>
      </c>
      <c r="O361" s="8">
        <f t="shared" si="32"/>
        <v>32990</v>
      </c>
      <c r="P361" s="9" t="str">
        <f t="shared" si="33"/>
        <v>PERCENTAGE</v>
      </c>
    </row>
    <row r="362" spans="1:16" x14ac:dyDescent="0.25">
      <c r="A362" s="6" t="str">
        <f t="shared" si="36"/>
        <v>2023 ALL D90</v>
      </c>
      <c r="B362" s="7">
        <f t="shared" si="34"/>
        <v>46114</v>
      </c>
      <c r="C362" s="7">
        <f t="shared" si="35"/>
        <v>46120</v>
      </c>
      <c r="D362" s="6">
        <v>3280</v>
      </c>
      <c r="E362" s="6">
        <v>337</v>
      </c>
      <c r="F362" s="14">
        <v>4</v>
      </c>
      <c r="G362" s="15">
        <v>3</v>
      </c>
      <c r="H362" s="15">
        <v>81490</v>
      </c>
      <c r="I362" s="15" t="s">
        <v>1505</v>
      </c>
      <c r="J362" s="30">
        <v>79081839</v>
      </c>
      <c r="K362" s="30" t="s">
        <v>3416</v>
      </c>
      <c r="L362" s="30" t="s">
        <v>3549</v>
      </c>
      <c r="M362" s="15">
        <v>329900</v>
      </c>
      <c r="N362" s="9">
        <f t="shared" si="31"/>
        <v>0.9</v>
      </c>
      <c r="O362" s="8">
        <f t="shared" si="32"/>
        <v>32990</v>
      </c>
      <c r="P362" s="9" t="str">
        <f t="shared" si="33"/>
        <v>PERCENTAGE</v>
      </c>
    </row>
    <row r="363" spans="1:16" x14ac:dyDescent="0.25">
      <c r="A363" s="6" t="str">
        <f t="shared" si="36"/>
        <v>2023 ALL D90</v>
      </c>
      <c r="B363" s="7">
        <f t="shared" si="34"/>
        <v>46114</v>
      </c>
      <c r="C363" s="7">
        <f t="shared" si="35"/>
        <v>46120</v>
      </c>
      <c r="D363" s="6">
        <v>3280</v>
      </c>
      <c r="E363" s="6">
        <v>337</v>
      </c>
      <c r="F363" s="14">
        <v>4</v>
      </c>
      <c r="G363" s="15">
        <v>3</v>
      </c>
      <c r="H363" s="15">
        <v>81490</v>
      </c>
      <c r="I363" s="15" t="s">
        <v>1505</v>
      </c>
      <c r="J363" s="30">
        <v>79081848</v>
      </c>
      <c r="K363" s="30" t="s">
        <v>3416</v>
      </c>
      <c r="L363" s="30" t="s">
        <v>3550</v>
      </c>
      <c r="M363" s="15">
        <v>329900</v>
      </c>
      <c r="N363" s="9">
        <f t="shared" si="31"/>
        <v>0.9</v>
      </c>
      <c r="O363" s="8">
        <f t="shared" si="32"/>
        <v>32990</v>
      </c>
      <c r="P363" s="9" t="str">
        <f t="shared" si="33"/>
        <v>PERCENTAGE</v>
      </c>
    </row>
    <row r="364" spans="1:16" x14ac:dyDescent="0.25">
      <c r="A364" s="6" t="str">
        <f t="shared" si="36"/>
        <v>2023 ALL D90</v>
      </c>
      <c r="B364" s="7">
        <f t="shared" si="34"/>
        <v>46114</v>
      </c>
      <c r="C364" s="7">
        <f t="shared" si="35"/>
        <v>46120</v>
      </c>
      <c r="D364" s="6">
        <v>3280</v>
      </c>
      <c r="E364" s="6">
        <v>337</v>
      </c>
      <c r="F364" s="14">
        <v>4</v>
      </c>
      <c r="G364" s="15">
        <v>3</v>
      </c>
      <c r="H364" s="15">
        <v>81490</v>
      </c>
      <c r="I364" s="15" t="s">
        <v>1505</v>
      </c>
      <c r="J364" s="30">
        <v>79081857</v>
      </c>
      <c r="K364" s="30" t="s">
        <v>3416</v>
      </c>
      <c r="L364" s="30" t="s">
        <v>3551</v>
      </c>
      <c r="M364" s="15">
        <v>329900</v>
      </c>
      <c r="N364" s="9">
        <f t="shared" si="31"/>
        <v>0.9</v>
      </c>
      <c r="O364" s="8">
        <f t="shared" si="32"/>
        <v>32990</v>
      </c>
      <c r="P364" s="9" t="str">
        <f t="shared" si="33"/>
        <v>PERCENTAGE</v>
      </c>
    </row>
    <row r="365" spans="1:16" x14ac:dyDescent="0.25">
      <c r="A365" s="6" t="str">
        <f t="shared" si="36"/>
        <v>2023 ALL D90</v>
      </c>
      <c r="B365" s="7">
        <f t="shared" si="34"/>
        <v>46114</v>
      </c>
      <c r="C365" s="7">
        <f t="shared" si="35"/>
        <v>46120</v>
      </c>
      <c r="D365" s="6">
        <v>3280</v>
      </c>
      <c r="E365" s="6">
        <v>337</v>
      </c>
      <c r="F365" s="14">
        <v>4</v>
      </c>
      <c r="G365" s="15">
        <v>3</v>
      </c>
      <c r="H365" s="15">
        <v>81490</v>
      </c>
      <c r="I365" s="15" t="s">
        <v>1505</v>
      </c>
      <c r="J365" s="30">
        <v>79081624</v>
      </c>
      <c r="K365" s="30" t="s">
        <v>3413</v>
      </c>
      <c r="L365" s="30" t="s">
        <v>3527</v>
      </c>
      <c r="M365" s="15">
        <v>329900</v>
      </c>
      <c r="N365" s="9">
        <f t="shared" si="31"/>
        <v>0.9</v>
      </c>
      <c r="O365" s="8">
        <f t="shared" si="32"/>
        <v>32990</v>
      </c>
      <c r="P365" s="9" t="str">
        <f t="shared" si="33"/>
        <v>PERCENTAGE</v>
      </c>
    </row>
    <row r="366" spans="1:16" x14ac:dyDescent="0.25">
      <c r="A366" s="6" t="str">
        <f t="shared" si="36"/>
        <v>2023 ALL D90</v>
      </c>
      <c r="B366" s="7">
        <f t="shared" si="34"/>
        <v>46114</v>
      </c>
      <c r="C366" s="7">
        <f t="shared" si="35"/>
        <v>46120</v>
      </c>
      <c r="D366" s="6">
        <v>3280</v>
      </c>
      <c r="E366" s="6">
        <v>337</v>
      </c>
      <c r="F366" s="14">
        <v>4</v>
      </c>
      <c r="G366" s="15">
        <v>3</v>
      </c>
      <c r="H366" s="15">
        <v>81490</v>
      </c>
      <c r="I366" s="15" t="s">
        <v>1505</v>
      </c>
      <c r="J366" s="30">
        <v>79081633</v>
      </c>
      <c r="K366" s="30" t="s">
        <v>3413</v>
      </c>
      <c r="L366" s="30" t="s">
        <v>3528</v>
      </c>
      <c r="M366" s="15">
        <v>329900</v>
      </c>
      <c r="N366" s="9">
        <f t="shared" si="31"/>
        <v>0.9</v>
      </c>
      <c r="O366" s="8">
        <f t="shared" si="32"/>
        <v>32990</v>
      </c>
      <c r="P366" s="9" t="str">
        <f t="shared" si="33"/>
        <v>PERCENTAGE</v>
      </c>
    </row>
    <row r="367" spans="1:16" x14ac:dyDescent="0.25">
      <c r="A367" s="6" t="str">
        <f t="shared" si="36"/>
        <v>2023 ALL D90</v>
      </c>
      <c r="B367" s="7">
        <f t="shared" si="34"/>
        <v>46114</v>
      </c>
      <c r="C367" s="7">
        <f t="shared" si="35"/>
        <v>46120</v>
      </c>
      <c r="D367" s="6">
        <v>3280</v>
      </c>
      <c r="E367" s="6">
        <v>337</v>
      </c>
      <c r="F367" s="14">
        <v>4</v>
      </c>
      <c r="G367" s="15">
        <v>3</v>
      </c>
      <c r="H367" s="15">
        <v>81490</v>
      </c>
      <c r="I367" s="15" t="s">
        <v>1505</v>
      </c>
      <c r="J367" s="30">
        <v>79081642</v>
      </c>
      <c r="K367" s="30" t="s">
        <v>3413</v>
      </c>
      <c r="L367" s="30" t="s">
        <v>3529</v>
      </c>
      <c r="M367" s="15">
        <v>329900</v>
      </c>
      <c r="N367" s="9">
        <f t="shared" si="31"/>
        <v>0.9</v>
      </c>
      <c r="O367" s="8">
        <f t="shared" si="32"/>
        <v>32990</v>
      </c>
      <c r="P367" s="9" t="str">
        <f t="shared" si="33"/>
        <v>PERCENTAGE</v>
      </c>
    </row>
    <row r="368" spans="1:16" x14ac:dyDescent="0.25">
      <c r="A368" s="6" t="str">
        <f t="shared" si="36"/>
        <v>2023 ALL D90</v>
      </c>
      <c r="B368" s="7">
        <f t="shared" si="34"/>
        <v>46114</v>
      </c>
      <c r="C368" s="7">
        <f t="shared" si="35"/>
        <v>46120</v>
      </c>
      <c r="D368" s="6">
        <v>3280</v>
      </c>
      <c r="E368" s="6">
        <v>337</v>
      </c>
      <c r="F368" s="14">
        <v>4</v>
      </c>
      <c r="G368" s="15">
        <v>3</v>
      </c>
      <c r="H368" s="15">
        <v>81490</v>
      </c>
      <c r="I368" s="15" t="s">
        <v>1505</v>
      </c>
      <c r="J368" s="30">
        <v>79081651</v>
      </c>
      <c r="K368" s="30" t="s">
        <v>3413</v>
      </c>
      <c r="L368" s="30" t="s">
        <v>3530</v>
      </c>
      <c r="M368" s="15">
        <v>329900</v>
      </c>
      <c r="N368" s="9">
        <f t="shared" si="31"/>
        <v>0.9</v>
      </c>
      <c r="O368" s="8">
        <f t="shared" si="32"/>
        <v>32990</v>
      </c>
      <c r="P368" s="9" t="str">
        <f t="shared" si="33"/>
        <v>PERCENTAGE</v>
      </c>
    </row>
    <row r="369" spans="1:16" x14ac:dyDescent="0.25">
      <c r="A369" s="6" t="str">
        <f t="shared" si="36"/>
        <v>2023 ALL D90</v>
      </c>
      <c r="B369" s="7">
        <f t="shared" si="34"/>
        <v>46114</v>
      </c>
      <c r="C369" s="7">
        <f t="shared" si="35"/>
        <v>46120</v>
      </c>
      <c r="D369" s="6">
        <v>3280</v>
      </c>
      <c r="E369" s="6">
        <v>337</v>
      </c>
      <c r="F369" s="14">
        <v>4</v>
      </c>
      <c r="G369" s="15">
        <v>3</v>
      </c>
      <c r="H369" s="15">
        <v>81490</v>
      </c>
      <c r="I369" s="15" t="s">
        <v>1505</v>
      </c>
      <c r="J369" s="30">
        <v>79081660</v>
      </c>
      <c r="K369" s="30" t="s">
        <v>3413</v>
      </c>
      <c r="L369" s="30" t="s">
        <v>3531</v>
      </c>
      <c r="M369" s="15">
        <v>329900</v>
      </c>
      <c r="N369" s="9">
        <f t="shared" si="31"/>
        <v>0.9</v>
      </c>
      <c r="O369" s="8">
        <f t="shared" si="32"/>
        <v>32990</v>
      </c>
      <c r="P369" s="9" t="str">
        <f t="shared" si="33"/>
        <v>PERCENTAGE</v>
      </c>
    </row>
    <row r="370" spans="1:16" x14ac:dyDescent="0.25">
      <c r="A370" s="6" t="str">
        <f t="shared" si="36"/>
        <v>2023 ALL D90</v>
      </c>
      <c r="B370" s="7">
        <f t="shared" si="34"/>
        <v>46114</v>
      </c>
      <c r="C370" s="7">
        <f t="shared" si="35"/>
        <v>46120</v>
      </c>
      <c r="D370" s="6">
        <v>3280</v>
      </c>
      <c r="E370" s="6">
        <v>337</v>
      </c>
      <c r="F370" s="14">
        <v>4</v>
      </c>
      <c r="G370" s="15">
        <v>3</v>
      </c>
      <c r="H370" s="15">
        <v>81490</v>
      </c>
      <c r="I370" s="15" t="s">
        <v>1505</v>
      </c>
      <c r="J370" s="30">
        <v>79081679</v>
      </c>
      <c r="K370" s="30" t="s">
        <v>3413</v>
      </c>
      <c r="L370" s="30" t="s">
        <v>3532</v>
      </c>
      <c r="M370" s="15">
        <v>329900</v>
      </c>
      <c r="N370" s="9">
        <f t="shared" si="31"/>
        <v>0.9</v>
      </c>
      <c r="O370" s="8">
        <f t="shared" si="32"/>
        <v>32990</v>
      </c>
      <c r="P370" s="9" t="str">
        <f t="shared" si="33"/>
        <v>PERCENTAGE</v>
      </c>
    </row>
    <row r="371" spans="1:16" x14ac:dyDescent="0.25">
      <c r="A371" s="6" t="str">
        <f t="shared" si="36"/>
        <v>2023 ALL D90</v>
      </c>
      <c r="B371" s="7">
        <f t="shared" si="34"/>
        <v>46114</v>
      </c>
      <c r="C371" s="7">
        <f t="shared" si="35"/>
        <v>46120</v>
      </c>
      <c r="D371" s="6">
        <v>3280</v>
      </c>
      <c r="E371" s="6">
        <v>337</v>
      </c>
      <c r="F371" s="14">
        <v>4</v>
      </c>
      <c r="G371" s="15">
        <v>3</v>
      </c>
      <c r="H371" s="15">
        <v>81490</v>
      </c>
      <c r="I371" s="15" t="s">
        <v>1505</v>
      </c>
      <c r="J371" s="30">
        <v>79081026</v>
      </c>
      <c r="K371" s="30" t="s">
        <v>3405</v>
      </c>
      <c r="L371" s="30" t="s">
        <v>3475</v>
      </c>
      <c r="M371" s="15">
        <v>329900</v>
      </c>
      <c r="N371" s="9">
        <f t="shared" si="31"/>
        <v>0.9</v>
      </c>
      <c r="O371" s="8">
        <f t="shared" si="32"/>
        <v>32990</v>
      </c>
      <c r="P371" s="9" t="str">
        <f t="shared" si="33"/>
        <v>PERCENTAGE</v>
      </c>
    </row>
    <row r="372" spans="1:16" x14ac:dyDescent="0.25">
      <c r="A372" s="6" t="str">
        <f t="shared" si="36"/>
        <v>2023 ALL D90</v>
      </c>
      <c r="B372" s="7">
        <f t="shared" si="34"/>
        <v>46114</v>
      </c>
      <c r="C372" s="7">
        <f t="shared" si="35"/>
        <v>46120</v>
      </c>
      <c r="D372" s="6">
        <v>3280</v>
      </c>
      <c r="E372" s="6">
        <v>337</v>
      </c>
      <c r="F372" s="14">
        <v>4</v>
      </c>
      <c r="G372" s="15">
        <v>3</v>
      </c>
      <c r="H372" s="15">
        <v>81490</v>
      </c>
      <c r="I372" s="15" t="s">
        <v>1505</v>
      </c>
      <c r="J372" s="30">
        <v>79081035</v>
      </c>
      <c r="K372" s="30" t="s">
        <v>3405</v>
      </c>
      <c r="L372" s="30" t="s">
        <v>3476</v>
      </c>
      <c r="M372" s="15">
        <v>329900</v>
      </c>
      <c r="N372" s="9">
        <f t="shared" si="31"/>
        <v>0.9</v>
      </c>
      <c r="O372" s="8">
        <f t="shared" si="32"/>
        <v>32990</v>
      </c>
      <c r="P372" s="9" t="str">
        <f t="shared" si="33"/>
        <v>PERCENTAGE</v>
      </c>
    </row>
    <row r="373" spans="1:16" x14ac:dyDescent="0.25">
      <c r="A373" s="6" t="str">
        <f t="shared" si="36"/>
        <v>2023 ALL D90</v>
      </c>
      <c r="B373" s="7">
        <f t="shared" si="34"/>
        <v>46114</v>
      </c>
      <c r="C373" s="7">
        <f t="shared" si="35"/>
        <v>46120</v>
      </c>
      <c r="D373" s="6">
        <v>3280</v>
      </c>
      <c r="E373" s="6">
        <v>337</v>
      </c>
      <c r="F373" s="14">
        <v>4</v>
      </c>
      <c r="G373" s="15">
        <v>3</v>
      </c>
      <c r="H373" s="15">
        <v>81490</v>
      </c>
      <c r="I373" s="15" t="s">
        <v>1505</v>
      </c>
      <c r="J373" s="30">
        <v>79081044</v>
      </c>
      <c r="K373" s="30" t="s">
        <v>3405</v>
      </c>
      <c r="L373" s="30" t="s">
        <v>3477</v>
      </c>
      <c r="M373" s="15">
        <v>329900</v>
      </c>
      <c r="N373" s="9">
        <f t="shared" si="31"/>
        <v>0.9</v>
      </c>
      <c r="O373" s="8">
        <f t="shared" si="32"/>
        <v>32990</v>
      </c>
      <c r="P373" s="9" t="str">
        <f t="shared" si="33"/>
        <v>PERCENTAGE</v>
      </c>
    </row>
    <row r="374" spans="1:16" x14ac:dyDescent="0.25">
      <c r="A374" s="6" t="str">
        <f t="shared" si="36"/>
        <v>2023 ALL D90</v>
      </c>
      <c r="B374" s="7">
        <f t="shared" si="34"/>
        <v>46114</v>
      </c>
      <c r="C374" s="7">
        <f t="shared" si="35"/>
        <v>46120</v>
      </c>
      <c r="D374" s="6">
        <v>3280</v>
      </c>
      <c r="E374" s="6">
        <v>337</v>
      </c>
      <c r="F374" s="14">
        <v>4</v>
      </c>
      <c r="G374" s="15">
        <v>3</v>
      </c>
      <c r="H374" s="15">
        <v>81490</v>
      </c>
      <c r="I374" s="15" t="s">
        <v>1505</v>
      </c>
      <c r="J374" s="30">
        <v>79081053</v>
      </c>
      <c r="K374" s="30" t="s">
        <v>3405</v>
      </c>
      <c r="L374" s="30" t="s">
        <v>3478</v>
      </c>
      <c r="M374" s="15">
        <v>329900</v>
      </c>
      <c r="N374" s="9">
        <f t="shared" si="31"/>
        <v>0.9</v>
      </c>
      <c r="O374" s="8">
        <f t="shared" si="32"/>
        <v>32990</v>
      </c>
      <c r="P374" s="9" t="str">
        <f t="shared" si="33"/>
        <v>PERCENTAGE</v>
      </c>
    </row>
    <row r="375" spans="1:16" x14ac:dyDescent="0.25">
      <c r="A375" s="6" t="str">
        <f t="shared" si="36"/>
        <v>2023 ALL D90</v>
      </c>
      <c r="B375" s="7">
        <f t="shared" si="34"/>
        <v>46114</v>
      </c>
      <c r="C375" s="7">
        <f t="shared" si="35"/>
        <v>46120</v>
      </c>
      <c r="D375" s="6">
        <v>3280</v>
      </c>
      <c r="E375" s="6">
        <v>337</v>
      </c>
      <c r="F375" s="14">
        <v>4</v>
      </c>
      <c r="G375" s="15">
        <v>3</v>
      </c>
      <c r="H375" s="15">
        <v>81490</v>
      </c>
      <c r="I375" s="15" t="s">
        <v>1505</v>
      </c>
      <c r="J375" s="30">
        <v>79081062</v>
      </c>
      <c r="K375" s="30" t="s">
        <v>3405</v>
      </c>
      <c r="L375" s="30" t="s">
        <v>3479</v>
      </c>
      <c r="M375" s="15">
        <v>329900</v>
      </c>
      <c r="N375" s="9">
        <f t="shared" si="31"/>
        <v>0.9</v>
      </c>
      <c r="O375" s="8">
        <f t="shared" si="32"/>
        <v>32990</v>
      </c>
      <c r="P375" s="9" t="str">
        <f t="shared" si="33"/>
        <v>PERCENTAGE</v>
      </c>
    </row>
    <row r="376" spans="1:16" x14ac:dyDescent="0.25">
      <c r="A376" s="6" t="str">
        <f t="shared" si="36"/>
        <v>2023 ALL D90</v>
      </c>
      <c r="B376" s="7">
        <f t="shared" si="34"/>
        <v>46114</v>
      </c>
      <c r="C376" s="7">
        <f t="shared" si="35"/>
        <v>46120</v>
      </c>
      <c r="D376" s="6">
        <v>3280</v>
      </c>
      <c r="E376" s="6">
        <v>337</v>
      </c>
      <c r="F376" s="14">
        <v>4</v>
      </c>
      <c r="G376" s="15">
        <v>3</v>
      </c>
      <c r="H376" s="15">
        <v>81490</v>
      </c>
      <c r="I376" s="15" t="s">
        <v>1505</v>
      </c>
      <c r="J376" s="30">
        <v>79081071</v>
      </c>
      <c r="K376" s="30" t="s">
        <v>3405</v>
      </c>
      <c r="L376" s="30" t="s">
        <v>3480</v>
      </c>
      <c r="M376" s="15">
        <v>329900</v>
      </c>
      <c r="N376" s="9">
        <f t="shared" si="31"/>
        <v>0.9</v>
      </c>
      <c r="O376" s="8">
        <f t="shared" si="32"/>
        <v>32990</v>
      </c>
      <c r="P376" s="9" t="str">
        <f t="shared" si="33"/>
        <v>PERCENTAGE</v>
      </c>
    </row>
    <row r="377" spans="1:16" x14ac:dyDescent="0.25">
      <c r="A377" s="6" t="str">
        <f t="shared" si="36"/>
        <v>2023 ALL D90</v>
      </c>
      <c r="B377" s="7">
        <f t="shared" si="34"/>
        <v>46114</v>
      </c>
      <c r="C377" s="7">
        <f t="shared" si="35"/>
        <v>46120</v>
      </c>
      <c r="D377" s="6">
        <v>3280</v>
      </c>
      <c r="E377" s="6">
        <v>337</v>
      </c>
      <c r="F377" s="14">
        <v>4</v>
      </c>
      <c r="G377" s="15">
        <v>1</v>
      </c>
      <c r="H377" s="15">
        <v>81698</v>
      </c>
      <c r="I377" s="15" t="s">
        <v>1505</v>
      </c>
      <c r="J377" s="30">
        <v>78905316</v>
      </c>
      <c r="K377" s="30" t="s">
        <v>2811</v>
      </c>
      <c r="L377" s="30" t="s">
        <v>2812</v>
      </c>
      <c r="M377" s="15">
        <v>269900</v>
      </c>
      <c r="N377" s="9">
        <f t="shared" si="31"/>
        <v>0.9</v>
      </c>
      <c r="O377" s="8">
        <f t="shared" si="32"/>
        <v>26990</v>
      </c>
      <c r="P377" s="9" t="str">
        <f t="shared" si="33"/>
        <v>PERCENTAGE</v>
      </c>
    </row>
    <row r="378" spans="1:16" x14ac:dyDescent="0.25">
      <c r="A378" s="6" t="str">
        <f t="shared" si="36"/>
        <v>2023 ALL D90</v>
      </c>
      <c r="B378" s="7">
        <f t="shared" si="34"/>
        <v>46114</v>
      </c>
      <c r="C378" s="7">
        <f t="shared" si="35"/>
        <v>46120</v>
      </c>
      <c r="D378" s="6">
        <v>3280</v>
      </c>
      <c r="E378" s="6">
        <v>337</v>
      </c>
      <c r="F378" s="14">
        <v>4</v>
      </c>
      <c r="G378" s="15">
        <v>1</v>
      </c>
      <c r="H378" s="15">
        <v>81698</v>
      </c>
      <c r="I378" s="15" t="s">
        <v>1505</v>
      </c>
      <c r="J378" s="30">
        <v>78905325</v>
      </c>
      <c r="K378" s="30" t="s">
        <v>2811</v>
      </c>
      <c r="L378" s="30" t="s">
        <v>2813</v>
      </c>
      <c r="M378" s="15">
        <v>269900</v>
      </c>
      <c r="N378" s="9">
        <f t="shared" si="31"/>
        <v>0.9</v>
      </c>
      <c r="O378" s="8">
        <f t="shared" si="32"/>
        <v>26990</v>
      </c>
      <c r="P378" s="9" t="str">
        <f t="shared" si="33"/>
        <v>PERCENTAGE</v>
      </c>
    </row>
    <row r="379" spans="1:16" x14ac:dyDescent="0.25">
      <c r="A379" s="6" t="str">
        <f t="shared" si="36"/>
        <v>2023 ALL D90</v>
      </c>
      <c r="B379" s="7">
        <f t="shared" si="34"/>
        <v>46114</v>
      </c>
      <c r="C379" s="7">
        <f t="shared" si="35"/>
        <v>46120</v>
      </c>
      <c r="D379" s="6">
        <v>3280</v>
      </c>
      <c r="E379" s="6">
        <v>337</v>
      </c>
      <c r="F379" s="14">
        <v>4</v>
      </c>
      <c r="G379" s="15">
        <v>1</v>
      </c>
      <c r="H379" s="15">
        <v>81698</v>
      </c>
      <c r="I379" s="15" t="s">
        <v>1505</v>
      </c>
      <c r="J379" s="30">
        <v>78905334</v>
      </c>
      <c r="K379" s="30" t="s">
        <v>2811</v>
      </c>
      <c r="L379" s="30" t="s">
        <v>2814</v>
      </c>
      <c r="M379" s="15">
        <v>269900</v>
      </c>
      <c r="N379" s="9">
        <f t="shared" si="31"/>
        <v>0.9</v>
      </c>
      <c r="O379" s="8">
        <f t="shared" si="32"/>
        <v>26990</v>
      </c>
      <c r="P379" s="9" t="str">
        <f t="shared" si="33"/>
        <v>PERCENTAGE</v>
      </c>
    </row>
    <row r="380" spans="1:16" x14ac:dyDescent="0.25">
      <c r="A380" s="6" t="str">
        <f t="shared" si="36"/>
        <v>2023 ALL D90</v>
      </c>
      <c r="B380" s="7">
        <f t="shared" si="34"/>
        <v>46114</v>
      </c>
      <c r="C380" s="7">
        <f t="shared" si="35"/>
        <v>46120</v>
      </c>
      <c r="D380" s="6">
        <v>3280</v>
      </c>
      <c r="E380" s="6">
        <v>337</v>
      </c>
      <c r="F380" s="14">
        <v>4</v>
      </c>
      <c r="G380" s="15">
        <v>1</v>
      </c>
      <c r="H380" s="15">
        <v>81698</v>
      </c>
      <c r="I380" s="15" t="s">
        <v>1505</v>
      </c>
      <c r="J380" s="30">
        <v>78905343</v>
      </c>
      <c r="K380" s="30" t="s">
        <v>2811</v>
      </c>
      <c r="L380" s="30" t="s">
        <v>2815</v>
      </c>
      <c r="M380" s="15">
        <v>279900</v>
      </c>
      <c r="N380" s="9">
        <f t="shared" si="31"/>
        <v>0.9</v>
      </c>
      <c r="O380" s="8">
        <f t="shared" si="32"/>
        <v>27990</v>
      </c>
      <c r="P380" s="9" t="str">
        <f t="shared" si="33"/>
        <v>PERCENTAGE</v>
      </c>
    </row>
    <row r="381" spans="1:16" x14ac:dyDescent="0.25">
      <c r="A381" s="6" t="str">
        <f t="shared" si="36"/>
        <v>2023 ALL D90</v>
      </c>
      <c r="B381" s="7">
        <f t="shared" si="34"/>
        <v>46114</v>
      </c>
      <c r="C381" s="7">
        <f t="shared" si="35"/>
        <v>46120</v>
      </c>
      <c r="D381" s="6">
        <v>3280</v>
      </c>
      <c r="E381" s="6">
        <v>337</v>
      </c>
      <c r="F381" s="14">
        <v>4</v>
      </c>
      <c r="G381" s="15">
        <v>1</v>
      </c>
      <c r="H381" s="15">
        <v>81698</v>
      </c>
      <c r="I381" s="15" t="s">
        <v>1505</v>
      </c>
      <c r="J381" s="30">
        <v>78905352</v>
      </c>
      <c r="K381" s="30" t="s">
        <v>2811</v>
      </c>
      <c r="L381" s="30" t="s">
        <v>2816</v>
      </c>
      <c r="M381" s="15">
        <v>279900</v>
      </c>
      <c r="N381" s="9">
        <f t="shared" si="31"/>
        <v>0.9</v>
      </c>
      <c r="O381" s="8">
        <f t="shared" si="32"/>
        <v>27990</v>
      </c>
      <c r="P381" s="9" t="str">
        <f t="shared" si="33"/>
        <v>PERCENTAGE</v>
      </c>
    </row>
    <row r="382" spans="1:16" x14ac:dyDescent="0.25">
      <c r="A382" s="6" t="str">
        <f t="shared" si="36"/>
        <v>2023 ALL D90</v>
      </c>
      <c r="B382" s="7">
        <f t="shared" si="34"/>
        <v>46114</v>
      </c>
      <c r="C382" s="7">
        <f t="shared" si="35"/>
        <v>46120</v>
      </c>
      <c r="D382" s="6">
        <v>3280</v>
      </c>
      <c r="E382" s="6">
        <v>337</v>
      </c>
      <c r="F382" s="14">
        <v>4</v>
      </c>
      <c r="G382" s="15">
        <v>1</v>
      </c>
      <c r="H382" s="15">
        <v>81698</v>
      </c>
      <c r="I382" s="15" t="s">
        <v>1505</v>
      </c>
      <c r="J382" s="30">
        <v>78905361</v>
      </c>
      <c r="K382" s="30" t="s">
        <v>2811</v>
      </c>
      <c r="L382" s="30" t="s">
        <v>2817</v>
      </c>
      <c r="M382" s="15">
        <v>279900</v>
      </c>
      <c r="N382" s="9">
        <f t="shared" si="31"/>
        <v>0.9</v>
      </c>
      <c r="O382" s="8">
        <f t="shared" si="32"/>
        <v>27990</v>
      </c>
      <c r="P382" s="9" t="str">
        <f t="shared" si="33"/>
        <v>PERCENTAGE</v>
      </c>
    </row>
    <row r="383" spans="1:16" x14ac:dyDescent="0.25">
      <c r="A383" s="6" t="str">
        <f t="shared" si="36"/>
        <v>2023 ALL D90</v>
      </c>
      <c r="B383" s="7">
        <f t="shared" si="34"/>
        <v>46114</v>
      </c>
      <c r="C383" s="7">
        <f t="shared" si="35"/>
        <v>46120</v>
      </c>
      <c r="D383" s="6">
        <v>3280</v>
      </c>
      <c r="E383" s="6">
        <v>337</v>
      </c>
      <c r="F383" s="14">
        <v>4</v>
      </c>
      <c r="G383" s="15">
        <v>1</v>
      </c>
      <c r="H383" s="15">
        <v>81698</v>
      </c>
      <c r="I383" s="15" t="s">
        <v>1505</v>
      </c>
      <c r="J383" s="30">
        <v>78905496</v>
      </c>
      <c r="K383" s="30" t="s">
        <v>2832</v>
      </c>
      <c r="L383" s="30" t="s">
        <v>2833</v>
      </c>
      <c r="M383" s="15">
        <v>279900</v>
      </c>
      <c r="N383" s="9">
        <f t="shared" si="31"/>
        <v>0.9</v>
      </c>
      <c r="O383" s="8">
        <f t="shared" si="32"/>
        <v>27990</v>
      </c>
      <c r="P383" s="9" t="str">
        <f t="shared" si="33"/>
        <v>PERCENTAGE</v>
      </c>
    </row>
    <row r="384" spans="1:16" x14ac:dyDescent="0.25">
      <c r="A384" s="6" t="str">
        <f t="shared" si="36"/>
        <v>2023 ALL D90</v>
      </c>
      <c r="B384" s="7">
        <f t="shared" si="34"/>
        <v>46114</v>
      </c>
      <c r="C384" s="7">
        <f t="shared" si="35"/>
        <v>46120</v>
      </c>
      <c r="D384" s="6">
        <v>3280</v>
      </c>
      <c r="E384" s="6">
        <v>337</v>
      </c>
      <c r="F384" s="14">
        <v>4</v>
      </c>
      <c r="G384" s="15">
        <v>1</v>
      </c>
      <c r="H384" s="15">
        <v>81698</v>
      </c>
      <c r="I384" s="15" t="s">
        <v>1505</v>
      </c>
      <c r="J384" s="30">
        <v>78905503</v>
      </c>
      <c r="K384" s="30" t="s">
        <v>2832</v>
      </c>
      <c r="L384" s="30" t="s">
        <v>2834</v>
      </c>
      <c r="M384" s="15">
        <v>279900</v>
      </c>
      <c r="N384" s="9">
        <f t="shared" si="31"/>
        <v>0.9</v>
      </c>
      <c r="O384" s="8">
        <f t="shared" si="32"/>
        <v>27990</v>
      </c>
      <c r="P384" s="9" t="str">
        <f t="shared" si="33"/>
        <v>PERCENTAGE</v>
      </c>
    </row>
    <row r="385" spans="1:16" x14ac:dyDescent="0.25">
      <c r="A385" s="6" t="str">
        <f t="shared" si="36"/>
        <v>2023 ALL D90</v>
      </c>
      <c r="B385" s="7">
        <f t="shared" si="34"/>
        <v>46114</v>
      </c>
      <c r="C385" s="7">
        <f t="shared" si="35"/>
        <v>46120</v>
      </c>
      <c r="D385" s="6">
        <v>3280</v>
      </c>
      <c r="E385" s="6">
        <v>337</v>
      </c>
      <c r="F385" s="14">
        <v>4</v>
      </c>
      <c r="G385" s="15">
        <v>1</v>
      </c>
      <c r="H385" s="15">
        <v>81698</v>
      </c>
      <c r="I385" s="15" t="s">
        <v>1505</v>
      </c>
      <c r="J385" s="30">
        <v>78905512</v>
      </c>
      <c r="K385" s="30" t="s">
        <v>2832</v>
      </c>
      <c r="L385" s="30" t="s">
        <v>2835</v>
      </c>
      <c r="M385" s="15">
        <v>279900</v>
      </c>
      <c r="N385" s="9">
        <f t="shared" si="31"/>
        <v>0.9</v>
      </c>
      <c r="O385" s="8">
        <f t="shared" si="32"/>
        <v>27990</v>
      </c>
      <c r="P385" s="9" t="str">
        <f t="shared" si="33"/>
        <v>PERCENTAGE</v>
      </c>
    </row>
    <row r="386" spans="1:16" x14ac:dyDescent="0.25">
      <c r="A386" s="6" t="str">
        <f t="shared" si="36"/>
        <v>2023 ALL D90</v>
      </c>
      <c r="B386" s="7">
        <f t="shared" si="34"/>
        <v>46114</v>
      </c>
      <c r="C386" s="7">
        <f t="shared" si="35"/>
        <v>46120</v>
      </c>
      <c r="D386" s="6">
        <v>3280</v>
      </c>
      <c r="E386" s="6">
        <v>337</v>
      </c>
      <c r="F386" s="14">
        <v>4</v>
      </c>
      <c r="G386" s="15">
        <v>1</v>
      </c>
      <c r="H386" s="15">
        <v>81698</v>
      </c>
      <c r="I386" s="15" t="s">
        <v>1505</v>
      </c>
      <c r="J386" s="30">
        <v>78905521</v>
      </c>
      <c r="K386" s="30" t="s">
        <v>2832</v>
      </c>
      <c r="L386" s="30" t="s">
        <v>2836</v>
      </c>
      <c r="M386" s="15">
        <v>289900</v>
      </c>
      <c r="N386" s="9">
        <f t="shared" si="31"/>
        <v>0.9</v>
      </c>
      <c r="O386" s="8">
        <f t="shared" si="32"/>
        <v>28990</v>
      </c>
      <c r="P386" s="9" t="str">
        <f t="shared" si="33"/>
        <v>PERCENTAGE</v>
      </c>
    </row>
    <row r="387" spans="1:16" x14ac:dyDescent="0.25">
      <c r="A387" s="6" t="str">
        <f t="shared" si="36"/>
        <v>2023 ALL D90</v>
      </c>
      <c r="B387" s="7">
        <f t="shared" si="34"/>
        <v>46114</v>
      </c>
      <c r="C387" s="7">
        <f t="shared" si="35"/>
        <v>46120</v>
      </c>
      <c r="D387" s="6">
        <v>3280</v>
      </c>
      <c r="E387" s="6">
        <v>337</v>
      </c>
      <c r="F387" s="14">
        <v>4</v>
      </c>
      <c r="G387" s="15">
        <v>1</v>
      </c>
      <c r="H387" s="15">
        <v>81698</v>
      </c>
      <c r="I387" s="15" t="s">
        <v>1505</v>
      </c>
      <c r="J387" s="30">
        <v>78905530</v>
      </c>
      <c r="K387" s="30" t="s">
        <v>2832</v>
      </c>
      <c r="L387" s="30" t="s">
        <v>2837</v>
      </c>
      <c r="M387" s="15">
        <v>289900</v>
      </c>
      <c r="N387" s="9">
        <f t="shared" ref="N387:N450" si="37">N386</f>
        <v>0.9</v>
      </c>
      <c r="O387" s="8">
        <f t="shared" ref="O387:O450" si="38">M387-((90*M387)/100)</f>
        <v>28990</v>
      </c>
      <c r="P387" s="9" t="str">
        <f t="shared" ref="P387:P450" si="39">P386</f>
        <v>PERCENTAGE</v>
      </c>
    </row>
    <row r="388" spans="1:16" x14ac:dyDescent="0.25">
      <c r="A388" s="6" t="str">
        <f t="shared" si="36"/>
        <v>2023 ALL D90</v>
      </c>
      <c r="B388" s="7">
        <f t="shared" si="34"/>
        <v>46114</v>
      </c>
      <c r="C388" s="7">
        <f t="shared" si="35"/>
        <v>46120</v>
      </c>
      <c r="D388" s="6">
        <v>3280</v>
      </c>
      <c r="E388" s="6">
        <v>337</v>
      </c>
      <c r="F388" s="14">
        <v>4</v>
      </c>
      <c r="G388" s="15">
        <v>1</v>
      </c>
      <c r="H388" s="15">
        <v>81698</v>
      </c>
      <c r="I388" s="15" t="s">
        <v>1505</v>
      </c>
      <c r="J388" s="30">
        <v>78905549</v>
      </c>
      <c r="K388" s="30" t="s">
        <v>2832</v>
      </c>
      <c r="L388" s="30" t="s">
        <v>2838</v>
      </c>
      <c r="M388" s="15">
        <v>289900</v>
      </c>
      <c r="N388" s="9">
        <f t="shared" si="37"/>
        <v>0.9</v>
      </c>
      <c r="O388" s="8">
        <f t="shared" si="38"/>
        <v>28990</v>
      </c>
      <c r="P388" s="9" t="str">
        <f t="shared" si="39"/>
        <v>PERCENTAGE</v>
      </c>
    </row>
    <row r="389" spans="1:16" x14ac:dyDescent="0.25">
      <c r="A389" s="6" t="str">
        <f t="shared" si="36"/>
        <v>2023 ALL D90</v>
      </c>
      <c r="B389" s="7">
        <f t="shared" si="34"/>
        <v>46114</v>
      </c>
      <c r="C389" s="7">
        <f t="shared" si="35"/>
        <v>46120</v>
      </c>
      <c r="D389" s="6">
        <v>3280</v>
      </c>
      <c r="E389" s="6">
        <v>337</v>
      </c>
      <c r="F389" s="14">
        <v>4</v>
      </c>
      <c r="G389" s="15">
        <v>1</v>
      </c>
      <c r="H389" s="15">
        <v>81698</v>
      </c>
      <c r="I389" s="15" t="s">
        <v>1505</v>
      </c>
      <c r="J389" s="30">
        <v>80793728</v>
      </c>
      <c r="K389" s="30" t="s">
        <v>3070</v>
      </c>
      <c r="L389" s="30" t="s">
        <v>3071</v>
      </c>
      <c r="M389" s="15">
        <v>289900</v>
      </c>
      <c r="N389" s="9">
        <f t="shared" si="37"/>
        <v>0.9</v>
      </c>
      <c r="O389" s="8">
        <f t="shared" si="38"/>
        <v>28990</v>
      </c>
      <c r="P389" s="9" t="str">
        <f t="shared" si="39"/>
        <v>PERCENTAGE</v>
      </c>
    </row>
    <row r="390" spans="1:16" x14ac:dyDescent="0.25">
      <c r="A390" s="6" t="str">
        <f t="shared" si="36"/>
        <v>2023 ALL D90</v>
      </c>
      <c r="B390" s="7">
        <f t="shared" si="34"/>
        <v>46114</v>
      </c>
      <c r="C390" s="7">
        <f t="shared" si="35"/>
        <v>46120</v>
      </c>
      <c r="D390" s="6">
        <v>3280</v>
      </c>
      <c r="E390" s="6">
        <v>337</v>
      </c>
      <c r="F390" s="14">
        <v>4</v>
      </c>
      <c r="G390" s="15">
        <v>1</v>
      </c>
      <c r="H390" s="15">
        <v>81698</v>
      </c>
      <c r="I390" s="15" t="s">
        <v>1505</v>
      </c>
      <c r="J390" s="30">
        <v>80793737</v>
      </c>
      <c r="K390" s="30" t="s">
        <v>3070</v>
      </c>
      <c r="L390" s="30" t="s">
        <v>3072</v>
      </c>
      <c r="M390" s="15">
        <v>289900</v>
      </c>
      <c r="N390" s="9">
        <f t="shared" si="37"/>
        <v>0.9</v>
      </c>
      <c r="O390" s="8">
        <f t="shared" si="38"/>
        <v>28990</v>
      </c>
      <c r="P390" s="9" t="str">
        <f t="shared" si="39"/>
        <v>PERCENTAGE</v>
      </c>
    </row>
    <row r="391" spans="1:16" x14ac:dyDescent="0.25">
      <c r="A391" s="6" t="str">
        <f t="shared" si="36"/>
        <v>2023 ALL D90</v>
      </c>
      <c r="B391" s="7">
        <f t="shared" si="34"/>
        <v>46114</v>
      </c>
      <c r="C391" s="7">
        <f t="shared" si="35"/>
        <v>46120</v>
      </c>
      <c r="D391" s="6">
        <v>3280</v>
      </c>
      <c r="E391" s="6">
        <v>337</v>
      </c>
      <c r="F391" s="14">
        <v>4</v>
      </c>
      <c r="G391" s="15">
        <v>1</v>
      </c>
      <c r="H391" s="15">
        <v>81698</v>
      </c>
      <c r="I391" s="15" t="s">
        <v>1505</v>
      </c>
      <c r="J391" s="30">
        <v>80793746</v>
      </c>
      <c r="K391" s="30" t="s">
        <v>3070</v>
      </c>
      <c r="L391" s="30" t="s">
        <v>3073</v>
      </c>
      <c r="M391" s="15">
        <v>289900</v>
      </c>
      <c r="N391" s="9">
        <f t="shared" si="37"/>
        <v>0.9</v>
      </c>
      <c r="O391" s="8">
        <f t="shared" si="38"/>
        <v>28990</v>
      </c>
      <c r="P391" s="9" t="str">
        <f t="shared" si="39"/>
        <v>PERCENTAGE</v>
      </c>
    </row>
    <row r="392" spans="1:16" x14ac:dyDescent="0.25">
      <c r="A392" s="6" t="str">
        <f t="shared" si="36"/>
        <v>2023 ALL D90</v>
      </c>
      <c r="B392" s="7">
        <f t="shared" si="34"/>
        <v>46114</v>
      </c>
      <c r="C392" s="7">
        <f t="shared" si="35"/>
        <v>46120</v>
      </c>
      <c r="D392" s="6">
        <v>3280</v>
      </c>
      <c r="E392" s="6">
        <v>337</v>
      </c>
      <c r="F392" s="14">
        <v>4</v>
      </c>
      <c r="G392" s="15">
        <v>1</v>
      </c>
      <c r="H392" s="15">
        <v>81698</v>
      </c>
      <c r="I392" s="15" t="s">
        <v>1505</v>
      </c>
      <c r="J392" s="30">
        <v>80793755</v>
      </c>
      <c r="K392" s="30" t="s">
        <v>3070</v>
      </c>
      <c r="L392" s="30" t="s">
        <v>3074</v>
      </c>
      <c r="M392" s="15">
        <v>299900</v>
      </c>
      <c r="N392" s="9">
        <f t="shared" si="37"/>
        <v>0.9</v>
      </c>
      <c r="O392" s="8">
        <f t="shared" si="38"/>
        <v>29990</v>
      </c>
      <c r="P392" s="9" t="str">
        <f t="shared" si="39"/>
        <v>PERCENTAGE</v>
      </c>
    </row>
    <row r="393" spans="1:16" x14ac:dyDescent="0.25">
      <c r="A393" s="6" t="str">
        <f t="shared" si="36"/>
        <v>2023 ALL D90</v>
      </c>
      <c r="B393" s="7">
        <f t="shared" si="34"/>
        <v>46114</v>
      </c>
      <c r="C393" s="7">
        <f t="shared" si="35"/>
        <v>46120</v>
      </c>
      <c r="D393" s="6">
        <v>3280</v>
      </c>
      <c r="E393" s="6">
        <v>337</v>
      </c>
      <c r="F393" s="14">
        <v>4</v>
      </c>
      <c r="G393" s="15">
        <v>1</v>
      </c>
      <c r="H393" s="15">
        <v>81698</v>
      </c>
      <c r="I393" s="15" t="s">
        <v>1505</v>
      </c>
      <c r="J393" s="30">
        <v>80793764</v>
      </c>
      <c r="K393" s="30" t="s">
        <v>3070</v>
      </c>
      <c r="L393" s="30" t="s">
        <v>3075</v>
      </c>
      <c r="M393" s="15">
        <v>299900</v>
      </c>
      <c r="N393" s="9">
        <f t="shared" si="37"/>
        <v>0.9</v>
      </c>
      <c r="O393" s="8">
        <f t="shared" si="38"/>
        <v>29990</v>
      </c>
      <c r="P393" s="9" t="str">
        <f t="shared" si="39"/>
        <v>PERCENTAGE</v>
      </c>
    </row>
    <row r="394" spans="1:16" x14ac:dyDescent="0.25">
      <c r="A394" s="6" t="str">
        <f t="shared" si="36"/>
        <v>2023 ALL D90</v>
      </c>
      <c r="B394" s="7">
        <f t="shared" si="34"/>
        <v>46114</v>
      </c>
      <c r="C394" s="7">
        <f t="shared" si="35"/>
        <v>46120</v>
      </c>
      <c r="D394" s="6">
        <v>3280</v>
      </c>
      <c r="E394" s="6">
        <v>337</v>
      </c>
      <c r="F394" s="14">
        <v>4</v>
      </c>
      <c r="G394" s="15">
        <v>1</v>
      </c>
      <c r="H394" s="15">
        <v>81698</v>
      </c>
      <c r="I394" s="15" t="s">
        <v>1505</v>
      </c>
      <c r="J394" s="30">
        <v>80793773</v>
      </c>
      <c r="K394" s="30" t="s">
        <v>3070</v>
      </c>
      <c r="L394" s="30" t="s">
        <v>3076</v>
      </c>
      <c r="M394" s="15">
        <v>299900</v>
      </c>
      <c r="N394" s="9">
        <f t="shared" si="37"/>
        <v>0.9</v>
      </c>
      <c r="O394" s="8">
        <f t="shared" si="38"/>
        <v>29990</v>
      </c>
      <c r="P394" s="9" t="str">
        <f t="shared" si="39"/>
        <v>PERCENTAGE</v>
      </c>
    </row>
    <row r="395" spans="1:16" x14ac:dyDescent="0.25">
      <c r="A395" s="6" t="str">
        <f t="shared" si="36"/>
        <v>2023 ALL D90</v>
      </c>
      <c r="B395" s="7">
        <f t="shared" si="34"/>
        <v>46114</v>
      </c>
      <c r="C395" s="7">
        <f t="shared" si="35"/>
        <v>46120</v>
      </c>
      <c r="D395" s="6">
        <v>3280</v>
      </c>
      <c r="E395" s="6">
        <v>337</v>
      </c>
      <c r="F395" s="14">
        <v>4</v>
      </c>
      <c r="G395" s="15">
        <v>1</v>
      </c>
      <c r="H395" s="15">
        <v>81698</v>
      </c>
      <c r="I395" s="15" t="s">
        <v>1505</v>
      </c>
      <c r="J395" s="30">
        <v>80793782</v>
      </c>
      <c r="K395" s="30" t="s">
        <v>3077</v>
      </c>
      <c r="L395" s="30" t="s">
        <v>3078</v>
      </c>
      <c r="M395" s="15">
        <v>269900</v>
      </c>
      <c r="N395" s="9">
        <f t="shared" si="37"/>
        <v>0.9</v>
      </c>
      <c r="O395" s="8">
        <f t="shared" si="38"/>
        <v>26990</v>
      </c>
      <c r="P395" s="9" t="str">
        <f t="shared" si="39"/>
        <v>PERCENTAGE</v>
      </c>
    </row>
    <row r="396" spans="1:16" x14ac:dyDescent="0.25">
      <c r="A396" s="6" t="str">
        <f t="shared" si="36"/>
        <v>2023 ALL D90</v>
      </c>
      <c r="B396" s="7">
        <f t="shared" ref="B396:B459" si="40">B395</f>
        <v>46114</v>
      </c>
      <c r="C396" s="7">
        <f t="shared" ref="C396:C459" si="41">C395</f>
        <v>46120</v>
      </c>
      <c r="D396" s="6">
        <v>3280</v>
      </c>
      <c r="E396" s="6">
        <v>337</v>
      </c>
      <c r="F396" s="14">
        <v>4</v>
      </c>
      <c r="G396" s="15">
        <v>1</v>
      </c>
      <c r="H396" s="15">
        <v>81698</v>
      </c>
      <c r="I396" s="15" t="s">
        <v>1505</v>
      </c>
      <c r="J396" s="30">
        <v>80793791</v>
      </c>
      <c r="K396" s="30" t="s">
        <v>3077</v>
      </c>
      <c r="L396" s="30" t="s">
        <v>3079</v>
      </c>
      <c r="M396" s="15">
        <v>269900</v>
      </c>
      <c r="N396" s="9">
        <f t="shared" si="37"/>
        <v>0.9</v>
      </c>
      <c r="O396" s="8">
        <f t="shared" si="38"/>
        <v>26990</v>
      </c>
      <c r="P396" s="9" t="str">
        <f t="shared" si="39"/>
        <v>PERCENTAGE</v>
      </c>
    </row>
    <row r="397" spans="1:16" x14ac:dyDescent="0.25">
      <c r="A397" s="6" t="str">
        <f t="shared" ref="A397:A460" si="42">A396</f>
        <v>2023 ALL D90</v>
      </c>
      <c r="B397" s="7">
        <f t="shared" si="40"/>
        <v>46114</v>
      </c>
      <c r="C397" s="7">
        <f t="shared" si="41"/>
        <v>46120</v>
      </c>
      <c r="D397" s="6">
        <v>3280</v>
      </c>
      <c r="E397" s="6">
        <v>337</v>
      </c>
      <c r="F397" s="14">
        <v>4</v>
      </c>
      <c r="G397" s="15">
        <v>1</v>
      </c>
      <c r="H397" s="15">
        <v>81698</v>
      </c>
      <c r="I397" s="15" t="s">
        <v>1505</v>
      </c>
      <c r="J397" s="30">
        <v>80793808</v>
      </c>
      <c r="K397" s="30" t="s">
        <v>3077</v>
      </c>
      <c r="L397" s="30" t="s">
        <v>3080</v>
      </c>
      <c r="M397" s="15">
        <v>269900</v>
      </c>
      <c r="N397" s="9">
        <f t="shared" si="37"/>
        <v>0.9</v>
      </c>
      <c r="O397" s="8">
        <f t="shared" si="38"/>
        <v>26990</v>
      </c>
      <c r="P397" s="9" t="str">
        <f t="shared" si="39"/>
        <v>PERCENTAGE</v>
      </c>
    </row>
    <row r="398" spans="1:16" x14ac:dyDescent="0.25">
      <c r="A398" s="6" t="str">
        <f t="shared" si="42"/>
        <v>2023 ALL D90</v>
      </c>
      <c r="B398" s="7">
        <f t="shared" si="40"/>
        <v>46114</v>
      </c>
      <c r="C398" s="7">
        <f t="shared" si="41"/>
        <v>46120</v>
      </c>
      <c r="D398" s="6">
        <v>3280</v>
      </c>
      <c r="E398" s="6">
        <v>337</v>
      </c>
      <c r="F398" s="14">
        <v>4</v>
      </c>
      <c r="G398" s="15">
        <v>1</v>
      </c>
      <c r="H398" s="15">
        <v>81698</v>
      </c>
      <c r="I398" s="15" t="s">
        <v>1505</v>
      </c>
      <c r="J398" s="30">
        <v>80793817</v>
      </c>
      <c r="K398" s="30" t="s">
        <v>3077</v>
      </c>
      <c r="L398" s="30" t="s">
        <v>3081</v>
      </c>
      <c r="M398" s="15">
        <v>279900</v>
      </c>
      <c r="N398" s="9">
        <f t="shared" si="37"/>
        <v>0.9</v>
      </c>
      <c r="O398" s="8">
        <f t="shared" si="38"/>
        <v>27990</v>
      </c>
      <c r="P398" s="9" t="str">
        <f t="shared" si="39"/>
        <v>PERCENTAGE</v>
      </c>
    </row>
    <row r="399" spans="1:16" x14ac:dyDescent="0.25">
      <c r="A399" s="6" t="str">
        <f t="shared" si="42"/>
        <v>2023 ALL D90</v>
      </c>
      <c r="B399" s="7">
        <f t="shared" si="40"/>
        <v>46114</v>
      </c>
      <c r="C399" s="7">
        <f t="shared" si="41"/>
        <v>46120</v>
      </c>
      <c r="D399" s="6">
        <v>3280</v>
      </c>
      <c r="E399" s="6">
        <v>337</v>
      </c>
      <c r="F399" s="14">
        <v>4</v>
      </c>
      <c r="G399" s="15">
        <v>1</v>
      </c>
      <c r="H399" s="15">
        <v>81698</v>
      </c>
      <c r="I399" s="15" t="s">
        <v>1505</v>
      </c>
      <c r="J399" s="30">
        <v>80793826</v>
      </c>
      <c r="K399" s="30" t="s">
        <v>3077</v>
      </c>
      <c r="L399" s="30" t="s">
        <v>3082</v>
      </c>
      <c r="M399" s="15">
        <v>279900</v>
      </c>
      <c r="N399" s="9">
        <f t="shared" si="37"/>
        <v>0.9</v>
      </c>
      <c r="O399" s="8">
        <f t="shared" si="38"/>
        <v>27990</v>
      </c>
      <c r="P399" s="9" t="str">
        <f t="shared" si="39"/>
        <v>PERCENTAGE</v>
      </c>
    </row>
    <row r="400" spans="1:16" x14ac:dyDescent="0.25">
      <c r="A400" s="6" t="str">
        <f t="shared" si="42"/>
        <v>2023 ALL D90</v>
      </c>
      <c r="B400" s="7">
        <f t="shared" si="40"/>
        <v>46114</v>
      </c>
      <c r="C400" s="7">
        <f t="shared" si="41"/>
        <v>46120</v>
      </c>
      <c r="D400" s="6">
        <v>3280</v>
      </c>
      <c r="E400" s="6">
        <v>337</v>
      </c>
      <c r="F400" s="14">
        <v>4</v>
      </c>
      <c r="G400" s="15">
        <v>1</v>
      </c>
      <c r="H400" s="15">
        <v>81698</v>
      </c>
      <c r="I400" s="15" t="s">
        <v>1505</v>
      </c>
      <c r="J400" s="30">
        <v>80793835</v>
      </c>
      <c r="K400" s="30" t="s">
        <v>3077</v>
      </c>
      <c r="L400" s="30" t="s">
        <v>3083</v>
      </c>
      <c r="M400" s="15">
        <v>279900</v>
      </c>
      <c r="N400" s="9">
        <f t="shared" si="37"/>
        <v>0.9</v>
      </c>
      <c r="O400" s="8">
        <f t="shared" si="38"/>
        <v>27990</v>
      </c>
      <c r="P400" s="9" t="str">
        <f t="shared" si="39"/>
        <v>PERCENTAGE</v>
      </c>
    </row>
    <row r="401" spans="1:16" x14ac:dyDescent="0.25">
      <c r="A401" s="6" t="str">
        <f t="shared" si="42"/>
        <v>2023 ALL D90</v>
      </c>
      <c r="B401" s="7">
        <f t="shared" si="40"/>
        <v>46114</v>
      </c>
      <c r="C401" s="7">
        <f t="shared" si="41"/>
        <v>46120</v>
      </c>
      <c r="D401" s="6">
        <v>3280</v>
      </c>
      <c r="E401" s="6">
        <v>337</v>
      </c>
      <c r="F401" s="14">
        <v>4</v>
      </c>
      <c r="G401" s="15">
        <v>1</v>
      </c>
      <c r="H401" s="15">
        <v>81698</v>
      </c>
      <c r="I401" s="15" t="s">
        <v>1505</v>
      </c>
      <c r="J401" s="30">
        <v>80793666</v>
      </c>
      <c r="K401" s="30" t="s">
        <v>3063</v>
      </c>
      <c r="L401" s="30" t="s">
        <v>3064</v>
      </c>
      <c r="M401" s="15">
        <v>279900</v>
      </c>
      <c r="N401" s="9">
        <f t="shared" si="37"/>
        <v>0.9</v>
      </c>
      <c r="O401" s="8">
        <f t="shared" si="38"/>
        <v>27990</v>
      </c>
      <c r="P401" s="9" t="str">
        <f t="shared" si="39"/>
        <v>PERCENTAGE</v>
      </c>
    </row>
    <row r="402" spans="1:16" x14ac:dyDescent="0.25">
      <c r="A402" s="6" t="str">
        <f t="shared" si="42"/>
        <v>2023 ALL D90</v>
      </c>
      <c r="B402" s="7">
        <f t="shared" si="40"/>
        <v>46114</v>
      </c>
      <c r="C402" s="7">
        <f t="shared" si="41"/>
        <v>46120</v>
      </c>
      <c r="D402" s="6">
        <v>3280</v>
      </c>
      <c r="E402" s="6">
        <v>337</v>
      </c>
      <c r="F402" s="14">
        <v>4</v>
      </c>
      <c r="G402" s="15">
        <v>1</v>
      </c>
      <c r="H402" s="15">
        <v>81698</v>
      </c>
      <c r="I402" s="15" t="s">
        <v>1505</v>
      </c>
      <c r="J402" s="30">
        <v>80793675</v>
      </c>
      <c r="K402" s="30" t="s">
        <v>3063</v>
      </c>
      <c r="L402" s="30" t="s">
        <v>3065</v>
      </c>
      <c r="M402" s="15">
        <v>279900</v>
      </c>
      <c r="N402" s="9">
        <f t="shared" si="37"/>
        <v>0.9</v>
      </c>
      <c r="O402" s="8">
        <f t="shared" si="38"/>
        <v>27990</v>
      </c>
      <c r="P402" s="9" t="str">
        <f t="shared" si="39"/>
        <v>PERCENTAGE</v>
      </c>
    </row>
    <row r="403" spans="1:16" x14ac:dyDescent="0.25">
      <c r="A403" s="6" t="str">
        <f t="shared" si="42"/>
        <v>2023 ALL D90</v>
      </c>
      <c r="B403" s="7">
        <f t="shared" si="40"/>
        <v>46114</v>
      </c>
      <c r="C403" s="7">
        <f t="shared" si="41"/>
        <v>46120</v>
      </c>
      <c r="D403" s="6">
        <v>3280</v>
      </c>
      <c r="E403" s="6">
        <v>337</v>
      </c>
      <c r="F403" s="14">
        <v>4</v>
      </c>
      <c r="G403" s="15">
        <v>1</v>
      </c>
      <c r="H403" s="15">
        <v>81698</v>
      </c>
      <c r="I403" s="15" t="s">
        <v>1505</v>
      </c>
      <c r="J403" s="30">
        <v>80793684</v>
      </c>
      <c r="K403" s="30" t="s">
        <v>3063</v>
      </c>
      <c r="L403" s="30" t="s">
        <v>3066</v>
      </c>
      <c r="M403" s="15">
        <v>279900</v>
      </c>
      <c r="N403" s="9">
        <f t="shared" si="37"/>
        <v>0.9</v>
      </c>
      <c r="O403" s="8">
        <f t="shared" si="38"/>
        <v>27990</v>
      </c>
      <c r="P403" s="9" t="str">
        <f t="shared" si="39"/>
        <v>PERCENTAGE</v>
      </c>
    </row>
    <row r="404" spans="1:16" x14ac:dyDescent="0.25">
      <c r="A404" s="6" t="str">
        <f t="shared" si="42"/>
        <v>2023 ALL D90</v>
      </c>
      <c r="B404" s="7">
        <f t="shared" si="40"/>
        <v>46114</v>
      </c>
      <c r="C404" s="7">
        <f t="shared" si="41"/>
        <v>46120</v>
      </c>
      <c r="D404" s="6">
        <v>3280</v>
      </c>
      <c r="E404" s="6">
        <v>337</v>
      </c>
      <c r="F404" s="14">
        <v>4</v>
      </c>
      <c r="G404" s="15">
        <v>1</v>
      </c>
      <c r="H404" s="15">
        <v>81698</v>
      </c>
      <c r="I404" s="15" t="s">
        <v>1505</v>
      </c>
      <c r="J404" s="30">
        <v>80793693</v>
      </c>
      <c r="K404" s="30" t="s">
        <v>3063</v>
      </c>
      <c r="L404" s="30" t="s">
        <v>3067</v>
      </c>
      <c r="M404" s="15">
        <v>289900</v>
      </c>
      <c r="N404" s="9">
        <f t="shared" si="37"/>
        <v>0.9</v>
      </c>
      <c r="O404" s="8">
        <f t="shared" si="38"/>
        <v>28990</v>
      </c>
      <c r="P404" s="9" t="str">
        <f t="shared" si="39"/>
        <v>PERCENTAGE</v>
      </c>
    </row>
    <row r="405" spans="1:16" x14ac:dyDescent="0.25">
      <c r="A405" s="6" t="str">
        <f t="shared" si="42"/>
        <v>2023 ALL D90</v>
      </c>
      <c r="B405" s="7">
        <f t="shared" si="40"/>
        <v>46114</v>
      </c>
      <c r="C405" s="7">
        <f t="shared" si="41"/>
        <v>46120</v>
      </c>
      <c r="D405" s="6">
        <v>3280</v>
      </c>
      <c r="E405" s="6">
        <v>337</v>
      </c>
      <c r="F405" s="14">
        <v>4</v>
      </c>
      <c r="G405" s="15">
        <v>1</v>
      </c>
      <c r="H405" s="15">
        <v>81698</v>
      </c>
      <c r="I405" s="15" t="s">
        <v>1505</v>
      </c>
      <c r="J405" s="30">
        <v>80793700</v>
      </c>
      <c r="K405" s="30" t="s">
        <v>3063</v>
      </c>
      <c r="L405" s="30" t="s">
        <v>3068</v>
      </c>
      <c r="M405" s="15">
        <v>289900</v>
      </c>
      <c r="N405" s="9">
        <f t="shared" si="37"/>
        <v>0.9</v>
      </c>
      <c r="O405" s="8">
        <f t="shared" si="38"/>
        <v>28990</v>
      </c>
      <c r="P405" s="9" t="str">
        <f t="shared" si="39"/>
        <v>PERCENTAGE</v>
      </c>
    </row>
    <row r="406" spans="1:16" x14ac:dyDescent="0.25">
      <c r="A406" s="6" t="str">
        <f t="shared" si="42"/>
        <v>2023 ALL D90</v>
      </c>
      <c r="B406" s="7">
        <f t="shared" si="40"/>
        <v>46114</v>
      </c>
      <c r="C406" s="7">
        <f t="shared" si="41"/>
        <v>46120</v>
      </c>
      <c r="D406" s="6">
        <v>3280</v>
      </c>
      <c r="E406" s="6">
        <v>337</v>
      </c>
      <c r="F406" s="14">
        <v>4</v>
      </c>
      <c r="G406" s="15">
        <v>1</v>
      </c>
      <c r="H406" s="15">
        <v>81698</v>
      </c>
      <c r="I406" s="15" t="s">
        <v>1505</v>
      </c>
      <c r="J406" s="30">
        <v>80793719</v>
      </c>
      <c r="K406" s="30" t="s">
        <v>3063</v>
      </c>
      <c r="L406" s="30" t="s">
        <v>3069</v>
      </c>
      <c r="M406" s="15">
        <v>289900</v>
      </c>
      <c r="N406" s="9">
        <f t="shared" si="37"/>
        <v>0.9</v>
      </c>
      <c r="O406" s="8">
        <f t="shared" si="38"/>
        <v>28990</v>
      </c>
      <c r="P406" s="9" t="str">
        <f t="shared" si="39"/>
        <v>PERCENTAGE</v>
      </c>
    </row>
    <row r="407" spans="1:16" x14ac:dyDescent="0.25">
      <c r="A407" s="6" t="str">
        <f t="shared" si="42"/>
        <v>2023 ALL D90</v>
      </c>
      <c r="B407" s="7">
        <f t="shared" si="40"/>
        <v>46114</v>
      </c>
      <c r="C407" s="7">
        <f t="shared" si="41"/>
        <v>46120</v>
      </c>
      <c r="D407" s="6">
        <v>3280</v>
      </c>
      <c r="E407" s="6">
        <v>337</v>
      </c>
      <c r="F407" s="14">
        <v>4</v>
      </c>
      <c r="G407" s="15">
        <v>2</v>
      </c>
      <c r="H407" s="15">
        <v>81306</v>
      </c>
      <c r="I407" s="15" t="s">
        <v>1505</v>
      </c>
      <c r="J407" s="30">
        <v>79049473</v>
      </c>
      <c r="K407" s="30" t="s">
        <v>2947</v>
      </c>
      <c r="L407" s="30" t="s">
        <v>2948</v>
      </c>
      <c r="M407" s="15">
        <v>239900</v>
      </c>
      <c r="N407" s="9">
        <f t="shared" si="37"/>
        <v>0.9</v>
      </c>
      <c r="O407" s="8">
        <f t="shared" si="38"/>
        <v>23990</v>
      </c>
      <c r="P407" s="9" t="str">
        <f t="shared" si="39"/>
        <v>PERCENTAGE</v>
      </c>
    </row>
    <row r="408" spans="1:16" x14ac:dyDescent="0.25">
      <c r="A408" s="6" t="str">
        <f t="shared" si="42"/>
        <v>2023 ALL D90</v>
      </c>
      <c r="B408" s="7">
        <f t="shared" si="40"/>
        <v>46114</v>
      </c>
      <c r="C408" s="7">
        <f t="shared" si="41"/>
        <v>46120</v>
      </c>
      <c r="D408" s="6">
        <v>3280</v>
      </c>
      <c r="E408" s="6">
        <v>337</v>
      </c>
      <c r="F408" s="14">
        <v>4</v>
      </c>
      <c r="G408" s="15">
        <v>2</v>
      </c>
      <c r="H408" s="15">
        <v>81306</v>
      </c>
      <c r="I408" s="15" t="s">
        <v>1505</v>
      </c>
      <c r="J408" s="30">
        <v>79049482</v>
      </c>
      <c r="K408" s="30" t="s">
        <v>2947</v>
      </c>
      <c r="L408" s="30" t="s">
        <v>2949</v>
      </c>
      <c r="M408" s="15">
        <v>239900</v>
      </c>
      <c r="N408" s="9">
        <f t="shared" si="37"/>
        <v>0.9</v>
      </c>
      <c r="O408" s="8">
        <f t="shared" si="38"/>
        <v>23990</v>
      </c>
      <c r="P408" s="9" t="str">
        <f t="shared" si="39"/>
        <v>PERCENTAGE</v>
      </c>
    </row>
    <row r="409" spans="1:16" x14ac:dyDescent="0.25">
      <c r="A409" s="6" t="str">
        <f t="shared" si="42"/>
        <v>2023 ALL D90</v>
      </c>
      <c r="B409" s="7">
        <f t="shared" si="40"/>
        <v>46114</v>
      </c>
      <c r="C409" s="7">
        <f t="shared" si="41"/>
        <v>46120</v>
      </c>
      <c r="D409" s="6">
        <v>3280</v>
      </c>
      <c r="E409" s="6">
        <v>337</v>
      </c>
      <c r="F409" s="14">
        <v>4</v>
      </c>
      <c r="G409" s="15">
        <v>2</v>
      </c>
      <c r="H409" s="15">
        <v>81306</v>
      </c>
      <c r="I409" s="15" t="s">
        <v>1505</v>
      </c>
      <c r="J409" s="30">
        <v>79049491</v>
      </c>
      <c r="K409" s="30" t="s">
        <v>2947</v>
      </c>
      <c r="L409" s="30" t="s">
        <v>2950</v>
      </c>
      <c r="M409" s="15">
        <v>239900</v>
      </c>
      <c r="N409" s="9">
        <f t="shared" si="37"/>
        <v>0.9</v>
      </c>
      <c r="O409" s="8">
        <f t="shared" si="38"/>
        <v>23990</v>
      </c>
      <c r="P409" s="9" t="str">
        <f t="shared" si="39"/>
        <v>PERCENTAGE</v>
      </c>
    </row>
    <row r="410" spans="1:16" x14ac:dyDescent="0.25">
      <c r="A410" s="6" t="str">
        <f t="shared" si="42"/>
        <v>2023 ALL D90</v>
      </c>
      <c r="B410" s="7">
        <f t="shared" si="40"/>
        <v>46114</v>
      </c>
      <c r="C410" s="7">
        <f t="shared" si="41"/>
        <v>46120</v>
      </c>
      <c r="D410" s="6">
        <v>3280</v>
      </c>
      <c r="E410" s="6">
        <v>337</v>
      </c>
      <c r="F410" s="14">
        <v>4</v>
      </c>
      <c r="G410" s="15">
        <v>2</v>
      </c>
      <c r="H410" s="15">
        <v>81306</v>
      </c>
      <c r="I410" s="15" t="s">
        <v>1505</v>
      </c>
      <c r="J410" s="30">
        <v>79049508</v>
      </c>
      <c r="K410" s="30" t="s">
        <v>2947</v>
      </c>
      <c r="L410" s="30" t="s">
        <v>2951</v>
      </c>
      <c r="M410" s="15">
        <v>249900</v>
      </c>
      <c r="N410" s="9">
        <f t="shared" si="37"/>
        <v>0.9</v>
      </c>
      <c r="O410" s="8">
        <f t="shared" si="38"/>
        <v>24990</v>
      </c>
      <c r="P410" s="9" t="str">
        <f t="shared" si="39"/>
        <v>PERCENTAGE</v>
      </c>
    </row>
    <row r="411" spans="1:16" x14ac:dyDescent="0.25">
      <c r="A411" s="6" t="str">
        <f t="shared" si="42"/>
        <v>2023 ALL D90</v>
      </c>
      <c r="B411" s="7">
        <f t="shared" si="40"/>
        <v>46114</v>
      </c>
      <c r="C411" s="7">
        <f t="shared" si="41"/>
        <v>46120</v>
      </c>
      <c r="D411" s="6">
        <v>3280</v>
      </c>
      <c r="E411" s="6">
        <v>337</v>
      </c>
      <c r="F411" s="14">
        <v>4</v>
      </c>
      <c r="G411" s="15">
        <v>2</v>
      </c>
      <c r="H411" s="15">
        <v>81306</v>
      </c>
      <c r="I411" s="15" t="s">
        <v>1505</v>
      </c>
      <c r="J411" s="30">
        <v>79049517</v>
      </c>
      <c r="K411" s="30" t="s">
        <v>2947</v>
      </c>
      <c r="L411" s="30" t="s">
        <v>2952</v>
      </c>
      <c r="M411" s="15">
        <v>249900</v>
      </c>
      <c r="N411" s="9">
        <f t="shared" si="37"/>
        <v>0.9</v>
      </c>
      <c r="O411" s="8">
        <f t="shared" si="38"/>
        <v>24990</v>
      </c>
      <c r="P411" s="9" t="str">
        <f t="shared" si="39"/>
        <v>PERCENTAGE</v>
      </c>
    </row>
    <row r="412" spans="1:16" x14ac:dyDescent="0.25">
      <c r="A412" s="6" t="str">
        <f t="shared" si="42"/>
        <v>2023 ALL D90</v>
      </c>
      <c r="B412" s="7">
        <f t="shared" si="40"/>
        <v>46114</v>
      </c>
      <c r="C412" s="7">
        <f t="shared" si="41"/>
        <v>46120</v>
      </c>
      <c r="D412" s="6">
        <v>3280</v>
      </c>
      <c r="E412" s="6">
        <v>337</v>
      </c>
      <c r="F412" s="14">
        <v>4</v>
      </c>
      <c r="G412" s="15">
        <v>2</v>
      </c>
      <c r="H412" s="15">
        <v>81622</v>
      </c>
      <c r="I412" s="15" t="s">
        <v>1505</v>
      </c>
      <c r="J412" s="30">
        <v>79668616</v>
      </c>
      <c r="K412" s="30" t="s">
        <v>2987</v>
      </c>
      <c r="L412" s="30" t="s">
        <v>2988</v>
      </c>
      <c r="M412" s="15">
        <v>239900</v>
      </c>
      <c r="N412" s="9">
        <f t="shared" si="37"/>
        <v>0.9</v>
      </c>
      <c r="O412" s="8">
        <f t="shared" si="38"/>
        <v>23990</v>
      </c>
      <c r="P412" s="9" t="str">
        <f t="shared" si="39"/>
        <v>PERCENTAGE</v>
      </c>
    </row>
    <row r="413" spans="1:16" x14ac:dyDescent="0.25">
      <c r="A413" s="6" t="str">
        <f t="shared" si="42"/>
        <v>2023 ALL D90</v>
      </c>
      <c r="B413" s="7">
        <f t="shared" si="40"/>
        <v>46114</v>
      </c>
      <c r="C413" s="7">
        <f t="shared" si="41"/>
        <v>46120</v>
      </c>
      <c r="D413" s="6">
        <v>3280</v>
      </c>
      <c r="E413" s="6">
        <v>337</v>
      </c>
      <c r="F413" s="14">
        <v>4</v>
      </c>
      <c r="G413" s="15">
        <v>2</v>
      </c>
      <c r="H413" s="15">
        <v>81622</v>
      </c>
      <c r="I413" s="15" t="s">
        <v>1505</v>
      </c>
      <c r="J413" s="30">
        <v>79668625</v>
      </c>
      <c r="K413" s="30" t="s">
        <v>2987</v>
      </c>
      <c r="L413" s="30" t="s">
        <v>2989</v>
      </c>
      <c r="M413" s="15">
        <v>239900</v>
      </c>
      <c r="N413" s="9">
        <f t="shared" si="37"/>
        <v>0.9</v>
      </c>
      <c r="O413" s="8">
        <f t="shared" si="38"/>
        <v>23990</v>
      </c>
      <c r="P413" s="9" t="str">
        <f t="shared" si="39"/>
        <v>PERCENTAGE</v>
      </c>
    </row>
    <row r="414" spans="1:16" x14ac:dyDescent="0.25">
      <c r="A414" s="6" t="str">
        <f t="shared" si="42"/>
        <v>2023 ALL D90</v>
      </c>
      <c r="B414" s="7">
        <f t="shared" si="40"/>
        <v>46114</v>
      </c>
      <c r="C414" s="7">
        <f t="shared" si="41"/>
        <v>46120</v>
      </c>
      <c r="D414" s="6">
        <v>3280</v>
      </c>
      <c r="E414" s="6">
        <v>337</v>
      </c>
      <c r="F414" s="14">
        <v>4</v>
      </c>
      <c r="G414" s="15">
        <v>2</v>
      </c>
      <c r="H414" s="15">
        <v>81622</v>
      </c>
      <c r="I414" s="15" t="s">
        <v>1505</v>
      </c>
      <c r="J414" s="30">
        <v>79668634</v>
      </c>
      <c r="K414" s="30" t="s">
        <v>2987</v>
      </c>
      <c r="L414" s="30" t="s">
        <v>2990</v>
      </c>
      <c r="M414" s="15">
        <v>239900</v>
      </c>
      <c r="N414" s="9">
        <f t="shared" si="37"/>
        <v>0.9</v>
      </c>
      <c r="O414" s="8">
        <f t="shared" si="38"/>
        <v>23990</v>
      </c>
      <c r="P414" s="9" t="str">
        <f t="shared" si="39"/>
        <v>PERCENTAGE</v>
      </c>
    </row>
    <row r="415" spans="1:16" x14ac:dyDescent="0.25">
      <c r="A415" s="6" t="str">
        <f t="shared" si="42"/>
        <v>2023 ALL D90</v>
      </c>
      <c r="B415" s="7">
        <f t="shared" si="40"/>
        <v>46114</v>
      </c>
      <c r="C415" s="7">
        <f t="shared" si="41"/>
        <v>46120</v>
      </c>
      <c r="D415" s="6">
        <v>3280</v>
      </c>
      <c r="E415" s="6">
        <v>337</v>
      </c>
      <c r="F415" s="14">
        <v>4</v>
      </c>
      <c r="G415" s="15">
        <v>2</v>
      </c>
      <c r="H415" s="15">
        <v>81622</v>
      </c>
      <c r="I415" s="15" t="s">
        <v>1505</v>
      </c>
      <c r="J415" s="30">
        <v>79668643</v>
      </c>
      <c r="K415" s="30" t="s">
        <v>2987</v>
      </c>
      <c r="L415" s="30" t="s">
        <v>2991</v>
      </c>
      <c r="M415" s="15">
        <v>249900</v>
      </c>
      <c r="N415" s="9">
        <f t="shared" si="37"/>
        <v>0.9</v>
      </c>
      <c r="O415" s="8">
        <f t="shared" si="38"/>
        <v>24990</v>
      </c>
      <c r="P415" s="9" t="str">
        <f t="shared" si="39"/>
        <v>PERCENTAGE</v>
      </c>
    </row>
    <row r="416" spans="1:16" x14ac:dyDescent="0.25">
      <c r="A416" s="6" t="str">
        <f t="shared" si="42"/>
        <v>2023 ALL D90</v>
      </c>
      <c r="B416" s="7">
        <f t="shared" si="40"/>
        <v>46114</v>
      </c>
      <c r="C416" s="7">
        <f t="shared" si="41"/>
        <v>46120</v>
      </c>
      <c r="D416" s="6">
        <v>3280</v>
      </c>
      <c r="E416" s="6">
        <v>337</v>
      </c>
      <c r="F416" s="14">
        <v>4</v>
      </c>
      <c r="G416" s="15">
        <v>2</v>
      </c>
      <c r="H416" s="15">
        <v>81622</v>
      </c>
      <c r="I416" s="15" t="s">
        <v>1505</v>
      </c>
      <c r="J416" s="30">
        <v>79668652</v>
      </c>
      <c r="K416" s="30" t="s">
        <v>2987</v>
      </c>
      <c r="L416" s="30" t="s">
        <v>2992</v>
      </c>
      <c r="M416" s="15">
        <v>249900</v>
      </c>
      <c r="N416" s="9">
        <f t="shared" si="37"/>
        <v>0.9</v>
      </c>
      <c r="O416" s="8">
        <f t="shared" si="38"/>
        <v>24990</v>
      </c>
      <c r="P416" s="9" t="str">
        <f t="shared" si="39"/>
        <v>PERCENTAGE</v>
      </c>
    </row>
    <row r="417" spans="1:16" x14ac:dyDescent="0.25">
      <c r="A417" s="6" t="str">
        <f t="shared" si="42"/>
        <v>2023 ALL D90</v>
      </c>
      <c r="B417" s="7">
        <f t="shared" si="40"/>
        <v>46114</v>
      </c>
      <c r="C417" s="7">
        <f t="shared" si="41"/>
        <v>46120</v>
      </c>
      <c r="D417" s="6">
        <v>3280</v>
      </c>
      <c r="E417" s="6">
        <v>337</v>
      </c>
      <c r="F417" s="14">
        <v>4</v>
      </c>
      <c r="G417" s="15">
        <v>2</v>
      </c>
      <c r="H417" s="15">
        <v>81622</v>
      </c>
      <c r="I417" s="15" t="s">
        <v>1505</v>
      </c>
      <c r="J417" s="30">
        <v>79668661</v>
      </c>
      <c r="K417" s="30" t="s">
        <v>2987</v>
      </c>
      <c r="L417" s="30" t="s">
        <v>2993</v>
      </c>
      <c r="M417" s="15">
        <v>249900</v>
      </c>
      <c r="N417" s="9">
        <f t="shared" si="37"/>
        <v>0.9</v>
      </c>
      <c r="O417" s="8">
        <f t="shared" si="38"/>
        <v>24990</v>
      </c>
      <c r="P417" s="9" t="str">
        <f t="shared" si="39"/>
        <v>PERCENTAGE</v>
      </c>
    </row>
    <row r="418" spans="1:16" x14ac:dyDescent="0.25">
      <c r="A418" s="6" t="str">
        <f t="shared" si="42"/>
        <v>2023 ALL D90</v>
      </c>
      <c r="B418" s="7">
        <f t="shared" si="40"/>
        <v>46114</v>
      </c>
      <c r="C418" s="7">
        <f t="shared" si="41"/>
        <v>46120</v>
      </c>
      <c r="D418" s="6">
        <v>3280</v>
      </c>
      <c r="E418" s="6">
        <v>337</v>
      </c>
      <c r="F418" s="14">
        <v>4</v>
      </c>
      <c r="G418" s="15">
        <v>2</v>
      </c>
      <c r="H418" s="15">
        <v>81306</v>
      </c>
      <c r="I418" s="15" t="s">
        <v>1505</v>
      </c>
      <c r="J418" s="30">
        <v>78925938</v>
      </c>
      <c r="K418" s="30" t="s">
        <v>2933</v>
      </c>
      <c r="L418" s="30" t="s">
        <v>2934</v>
      </c>
      <c r="M418" s="15">
        <v>239900</v>
      </c>
      <c r="N418" s="9">
        <f t="shared" si="37"/>
        <v>0.9</v>
      </c>
      <c r="O418" s="8">
        <f t="shared" si="38"/>
        <v>23990</v>
      </c>
      <c r="P418" s="9" t="str">
        <f t="shared" si="39"/>
        <v>PERCENTAGE</v>
      </c>
    </row>
    <row r="419" spans="1:16" x14ac:dyDescent="0.25">
      <c r="A419" s="6" t="str">
        <f t="shared" si="42"/>
        <v>2023 ALL D90</v>
      </c>
      <c r="B419" s="7">
        <f t="shared" si="40"/>
        <v>46114</v>
      </c>
      <c r="C419" s="7">
        <f t="shared" si="41"/>
        <v>46120</v>
      </c>
      <c r="D419" s="6">
        <v>3280</v>
      </c>
      <c r="E419" s="6">
        <v>337</v>
      </c>
      <c r="F419" s="14">
        <v>4</v>
      </c>
      <c r="G419" s="15">
        <v>2</v>
      </c>
      <c r="H419" s="15">
        <v>81306</v>
      </c>
      <c r="I419" s="15" t="s">
        <v>1505</v>
      </c>
      <c r="J419" s="30">
        <v>78925947</v>
      </c>
      <c r="K419" s="30" t="s">
        <v>2933</v>
      </c>
      <c r="L419" s="30" t="s">
        <v>2935</v>
      </c>
      <c r="M419" s="15">
        <v>239900</v>
      </c>
      <c r="N419" s="9">
        <f t="shared" si="37"/>
        <v>0.9</v>
      </c>
      <c r="O419" s="8">
        <f t="shared" si="38"/>
        <v>23990</v>
      </c>
      <c r="P419" s="9" t="str">
        <f t="shared" si="39"/>
        <v>PERCENTAGE</v>
      </c>
    </row>
    <row r="420" spans="1:16" x14ac:dyDescent="0.25">
      <c r="A420" s="6" t="str">
        <f t="shared" si="42"/>
        <v>2023 ALL D90</v>
      </c>
      <c r="B420" s="7">
        <f t="shared" si="40"/>
        <v>46114</v>
      </c>
      <c r="C420" s="7">
        <f t="shared" si="41"/>
        <v>46120</v>
      </c>
      <c r="D420" s="6">
        <v>3280</v>
      </c>
      <c r="E420" s="6">
        <v>337</v>
      </c>
      <c r="F420" s="14">
        <v>4</v>
      </c>
      <c r="G420" s="15">
        <v>2</v>
      </c>
      <c r="H420" s="15">
        <v>81306</v>
      </c>
      <c r="I420" s="15" t="s">
        <v>1505</v>
      </c>
      <c r="J420" s="30">
        <v>78925956</v>
      </c>
      <c r="K420" s="30" t="s">
        <v>2933</v>
      </c>
      <c r="L420" s="30" t="s">
        <v>2936</v>
      </c>
      <c r="M420" s="15">
        <v>239900</v>
      </c>
      <c r="N420" s="9">
        <f t="shared" si="37"/>
        <v>0.9</v>
      </c>
      <c r="O420" s="8">
        <f t="shared" si="38"/>
        <v>23990</v>
      </c>
      <c r="P420" s="9" t="str">
        <f t="shared" si="39"/>
        <v>PERCENTAGE</v>
      </c>
    </row>
    <row r="421" spans="1:16" x14ac:dyDescent="0.25">
      <c r="A421" s="6" t="str">
        <f t="shared" si="42"/>
        <v>2023 ALL D90</v>
      </c>
      <c r="B421" s="7">
        <f t="shared" si="40"/>
        <v>46114</v>
      </c>
      <c r="C421" s="7">
        <f t="shared" si="41"/>
        <v>46120</v>
      </c>
      <c r="D421" s="6">
        <v>3280</v>
      </c>
      <c r="E421" s="6">
        <v>337</v>
      </c>
      <c r="F421" s="14">
        <v>4</v>
      </c>
      <c r="G421" s="15">
        <v>2</v>
      </c>
      <c r="H421" s="15">
        <v>81306</v>
      </c>
      <c r="I421" s="15" t="s">
        <v>1505</v>
      </c>
      <c r="J421" s="30">
        <v>78925965</v>
      </c>
      <c r="K421" s="30" t="s">
        <v>2933</v>
      </c>
      <c r="L421" s="30" t="s">
        <v>2937</v>
      </c>
      <c r="M421" s="15">
        <v>249900</v>
      </c>
      <c r="N421" s="9">
        <f t="shared" si="37"/>
        <v>0.9</v>
      </c>
      <c r="O421" s="8">
        <f t="shared" si="38"/>
        <v>24990</v>
      </c>
      <c r="P421" s="9" t="str">
        <f t="shared" si="39"/>
        <v>PERCENTAGE</v>
      </c>
    </row>
    <row r="422" spans="1:16" x14ac:dyDescent="0.25">
      <c r="A422" s="6" t="str">
        <f t="shared" si="42"/>
        <v>2023 ALL D90</v>
      </c>
      <c r="B422" s="7">
        <f t="shared" si="40"/>
        <v>46114</v>
      </c>
      <c r="C422" s="7">
        <f t="shared" si="41"/>
        <v>46120</v>
      </c>
      <c r="D422" s="6">
        <v>3280</v>
      </c>
      <c r="E422" s="6">
        <v>337</v>
      </c>
      <c r="F422" s="14">
        <v>4</v>
      </c>
      <c r="G422" s="15">
        <v>2</v>
      </c>
      <c r="H422" s="15">
        <v>81306</v>
      </c>
      <c r="I422" s="15" t="s">
        <v>1505</v>
      </c>
      <c r="J422" s="30">
        <v>78925974</v>
      </c>
      <c r="K422" s="30" t="s">
        <v>2933</v>
      </c>
      <c r="L422" s="30" t="s">
        <v>2938</v>
      </c>
      <c r="M422" s="15">
        <v>249900</v>
      </c>
      <c r="N422" s="9">
        <f t="shared" si="37"/>
        <v>0.9</v>
      </c>
      <c r="O422" s="8">
        <f t="shared" si="38"/>
        <v>24990</v>
      </c>
      <c r="P422" s="9" t="str">
        <f t="shared" si="39"/>
        <v>PERCENTAGE</v>
      </c>
    </row>
    <row r="423" spans="1:16" x14ac:dyDescent="0.25">
      <c r="A423" s="6" t="str">
        <f t="shared" si="42"/>
        <v>2023 ALL D90</v>
      </c>
      <c r="B423" s="7">
        <f t="shared" si="40"/>
        <v>46114</v>
      </c>
      <c r="C423" s="7">
        <f t="shared" si="41"/>
        <v>46120</v>
      </c>
      <c r="D423" s="6">
        <v>3280</v>
      </c>
      <c r="E423" s="6">
        <v>337</v>
      </c>
      <c r="F423" s="14">
        <v>4</v>
      </c>
      <c r="G423" s="15">
        <v>2</v>
      </c>
      <c r="H423" s="15">
        <v>81306</v>
      </c>
      <c r="I423" s="15" t="s">
        <v>1505</v>
      </c>
      <c r="J423" s="30">
        <v>78925983</v>
      </c>
      <c r="K423" s="30" t="s">
        <v>2933</v>
      </c>
      <c r="L423" s="30" t="s">
        <v>2939</v>
      </c>
      <c r="M423" s="15">
        <v>249900</v>
      </c>
      <c r="N423" s="9">
        <f t="shared" si="37"/>
        <v>0.9</v>
      </c>
      <c r="O423" s="8">
        <f t="shared" si="38"/>
        <v>24990</v>
      </c>
      <c r="P423" s="9" t="str">
        <f t="shared" si="39"/>
        <v>PERCENTAGE</v>
      </c>
    </row>
    <row r="424" spans="1:16" x14ac:dyDescent="0.25">
      <c r="A424" s="6" t="str">
        <f t="shared" si="42"/>
        <v>2023 ALL D90</v>
      </c>
      <c r="B424" s="7">
        <f t="shared" si="40"/>
        <v>46114</v>
      </c>
      <c r="C424" s="7">
        <f t="shared" si="41"/>
        <v>46120</v>
      </c>
      <c r="D424" s="6">
        <v>3280</v>
      </c>
      <c r="E424" s="6">
        <v>337</v>
      </c>
      <c r="F424" s="14">
        <v>4</v>
      </c>
      <c r="G424" s="15">
        <v>2</v>
      </c>
      <c r="H424" s="15">
        <v>81622</v>
      </c>
      <c r="I424" s="15" t="s">
        <v>1505</v>
      </c>
      <c r="J424" s="30">
        <v>79668732</v>
      </c>
      <c r="K424" s="30" t="s">
        <v>3001</v>
      </c>
      <c r="L424" s="30" t="s">
        <v>3002</v>
      </c>
      <c r="M424" s="15">
        <v>239900</v>
      </c>
      <c r="N424" s="9">
        <f t="shared" si="37"/>
        <v>0.9</v>
      </c>
      <c r="O424" s="8">
        <f t="shared" si="38"/>
        <v>23990</v>
      </c>
      <c r="P424" s="9" t="str">
        <f t="shared" si="39"/>
        <v>PERCENTAGE</v>
      </c>
    </row>
    <row r="425" spans="1:16" x14ac:dyDescent="0.25">
      <c r="A425" s="6" t="str">
        <f t="shared" si="42"/>
        <v>2023 ALL D90</v>
      </c>
      <c r="B425" s="7">
        <f t="shared" si="40"/>
        <v>46114</v>
      </c>
      <c r="C425" s="7">
        <f t="shared" si="41"/>
        <v>46120</v>
      </c>
      <c r="D425" s="6">
        <v>3280</v>
      </c>
      <c r="E425" s="6">
        <v>337</v>
      </c>
      <c r="F425" s="14">
        <v>4</v>
      </c>
      <c r="G425" s="15">
        <v>2</v>
      </c>
      <c r="H425" s="15">
        <v>81622</v>
      </c>
      <c r="I425" s="15" t="s">
        <v>1505</v>
      </c>
      <c r="J425" s="30">
        <v>79668741</v>
      </c>
      <c r="K425" s="30" t="s">
        <v>3001</v>
      </c>
      <c r="L425" s="30" t="s">
        <v>3003</v>
      </c>
      <c r="M425" s="15">
        <v>239900</v>
      </c>
      <c r="N425" s="9">
        <f t="shared" si="37"/>
        <v>0.9</v>
      </c>
      <c r="O425" s="8">
        <f t="shared" si="38"/>
        <v>23990</v>
      </c>
      <c r="P425" s="9" t="str">
        <f t="shared" si="39"/>
        <v>PERCENTAGE</v>
      </c>
    </row>
    <row r="426" spans="1:16" x14ac:dyDescent="0.25">
      <c r="A426" s="6" t="str">
        <f t="shared" si="42"/>
        <v>2023 ALL D90</v>
      </c>
      <c r="B426" s="7">
        <f t="shared" si="40"/>
        <v>46114</v>
      </c>
      <c r="C426" s="7">
        <f t="shared" si="41"/>
        <v>46120</v>
      </c>
      <c r="D426" s="6">
        <v>3280</v>
      </c>
      <c r="E426" s="6">
        <v>337</v>
      </c>
      <c r="F426" s="14">
        <v>4</v>
      </c>
      <c r="G426" s="15">
        <v>2</v>
      </c>
      <c r="H426" s="15">
        <v>81622</v>
      </c>
      <c r="I426" s="15" t="s">
        <v>1505</v>
      </c>
      <c r="J426" s="30">
        <v>79668750</v>
      </c>
      <c r="K426" s="30" t="s">
        <v>3001</v>
      </c>
      <c r="L426" s="30" t="s">
        <v>3004</v>
      </c>
      <c r="M426" s="15">
        <v>239900</v>
      </c>
      <c r="N426" s="9">
        <f t="shared" si="37"/>
        <v>0.9</v>
      </c>
      <c r="O426" s="8">
        <f t="shared" si="38"/>
        <v>23990</v>
      </c>
      <c r="P426" s="9" t="str">
        <f t="shared" si="39"/>
        <v>PERCENTAGE</v>
      </c>
    </row>
    <row r="427" spans="1:16" x14ac:dyDescent="0.25">
      <c r="A427" s="6" t="str">
        <f t="shared" si="42"/>
        <v>2023 ALL D90</v>
      </c>
      <c r="B427" s="7">
        <f t="shared" si="40"/>
        <v>46114</v>
      </c>
      <c r="C427" s="7">
        <f t="shared" si="41"/>
        <v>46120</v>
      </c>
      <c r="D427" s="6">
        <v>3280</v>
      </c>
      <c r="E427" s="6">
        <v>337</v>
      </c>
      <c r="F427" s="14">
        <v>4</v>
      </c>
      <c r="G427" s="15">
        <v>2</v>
      </c>
      <c r="H427" s="15">
        <v>81622</v>
      </c>
      <c r="I427" s="15" t="s">
        <v>1505</v>
      </c>
      <c r="J427" s="30">
        <v>79668769</v>
      </c>
      <c r="K427" s="30" t="s">
        <v>3001</v>
      </c>
      <c r="L427" s="30" t="s">
        <v>3005</v>
      </c>
      <c r="M427" s="15">
        <v>249900</v>
      </c>
      <c r="N427" s="9">
        <f t="shared" si="37"/>
        <v>0.9</v>
      </c>
      <c r="O427" s="8">
        <f t="shared" si="38"/>
        <v>24990</v>
      </c>
      <c r="P427" s="9" t="str">
        <f t="shared" si="39"/>
        <v>PERCENTAGE</v>
      </c>
    </row>
    <row r="428" spans="1:16" x14ac:dyDescent="0.25">
      <c r="A428" s="6" t="str">
        <f t="shared" si="42"/>
        <v>2023 ALL D90</v>
      </c>
      <c r="B428" s="7">
        <f t="shared" si="40"/>
        <v>46114</v>
      </c>
      <c r="C428" s="7">
        <f t="shared" si="41"/>
        <v>46120</v>
      </c>
      <c r="D428" s="6">
        <v>3280</v>
      </c>
      <c r="E428" s="6">
        <v>337</v>
      </c>
      <c r="F428" s="14">
        <v>4</v>
      </c>
      <c r="G428" s="15">
        <v>2</v>
      </c>
      <c r="H428" s="15">
        <v>81622</v>
      </c>
      <c r="I428" s="15" t="s">
        <v>1505</v>
      </c>
      <c r="J428" s="30">
        <v>79668778</v>
      </c>
      <c r="K428" s="30" t="s">
        <v>3001</v>
      </c>
      <c r="L428" s="30" t="s">
        <v>3006</v>
      </c>
      <c r="M428" s="15">
        <v>249900</v>
      </c>
      <c r="N428" s="9">
        <f t="shared" si="37"/>
        <v>0.9</v>
      </c>
      <c r="O428" s="8">
        <f t="shared" si="38"/>
        <v>24990</v>
      </c>
      <c r="P428" s="9" t="str">
        <f t="shared" si="39"/>
        <v>PERCENTAGE</v>
      </c>
    </row>
    <row r="429" spans="1:16" x14ac:dyDescent="0.25">
      <c r="A429" s="6" t="str">
        <f t="shared" si="42"/>
        <v>2023 ALL D90</v>
      </c>
      <c r="B429" s="7">
        <f t="shared" si="40"/>
        <v>46114</v>
      </c>
      <c r="C429" s="7">
        <f t="shared" si="41"/>
        <v>46120</v>
      </c>
      <c r="D429" s="6">
        <v>3280</v>
      </c>
      <c r="E429" s="6">
        <v>337</v>
      </c>
      <c r="F429" s="14">
        <v>4</v>
      </c>
      <c r="G429" s="15">
        <v>2</v>
      </c>
      <c r="H429" s="15">
        <v>81622</v>
      </c>
      <c r="I429" s="15" t="s">
        <v>1505</v>
      </c>
      <c r="J429" s="30">
        <v>79668787</v>
      </c>
      <c r="K429" s="30" t="s">
        <v>3001</v>
      </c>
      <c r="L429" s="30" t="s">
        <v>3007</v>
      </c>
      <c r="M429" s="15">
        <v>249900</v>
      </c>
      <c r="N429" s="9">
        <f t="shared" si="37"/>
        <v>0.9</v>
      </c>
      <c r="O429" s="8">
        <f t="shared" si="38"/>
        <v>24990</v>
      </c>
      <c r="P429" s="9" t="str">
        <f t="shared" si="39"/>
        <v>PERCENTAGE</v>
      </c>
    </row>
    <row r="430" spans="1:16" x14ac:dyDescent="0.25">
      <c r="A430" s="6" t="str">
        <f t="shared" si="42"/>
        <v>2023 ALL D90</v>
      </c>
      <c r="B430" s="7">
        <f t="shared" si="40"/>
        <v>46114</v>
      </c>
      <c r="C430" s="7">
        <f t="shared" si="41"/>
        <v>46120</v>
      </c>
      <c r="D430" s="6">
        <v>3280</v>
      </c>
      <c r="E430" s="6">
        <v>337</v>
      </c>
      <c r="F430" s="14">
        <v>4</v>
      </c>
      <c r="G430" s="15">
        <v>2</v>
      </c>
      <c r="H430" s="15">
        <v>81306</v>
      </c>
      <c r="I430" s="15" t="s">
        <v>1505</v>
      </c>
      <c r="J430" s="30">
        <v>79669213</v>
      </c>
      <c r="K430" s="30" t="s">
        <v>3043</v>
      </c>
      <c r="L430" s="30" t="s">
        <v>3044</v>
      </c>
      <c r="M430" s="15">
        <v>239900</v>
      </c>
      <c r="N430" s="9">
        <f t="shared" si="37"/>
        <v>0.9</v>
      </c>
      <c r="O430" s="8">
        <f t="shared" si="38"/>
        <v>23990</v>
      </c>
      <c r="P430" s="9" t="str">
        <f t="shared" si="39"/>
        <v>PERCENTAGE</v>
      </c>
    </row>
    <row r="431" spans="1:16" x14ac:dyDescent="0.25">
      <c r="A431" s="6" t="str">
        <f t="shared" si="42"/>
        <v>2023 ALL D90</v>
      </c>
      <c r="B431" s="7">
        <f t="shared" si="40"/>
        <v>46114</v>
      </c>
      <c r="C431" s="7">
        <f t="shared" si="41"/>
        <v>46120</v>
      </c>
      <c r="D431" s="6">
        <v>3280</v>
      </c>
      <c r="E431" s="6">
        <v>337</v>
      </c>
      <c r="F431" s="14">
        <v>4</v>
      </c>
      <c r="G431" s="15">
        <v>2</v>
      </c>
      <c r="H431" s="15">
        <v>81306</v>
      </c>
      <c r="I431" s="15" t="s">
        <v>1505</v>
      </c>
      <c r="J431" s="30">
        <v>79669222</v>
      </c>
      <c r="K431" s="30" t="s">
        <v>3043</v>
      </c>
      <c r="L431" s="30" t="s">
        <v>3045</v>
      </c>
      <c r="M431" s="15">
        <v>239900</v>
      </c>
      <c r="N431" s="9">
        <f t="shared" si="37"/>
        <v>0.9</v>
      </c>
      <c r="O431" s="8">
        <f t="shared" si="38"/>
        <v>23990</v>
      </c>
      <c r="P431" s="9" t="str">
        <f t="shared" si="39"/>
        <v>PERCENTAGE</v>
      </c>
    </row>
    <row r="432" spans="1:16" x14ac:dyDescent="0.25">
      <c r="A432" s="6" t="str">
        <f t="shared" si="42"/>
        <v>2023 ALL D90</v>
      </c>
      <c r="B432" s="7">
        <f t="shared" si="40"/>
        <v>46114</v>
      </c>
      <c r="C432" s="7">
        <f t="shared" si="41"/>
        <v>46120</v>
      </c>
      <c r="D432" s="6">
        <v>3280</v>
      </c>
      <c r="E432" s="6">
        <v>337</v>
      </c>
      <c r="F432" s="14">
        <v>4</v>
      </c>
      <c r="G432" s="15">
        <v>2</v>
      </c>
      <c r="H432" s="15">
        <v>81306</v>
      </c>
      <c r="I432" s="15" t="s">
        <v>1505</v>
      </c>
      <c r="J432" s="30">
        <v>79669231</v>
      </c>
      <c r="K432" s="30" t="s">
        <v>3043</v>
      </c>
      <c r="L432" s="30" t="s">
        <v>3046</v>
      </c>
      <c r="M432" s="15">
        <v>239900</v>
      </c>
      <c r="N432" s="9">
        <f t="shared" si="37"/>
        <v>0.9</v>
      </c>
      <c r="O432" s="8">
        <f t="shared" si="38"/>
        <v>23990</v>
      </c>
      <c r="P432" s="9" t="str">
        <f t="shared" si="39"/>
        <v>PERCENTAGE</v>
      </c>
    </row>
    <row r="433" spans="1:16" x14ac:dyDescent="0.25">
      <c r="A433" s="6" t="str">
        <f t="shared" si="42"/>
        <v>2023 ALL D90</v>
      </c>
      <c r="B433" s="7">
        <f t="shared" si="40"/>
        <v>46114</v>
      </c>
      <c r="C433" s="7">
        <f t="shared" si="41"/>
        <v>46120</v>
      </c>
      <c r="D433" s="6">
        <v>3280</v>
      </c>
      <c r="E433" s="6">
        <v>337</v>
      </c>
      <c r="F433" s="14">
        <v>4</v>
      </c>
      <c r="G433" s="15">
        <v>2</v>
      </c>
      <c r="H433" s="15">
        <v>81306</v>
      </c>
      <c r="I433" s="15" t="s">
        <v>1505</v>
      </c>
      <c r="J433" s="30">
        <v>79669240</v>
      </c>
      <c r="K433" s="30" t="s">
        <v>3043</v>
      </c>
      <c r="L433" s="30" t="s">
        <v>3047</v>
      </c>
      <c r="M433" s="15">
        <v>249900</v>
      </c>
      <c r="N433" s="9">
        <f t="shared" si="37"/>
        <v>0.9</v>
      </c>
      <c r="O433" s="8">
        <f t="shared" si="38"/>
        <v>24990</v>
      </c>
      <c r="P433" s="9" t="str">
        <f t="shared" si="39"/>
        <v>PERCENTAGE</v>
      </c>
    </row>
    <row r="434" spans="1:16" x14ac:dyDescent="0.25">
      <c r="A434" s="6" t="str">
        <f t="shared" si="42"/>
        <v>2023 ALL D90</v>
      </c>
      <c r="B434" s="7">
        <f t="shared" si="40"/>
        <v>46114</v>
      </c>
      <c r="C434" s="7">
        <f t="shared" si="41"/>
        <v>46120</v>
      </c>
      <c r="D434" s="6">
        <v>3280</v>
      </c>
      <c r="E434" s="6">
        <v>337</v>
      </c>
      <c r="F434" s="14">
        <v>4</v>
      </c>
      <c r="G434" s="15">
        <v>2</v>
      </c>
      <c r="H434" s="15">
        <v>81306</v>
      </c>
      <c r="I434" s="15" t="s">
        <v>1505</v>
      </c>
      <c r="J434" s="30">
        <v>79669259</v>
      </c>
      <c r="K434" s="30" t="s">
        <v>3043</v>
      </c>
      <c r="L434" s="30" t="s">
        <v>3048</v>
      </c>
      <c r="M434" s="15">
        <v>249900</v>
      </c>
      <c r="N434" s="9">
        <f t="shared" si="37"/>
        <v>0.9</v>
      </c>
      <c r="O434" s="8">
        <f t="shared" si="38"/>
        <v>24990</v>
      </c>
      <c r="P434" s="9" t="str">
        <f t="shared" si="39"/>
        <v>PERCENTAGE</v>
      </c>
    </row>
    <row r="435" spans="1:16" x14ac:dyDescent="0.25">
      <c r="A435" s="6" t="str">
        <f t="shared" si="42"/>
        <v>2023 ALL D90</v>
      </c>
      <c r="B435" s="7">
        <f t="shared" si="40"/>
        <v>46114</v>
      </c>
      <c r="C435" s="7">
        <f t="shared" si="41"/>
        <v>46120</v>
      </c>
      <c r="D435" s="6">
        <v>3280</v>
      </c>
      <c r="E435" s="6">
        <v>337</v>
      </c>
      <c r="F435" s="14">
        <v>4</v>
      </c>
      <c r="G435" s="15">
        <v>2</v>
      </c>
      <c r="H435" s="15">
        <v>81306</v>
      </c>
      <c r="I435" s="15" t="s">
        <v>1505</v>
      </c>
      <c r="J435" s="30">
        <v>79669268</v>
      </c>
      <c r="K435" s="30" t="s">
        <v>3043</v>
      </c>
      <c r="L435" s="30" t="s">
        <v>3049</v>
      </c>
      <c r="M435" s="15">
        <v>249900</v>
      </c>
      <c r="N435" s="9">
        <f t="shared" si="37"/>
        <v>0.9</v>
      </c>
      <c r="O435" s="8">
        <f t="shared" si="38"/>
        <v>24990</v>
      </c>
      <c r="P435" s="9" t="str">
        <f t="shared" si="39"/>
        <v>PERCENTAGE</v>
      </c>
    </row>
    <row r="436" spans="1:16" x14ac:dyDescent="0.25">
      <c r="A436" s="6" t="str">
        <f t="shared" si="42"/>
        <v>2023 ALL D90</v>
      </c>
      <c r="B436" s="7">
        <f t="shared" si="40"/>
        <v>46114</v>
      </c>
      <c r="C436" s="7">
        <f t="shared" si="41"/>
        <v>46120</v>
      </c>
      <c r="D436" s="6">
        <v>3280</v>
      </c>
      <c r="E436" s="6">
        <v>337</v>
      </c>
      <c r="F436" s="14">
        <v>4</v>
      </c>
      <c r="G436" s="15">
        <v>2</v>
      </c>
      <c r="H436" s="15">
        <v>81622</v>
      </c>
      <c r="I436" s="15" t="s">
        <v>1505</v>
      </c>
      <c r="J436" s="30">
        <v>79668974</v>
      </c>
      <c r="K436" s="30" t="s">
        <v>3022</v>
      </c>
      <c r="L436" s="30" t="s">
        <v>3023</v>
      </c>
      <c r="M436" s="15">
        <v>239900</v>
      </c>
      <c r="N436" s="9">
        <f t="shared" si="37"/>
        <v>0.9</v>
      </c>
      <c r="O436" s="8">
        <f t="shared" si="38"/>
        <v>23990</v>
      </c>
      <c r="P436" s="9" t="str">
        <f t="shared" si="39"/>
        <v>PERCENTAGE</v>
      </c>
    </row>
    <row r="437" spans="1:16" x14ac:dyDescent="0.25">
      <c r="A437" s="6" t="str">
        <f t="shared" si="42"/>
        <v>2023 ALL D90</v>
      </c>
      <c r="B437" s="7">
        <f t="shared" si="40"/>
        <v>46114</v>
      </c>
      <c r="C437" s="7">
        <f t="shared" si="41"/>
        <v>46120</v>
      </c>
      <c r="D437" s="6">
        <v>3280</v>
      </c>
      <c r="E437" s="6">
        <v>337</v>
      </c>
      <c r="F437" s="14">
        <v>4</v>
      </c>
      <c r="G437" s="15">
        <v>2</v>
      </c>
      <c r="H437" s="15">
        <v>81622</v>
      </c>
      <c r="I437" s="15" t="s">
        <v>1505</v>
      </c>
      <c r="J437" s="30">
        <v>79668983</v>
      </c>
      <c r="K437" s="30" t="s">
        <v>3022</v>
      </c>
      <c r="L437" s="30" t="s">
        <v>3024</v>
      </c>
      <c r="M437" s="15">
        <v>239900</v>
      </c>
      <c r="N437" s="9">
        <f t="shared" si="37"/>
        <v>0.9</v>
      </c>
      <c r="O437" s="8">
        <f t="shared" si="38"/>
        <v>23990</v>
      </c>
      <c r="P437" s="9" t="str">
        <f t="shared" si="39"/>
        <v>PERCENTAGE</v>
      </c>
    </row>
    <row r="438" spans="1:16" x14ac:dyDescent="0.25">
      <c r="A438" s="6" t="str">
        <f t="shared" si="42"/>
        <v>2023 ALL D90</v>
      </c>
      <c r="B438" s="7">
        <f t="shared" si="40"/>
        <v>46114</v>
      </c>
      <c r="C438" s="7">
        <f t="shared" si="41"/>
        <v>46120</v>
      </c>
      <c r="D438" s="6">
        <v>3280</v>
      </c>
      <c r="E438" s="6">
        <v>337</v>
      </c>
      <c r="F438" s="14">
        <v>4</v>
      </c>
      <c r="G438" s="15">
        <v>2</v>
      </c>
      <c r="H438" s="15">
        <v>81622</v>
      </c>
      <c r="I438" s="15" t="s">
        <v>1505</v>
      </c>
      <c r="J438" s="30">
        <v>79668992</v>
      </c>
      <c r="K438" s="30" t="s">
        <v>3022</v>
      </c>
      <c r="L438" s="30" t="s">
        <v>3025</v>
      </c>
      <c r="M438" s="15">
        <v>239900</v>
      </c>
      <c r="N438" s="9">
        <f t="shared" si="37"/>
        <v>0.9</v>
      </c>
      <c r="O438" s="8">
        <f t="shared" si="38"/>
        <v>23990</v>
      </c>
      <c r="P438" s="9" t="str">
        <f t="shared" si="39"/>
        <v>PERCENTAGE</v>
      </c>
    </row>
    <row r="439" spans="1:16" x14ac:dyDescent="0.25">
      <c r="A439" s="6" t="str">
        <f t="shared" si="42"/>
        <v>2023 ALL D90</v>
      </c>
      <c r="B439" s="7">
        <f t="shared" si="40"/>
        <v>46114</v>
      </c>
      <c r="C439" s="7">
        <f t="shared" si="41"/>
        <v>46120</v>
      </c>
      <c r="D439" s="6">
        <v>3280</v>
      </c>
      <c r="E439" s="6">
        <v>337</v>
      </c>
      <c r="F439" s="14">
        <v>4</v>
      </c>
      <c r="G439" s="15">
        <v>2</v>
      </c>
      <c r="H439" s="15">
        <v>81622</v>
      </c>
      <c r="I439" s="15" t="s">
        <v>1505</v>
      </c>
      <c r="J439" s="30">
        <v>79669008</v>
      </c>
      <c r="K439" s="30" t="s">
        <v>3022</v>
      </c>
      <c r="L439" s="30" t="s">
        <v>3026</v>
      </c>
      <c r="M439" s="15">
        <v>249900</v>
      </c>
      <c r="N439" s="9">
        <f t="shared" si="37"/>
        <v>0.9</v>
      </c>
      <c r="O439" s="8">
        <f t="shared" si="38"/>
        <v>24990</v>
      </c>
      <c r="P439" s="9" t="str">
        <f t="shared" si="39"/>
        <v>PERCENTAGE</v>
      </c>
    </row>
    <row r="440" spans="1:16" x14ac:dyDescent="0.25">
      <c r="A440" s="6" t="str">
        <f t="shared" si="42"/>
        <v>2023 ALL D90</v>
      </c>
      <c r="B440" s="7">
        <f t="shared" si="40"/>
        <v>46114</v>
      </c>
      <c r="C440" s="7">
        <f t="shared" si="41"/>
        <v>46120</v>
      </c>
      <c r="D440" s="6">
        <v>3280</v>
      </c>
      <c r="E440" s="6">
        <v>337</v>
      </c>
      <c r="F440" s="14">
        <v>4</v>
      </c>
      <c r="G440" s="15">
        <v>2</v>
      </c>
      <c r="H440" s="15">
        <v>81622</v>
      </c>
      <c r="I440" s="15" t="s">
        <v>1505</v>
      </c>
      <c r="J440" s="30">
        <v>79669017</v>
      </c>
      <c r="K440" s="30" t="s">
        <v>3022</v>
      </c>
      <c r="L440" s="30" t="s">
        <v>3027</v>
      </c>
      <c r="M440" s="15">
        <v>249900</v>
      </c>
      <c r="N440" s="9">
        <f t="shared" si="37"/>
        <v>0.9</v>
      </c>
      <c r="O440" s="8">
        <f t="shared" si="38"/>
        <v>24990</v>
      </c>
      <c r="P440" s="9" t="str">
        <f t="shared" si="39"/>
        <v>PERCENTAGE</v>
      </c>
    </row>
    <row r="441" spans="1:16" x14ac:dyDescent="0.25">
      <c r="A441" s="6" t="str">
        <f t="shared" si="42"/>
        <v>2023 ALL D90</v>
      </c>
      <c r="B441" s="7">
        <f t="shared" si="40"/>
        <v>46114</v>
      </c>
      <c r="C441" s="7">
        <f t="shared" si="41"/>
        <v>46120</v>
      </c>
      <c r="D441" s="6">
        <v>3280</v>
      </c>
      <c r="E441" s="6">
        <v>337</v>
      </c>
      <c r="F441" s="14">
        <v>4</v>
      </c>
      <c r="G441" s="15">
        <v>2</v>
      </c>
      <c r="H441" s="15">
        <v>81622</v>
      </c>
      <c r="I441" s="15" t="s">
        <v>1505</v>
      </c>
      <c r="J441" s="30">
        <v>79669026</v>
      </c>
      <c r="K441" s="30" t="s">
        <v>3022</v>
      </c>
      <c r="L441" s="30" t="s">
        <v>3028</v>
      </c>
      <c r="M441" s="15">
        <v>249900</v>
      </c>
      <c r="N441" s="9">
        <f t="shared" si="37"/>
        <v>0.9</v>
      </c>
      <c r="O441" s="8">
        <f t="shared" si="38"/>
        <v>24990</v>
      </c>
      <c r="P441" s="9" t="str">
        <f t="shared" si="39"/>
        <v>PERCENTAGE</v>
      </c>
    </row>
    <row r="442" spans="1:16" x14ac:dyDescent="0.25">
      <c r="A442" s="6" t="str">
        <f t="shared" si="42"/>
        <v>2023 ALL D90</v>
      </c>
      <c r="B442" s="7">
        <f t="shared" si="40"/>
        <v>46114</v>
      </c>
      <c r="C442" s="7">
        <f t="shared" si="41"/>
        <v>46120</v>
      </c>
      <c r="D442" s="6">
        <v>3280</v>
      </c>
      <c r="E442" s="6">
        <v>337</v>
      </c>
      <c r="F442" s="14">
        <v>4</v>
      </c>
      <c r="G442" s="15">
        <v>2</v>
      </c>
      <c r="H442" s="15">
        <v>81622</v>
      </c>
      <c r="I442" s="15" t="s">
        <v>1505</v>
      </c>
      <c r="J442" s="30">
        <v>79668796</v>
      </c>
      <c r="K442" s="30" t="s">
        <v>3008</v>
      </c>
      <c r="L442" s="30" t="s">
        <v>3009</v>
      </c>
      <c r="M442" s="15">
        <v>239900</v>
      </c>
      <c r="N442" s="9">
        <f t="shared" si="37"/>
        <v>0.9</v>
      </c>
      <c r="O442" s="8">
        <f t="shared" si="38"/>
        <v>23990</v>
      </c>
      <c r="P442" s="9" t="str">
        <f t="shared" si="39"/>
        <v>PERCENTAGE</v>
      </c>
    </row>
    <row r="443" spans="1:16" x14ac:dyDescent="0.25">
      <c r="A443" s="6" t="str">
        <f t="shared" si="42"/>
        <v>2023 ALL D90</v>
      </c>
      <c r="B443" s="7">
        <f t="shared" si="40"/>
        <v>46114</v>
      </c>
      <c r="C443" s="7">
        <f t="shared" si="41"/>
        <v>46120</v>
      </c>
      <c r="D443" s="6">
        <v>3280</v>
      </c>
      <c r="E443" s="6">
        <v>337</v>
      </c>
      <c r="F443" s="14">
        <v>4</v>
      </c>
      <c r="G443" s="15">
        <v>2</v>
      </c>
      <c r="H443" s="15">
        <v>81622</v>
      </c>
      <c r="I443" s="15" t="s">
        <v>1505</v>
      </c>
      <c r="J443" s="30">
        <v>79668803</v>
      </c>
      <c r="K443" s="30" t="s">
        <v>3008</v>
      </c>
      <c r="L443" s="30" t="s">
        <v>3010</v>
      </c>
      <c r="M443" s="15">
        <v>239900</v>
      </c>
      <c r="N443" s="9">
        <f t="shared" si="37"/>
        <v>0.9</v>
      </c>
      <c r="O443" s="8">
        <f t="shared" si="38"/>
        <v>23990</v>
      </c>
      <c r="P443" s="9" t="str">
        <f t="shared" si="39"/>
        <v>PERCENTAGE</v>
      </c>
    </row>
    <row r="444" spans="1:16" x14ac:dyDescent="0.25">
      <c r="A444" s="6" t="str">
        <f t="shared" si="42"/>
        <v>2023 ALL D90</v>
      </c>
      <c r="B444" s="7">
        <f t="shared" si="40"/>
        <v>46114</v>
      </c>
      <c r="C444" s="7">
        <f t="shared" si="41"/>
        <v>46120</v>
      </c>
      <c r="D444" s="6">
        <v>3280</v>
      </c>
      <c r="E444" s="6">
        <v>337</v>
      </c>
      <c r="F444" s="14">
        <v>4</v>
      </c>
      <c r="G444" s="15">
        <v>2</v>
      </c>
      <c r="H444" s="15">
        <v>81622</v>
      </c>
      <c r="I444" s="15" t="s">
        <v>1505</v>
      </c>
      <c r="J444" s="30">
        <v>79668812</v>
      </c>
      <c r="K444" s="30" t="s">
        <v>3008</v>
      </c>
      <c r="L444" s="30" t="s">
        <v>3011</v>
      </c>
      <c r="M444" s="15">
        <v>239900</v>
      </c>
      <c r="N444" s="9">
        <f t="shared" si="37"/>
        <v>0.9</v>
      </c>
      <c r="O444" s="8">
        <f t="shared" si="38"/>
        <v>23990</v>
      </c>
      <c r="P444" s="9" t="str">
        <f t="shared" si="39"/>
        <v>PERCENTAGE</v>
      </c>
    </row>
    <row r="445" spans="1:16" x14ac:dyDescent="0.25">
      <c r="A445" s="6" t="str">
        <f t="shared" si="42"/>
        <v>2023 ALL D90</v>
      </c>
      <c r="B445" s="7">
        <f t="shared" si="40"/>
        <v>46114</v>
      </c>
      <c r="C445" s="7">
        <f t="shared" si="41"/>
        <v>46120</v>
      </c>
      <c r="D445" s="6">
        <v>3280</v>
      </c>
      <c r="E445" s="6">
        <v>337</v>
      </c>
      <c r="F445" s="14">
        <v>4</v>
      </c>
      <c r="G445" s="15">
        <v>2</v>
      </c>
      <c r="H445" s="15">
        <v>81622</v>
      </c>
      <c r="I445" s="15" t="s">
        <v>1505</v>
      </c>
      <c r="J445" s="30">
        <v>79668821</v>
      </c>
      <c r="K445" s="30" t="s">
        <v>3008</v>
      </c>
      <c r="L445" s="30" t="s">
        <v>3012</v>
      </c>
      <c r="M445" s="15">
        <v>249900</v>
      </c>
      <c r="N445" s="9">
        <f t="shared" si="37"/>
        <v>0.9</v>
      </c>
      <c r="O445" s="8">
        <f t="shared" si="38"/>
        <v>24990</v>
      </c>
      <c r="P445" s="9" t="str">
        <f t="shared" si="39"/>
        <v>PERCENTAGE</v>
      </c>
    </row>
    <row r="446" spans="1:16" x14ac:dyDescent="0.25">
      <c r="A446" s="6" t="str">
        <f t="shared" si="42"/>
        <v>2023 ALL D90</v>
      </c>
      <c r="B446" s="7">
        <f t="shared" si="40"/>
        <v>46114</v>
      </c>
      <c r="C446" s="7">
        <f t="shared" si="41"/>
        <v>46120</v>
      </c>
      <c r="D446" s="6">
        <v>3280</v>
      </c>
      <c r="E446" s="6">
        <v>337</v>
      </c>
      <c r="F446" s="14">
        <v>4</v>
      </c>
      <c r="G446" s="15">
        <v>2</v>
      </c>
      <c r="H446" s="15">
        <v>81622</v>
      </c>
      <c r="I446" s="15" t="s">
        <v>1505</v>
      </c>
      <c r="J446" s="30">
        <v>79668830</v>
      </c>
      <c r="K446" s="30" t="s">
        <v>3008</v>
      </c>
      <c r="L446" s="30" t="s">
        <v>3013</v>
      </c>
      <c r="M446" s="15">
        <v>249900</v>
      </c>
      <c r="N446" s="9">
        <f t="shared" si="37"/>
        <v>0.9</v>
      </c>
      <c r="O446" s="8">
        <f t="shared" si="38"/>
        <v>24990</v>
      </c>
      <c r="P446" s="9" t="str">
        <f t="shared" si="39"/>
        <v>PERCENTAGE</v>
      </c>
    </row>
    <row r="447" spans="1:16" x14ac:dyDescent="0.25">
      <c r="A447" s="6" t="str">
        <f t="shared" si="42"/>
        <v>2023 ALL D90</v>
      </c>
      <c r="B447" s="7">
        <f t="shared" si="40"/>
        <v>46114</v>
      </c>
      <c r="C447" s="7">
        <f t="shared" si="41"/>
        <v>46120</v>
      </c>
      <c r="D447" s="6">
        <v>3280</v>
      </c>
      <c r="E447" s="6">
        <v>337</v>
      </c>
      <c r="F447" s="14">
        <v>4</v>
      </c>
      <c r="G447" s="15">
        <v>2</v>
      </c>
      <c r="H447" s="15">
        <v>81622</v>
      </c>
      <c r="I447" s="15" t="s">
        <v>1505</v>
      </c>
      <c r="J447" s="30">
        <v>79668849</v>
      </c>
      <c r="K447" s="30" t="s">
        <v>3008</v>
      </c>
      <c r="L447" s="30" t="s">
        <v>3014</v>
      </c>
      <c r="M447" s="15">
        <v>249900</v>
      </c>
      <c r="N447" s="9">
        <f t="shared" si="37"/>
        <v>0.9</v>
      </c>
      <c r="O447" s="8">
        <f t="shared" si="38"/>
        <v>24990</v>
      </c>
      <c r="P447" s="9" t="str">
        <f t="shared" si="39"/>
        <v>PERCENTAGE</v>
      </c>
    </row>
    <row r="448" spans="1:16" x14ac:dyDescent="0.25">
      <c r="A448" s="6" t="str">
        <f t="shared" si="42"/>
        <v>2023 ALL D90</v>
      </c>
      <c r="B448" s="7">
        <f t="shared" si="40"/>
        <v>46114</v>
      </c>
      <c r="C448" s="7">
        <f t="shared" si="41"/>
        <v>46120</v>
      </c>
      <c r="D448" s="6">
        <v>3280</v>
      </c>
      <c r="E448" s="6">
        <v>337</v>
      </c>
      <c r="F448" s="14">
        <v>4</v>
      </c>
      <c r="G448" s="15">
        <v>2</v>
      </c>
      <c r="H448" s="15">
        <v>81306</v>
      </c>
      <c r="I448" s="15" t="s">
        <v>1505</v>
      </c>
      <c r="J448" s="30">
        <v>80793602</v>
      </c>
      <c r="K448" s="30" t="s">
        <v>3057</v>
      </c>
      <c r="L448" s="30" t="s">
        <v>3058</v>
      </c>
      <c r="M448" s="15">
        <v>239900</v>
      </c>
      <c r="N448" s="9">
        <f t="shared" si="37"/>
        <v>0.9</v>
      </c>
      <c r="O448" s="8">
        <f t="shared" si="38"/>
        <v>23990</v>
      </c>
      <c r="P448" s="9" t="str">
        <f t="shared" si="39"/>
        <v>PERCENTAGE</v>
      </c>
    </row>
    <row r="449" spans="1:16" x14ac:dyDescent="0.25">
      <c r="A449" s="6" t="str">
        <f t="shared" si="42"/>
        <v>2023 ALL D90</v>
      </c>
      <c r="B449" s="7">
        <f t="shared" si="40"/>
        <v>46114</v>
      </c>
      <c r="C449" s="7">
        <f t="shared" si="41"/>
        <v>46120</v>
      </c>
      <c r="D449" s="6">
        <v>3280</v>
      </c>
      <c r="E449" s="6">
        <v>337</v>
      </c>
      <c r="F449" s="14">
        <v>4</v>
      </c>
      <c r="G449" s="15">
        <v>2</v>
      </c>
      <c r="H449" s="15">
        <v>81306</v>
      </c>
      <c r="I449" s="15" t="s">
        <v>1505</v>
      </c>
      <c r="J449" s="30">
        <v>80793611</v>
      </c>
      <c r="K449" s="30" t="s">
        <v>3057</v>
      </c>
      <c r="L449" s="30" t="s">
        <v>3059</v>
      </c>
      <c r="M449" s="15">
        <v>239900</v>
      </c>
      <c r="N449" s="9">
        <f t="shared" si="37"/>
        <v>0.9</v>
      </c>
      <c r="O449" s="8">
        <f t="shared" si="38"/>
        <v>23990</v>
      </c>
      <c r="P449" s="9" t="str">
        <f t="shared" si="39"/>
        <v>PERCENTAGE</v>
      </c>
    </row>
    <row r="450" spans="1:16" x14ac:dyDescent="0.25">
      <c r="A450" s="6" t="str">
        <f t="shared" si="42"/>
        <v>2023 ALL D90</v>
      </c>
      <c r="B450" s="7">
        <f t="shared" si="40"/>
        <v>46114</v>
      </c>
      <c r="C450" s="7">
        <f t="shared" si="41"/>
        <v>46120</v>
      </c>
      <c r="D450" s="6">
        <v>3280</v>
      </c>
      <c r="E450" s="6">
        <v>337</v>
      </c>
      <c r="F450" s="14">
        <v>4</v>
      </c>
      <c r="G450" s="15">
        <v>2</v>
      </c>
      <c r="H450" s="15">
        <v>81306</v>
      </c>
      <c r="I450" s="15" t="s">
        <v>1505</v>
      </c>
      <c r="J450" s="30">
        <v>80793620</v>
      </c>
      <c r="K450" s="30" t="s">
        <v>3057</v>
      </c>
      <c r="L450" s="30" t="s">
        <v>3060</v>
      </c>
      <c r="M450" s="15">
        <v>239900</v>
      </c>
      <c r="N450" s="9">
        <f t="shared" si="37"/>
        <v>0.9</v>
      </c>
      <c r="O450" s="8">
        <f t="shared" si="38"/>
        <v>23990</v>
      </c>
      <c r="P450" s="9" t="str">
        <f t="shared" si="39"/>
        <v>PERCENTAGE</v>
      </c>
    </row>
    <row r="451" spans="1:16" x14ac:dyDescent="0.25">
      <c r="A451" s="6" t="str">
        <f t="shared" si="42"/>
        <v>2023 ALL D90</v>
      </c>
      <c r="B451" s="7">
        <f t="shared" si="40"/>
        <v>46114</v>
      </c>
      <c r="C451" s="7">
        <f t="shared" si="41"/>
        <v>46120</v>
      </c>
      <c r="D451" s="6">
        <v>3280</v>
      </c>
      <c r="E451" s="6">
        <v>337</v>
      </c>
      <c r="F451" s="14">
        <v>4</v>
      </c>
      <c r="G451" s="15">
        <v>2</v>
      </c>
      <c r="H451" s="15">
        <v>81306</v>
      </c>
      <c r="I451" s="15" t="s">
        <v>1505</v>
      </c>
      <c r="J451" s="30">
        <v>80793639</v>
      </c>
      <c r="K451" s="30" t="s">
        <v>3057</v>
      </c>
      <c r="L451" s="30" t="s">
        <v>3061</v>
      </c>
      <c r="M451" s="15">
        <v>249900</v>
      </c>
      <c r="N451" s="9">
        <f t="shared" ref="N451:N514" si="43">N450</f>
        <v>0.9</v>
      </c>
      <c r="O451" s="8">
        <f t="shared" ref="O451:O514" si="44">M451-((90*M451)/100)</f>
        <v>24990</v>
      </c>
      <c r="P451" s="9" t="str">
        <f t="shared" ref="P451:P514" si="45">P450</f>
        <v>PERCENTAGE</v>
      </c>
    </row>
    <row r="452" spans="1:16" x14ac:dyDescent="0.25">
      <c r="A452" s="6" t="str">
        <f t="shared" si="42"/>
        <v>2023 ALL D90</v>
      </c>
      <c r="B452" s="7">
        <f t="shared" si="40"/>
        <v>46114</v>
      </c>
      <c r="C452" s="7">
        <f t="shared" si="41"/>
        <v>46120</v>
      </c>
      <c r="D452" s="6">
        <v>3280</v>
      </c>
      <c r="E452" s="6">
        <v>337</v>
      </c>
      <c r="F452" s="14">
        <v>4</v>
      </c>
      <c r="G452" s="15">
        <v>2</v>
      </c>
      <c r="H452" s="15">
        <v>81306</v>
      </c>
      <c r="I452" s="15" t="s">
        <v>1505</v>
      </c>
      <c r="J452" s="30">
        <v>80793648</v>
      </c>
      <c r="K452" s="30" t="s">
        <v>3057</v>
      </c>
      <c r="L452" s="30" t="s">
        <v>3062</v>
      </c>
      <c r="M452" s="15">
        <v>249900</v>
      </c>
      <c r="N452" s="9">
        <f t="shared" si="43"/>
        <v>0.9</v>
      </c>
      <c r="O452" s="8">
        <f t="shared" si="44"/>
        <v>24990</v>
      </c>
      <c r="P452" s="9" t="str">
        <f t="shared" si="45"/>
        <v>PERCENTAGE</v>
      </c>
    </row>
    <row r="453" spans="1:16" x14ac:dyDescent="0.25">
      <c r="A453" s="6" t="str">
        <f t="shared" si="42"/>
        <v>2023 ALL D90</v>
      </c>
      <c r="B453" s="7">
        <f t="shared" si="40"/>
        <v>46114</v>
      </c>
      <c r="C453" s="7">
        <f t="shared" si="41"/>
        <v>46120</v>
      </c>
      <c r="D453" s="6">
        <v>3280</v>
      </c>
      <c r="E453" s="6">
        <v>337</v>
      </c>
      <c r="F453" s="14">
        <v>4</v>
      </c>
      <c r="G453" s="15">
        <v>2</v>
      </c>
      <c r="H453" s="15">
        <v>81622</v>
      </c>
      <c r="I453" s="15" t="s">
        <v>1505</v>
      </c>
      <c r="J453" s="30">
        <v>79668910</v>
      </c>
      <c r="K453" s="30" t="s">
        <v>3084</v>
      </c>
      <c r="L453" s="30" t="s">
        <v>3085</v>
      </c>
      <c r="M453" s="15">
        <v>239900</v>
      </c>
      <c r="N453" s="9">
        <f t="shared" si="43"/>
        <v>0.9</v>
      </c>
      <c r="O453" s="8">
        <f t="shared" si="44"/>
        <v>23990</v>
      </c>
      <c r="P453" s="9" t="str">
        <f t="shared" si="45"/>
        <v>PERCENTAGE</v>
      </c>
    </row>
    <row r="454" spans="1:16" x14ac:dyDescent="0.25">
      <c r="A454" s="6" t="str">
        <f t="shared" si="42"/>
        <v>2023 ALL D90</v>
      </c>
      <c r="B454" s="7">
        <f t="shared" si="40"/>
        <v>46114</v>
      </c>
      <c r="C454" s="7">
        <f t="shared" si="41"/>
        <v>46120</v>
      </c>
      <c r="D454" s="6">
        <v>3280</v>
      </c>
      <c r="E454" s="6">
        <v>337</v>
      </c>
      <c r="F454" s="14">
        <v>4</v>
      </c>
      <c r="G454" s="15">
        <v>2</v>
      </c>
      <c r="H454" s="15">
        <v>81622</v>
      </c>
      <c r="I454" s="15" t="s">
        <v>1505</v>
      </c>
      <c r="J454" s="30">
        <v>79668929</v>
      </c>
      <c r="K454" s="30" t="s">
        <v>3084</v>
      </c>
      <c r="L454" s="30" t="s">
        <v>3087</v>
      </c>
      <c r="M454" s="15">
        <v>239900</v>
      </c>
      <c r="N454" s="9">
        <f t="shared" si="43"/>
        <v>0.9</v>
      </c>
      <c r="O454" s="8">
        <f t="shared" si="44"/>
        <v>23990</v>
      </c>
      <c r="P454" s="9" t="str">
        <f t="shared" si="45"/>
        <v>PERCENTAGE</v>
      </c>
    </row>
    <row r="455" spans="1:16" x14ac:dyDescent="0.25">
      <c r="A455" s="6" t="str">
        <f t="shared" si="42"/>
        <v>2023 ALL D90</v>
      </c>
      <c r="B455" s="7">
        <f t="shared" si="40"/>
        <v>46114</v>
      </c>
      <c r="C455" s="7">
        <f t="shared" si="41"/>
        <v>46120</v>
      </c>
      <c r="D455" s="6">
        <v>3280</v>
      </c>
      <c r="E455" s="6">
        <v>337</v>
      </c>
      <c r="F455" s="14">
        <v>4</v>
      </c>
      <c r="G455" s="15">
        <v>2</v>
      </c>
      <c r="H455" s="15">
        <v>81622</v>
      </c>
      <c r="I455" s="15" t="s">
        <v>1505</v>
      </c>
      <c r="J455" s="30">
        <v>79668938</v>
      </c>
      <c r="K455" s="30" t="s">
        <v>3084</v>
      </c>
      <c r="L455" s="30" t="s">
        <v>3090</v>
      </c>
      <c r="M455" s="15">
        <v>239900</v>
      </c>
      <c r="N455" s="9">
        <f t="shared" si="43"/>
        <v>0.9</v>
      </c>
      <c r="O455" s="8">
        <f t="shared" si="44"/>
        <v>23990</v>
      </c>
      <c r="P455" s="9" t="str">
        <f t="shared" si="45"/>
        <v>PERCENTAGE</v>
      </c>
    </row>
    <row r="456" spans="1:16" x14ac:dyDescent="0.25">
      <c r="A456" s="6" t="str">
        <f t="shared" si="42"/>
        <v>2023 ALL D90</v>
      </c>
      <c r="B456" s="7">
        <f t="shared" si="40"/>
        <v>46114</v>
      </c>
      <c r="C456" s="7">
        <f t="shared" si="41"/>
        <v>46120</v>
      </c>
      <c r="D456" s="6">
        <v>3280</v>
      </c>
      <c r="E456" s="6">
        <v>337</v>
      </c>
      <c r="F456" s="14">
        <v>4</v>
      </c>
      <c r="G456" s="15">
        <v>2</v>
      </c>
      <c r="H456" s="15">
        <v>81622</v>
      </c>
      <c r="I456" s="15" t="s">
        <v>1505</v>
      </c>
      <c r="J456" s="30">
        <v>79668947</v>
      </c>
      <c r="K456" s="30" t="s">
        <v>3084</v>
      </c>
      <c r="L456" s="30" t="s">
        <v>3086</v>
      </c>
      <c r="M456" s="15">
        <v>249900</v>
      </c>
      <c r="N456" s="9">
        <f t="shared" si="43"/>
        <v>0.9</v>
      </c>
      <c r="O456" s="8">
        <f t="shared" si="44"/>
        <v>24990</v>
      </c>
      <c r="P456" s="9" t="str">
        <f t="shared" si="45"/>
        <v>PERCENTAGE</v>
      </c>
    </row>
    <row r="457" spans="1:16" x14ac:dyDescent="0.25">
      <c r="A457" s="6" t="str">
        <f t="shared" si="42"/>
        <v>2023 ALL D90</v>
      </c>
      <c r="B457" s="7">
        <f t="shared" si="40"/>
        <v>46114</v>
      </c>
      <c r="C457" s="7">
        <f t="shared" si="41"/>
        <v>46120</v>
      </c>
      <c r="D457" s="6">
        <v>3280</v>
      </c>
      <c r="E457" s="6">
        <v>337</v>
      </c>
      <c r="F457" s="14">
        <v>4</v>
      </c>
      <c r="G457" s="15">
        <v>2</v>
      </c>
      <c r="H457" s="15">
        <v>81622</v>
      </c>
      <c r="I457" s="15" t="s">
        <v>1505</v>
      </c>
      <c r="J457" s="30">
        <v>79668956</v>
      </c>
      <c r="K457" s="30" t="s">
        <v>3084</v>
      </c>
      <c r="L457" s="30" t="s">
        <v>3089</v>
      </c>
      <c r="M457" s="15">
        <v>249900</v>
      </c>
      <c r="N457" s="9">
        <f t="shared" si="43"/>
        <v>0.9</v>
      </c>
      <c r="O457" s="8">
        <f t="shared" si="44"/>
        <v>24990</v>
      </c>
      <c r="P457" s="9" t="str">
        <f t="shared" si="45"/>
        <v>PERCENTAGE</v>
      </c>
    </row>
    <row r="458" spans="1:16" x14ac:dyDescent="0.25">
      <c r="A458" s="6" t="str">
        <f t="shared" si="42"/>
        <v>2023 ALL D90</v>
      </c>
      <c r="B458" s="7">
        <f t="shared" si="40"/>
        <v>46114</v>
      </c>
      <c r="C458" s="7">
        <f t="shared" si="41"/>
        <v>46120</v>
      </c>
      <c r="D458" s="6">
        <v>3280</v>
      </c>
      <c r="E458" s="6">
        <v>337</v>
      </c>
      <c r="F458" s="14">
        <v>4</v>
      </c>
      <c r="G458" s="15">
        <v>2</v>
      </c>
      <c r="H458" s="15">
        <v>81622</v>
      </c>
      <c r="I458" s="15" t="s">
        <v>1505</v>
      </c>
      <c r="J458" s="30">
        <v>79668965</v>
      </c>
      <c r="K458" s="30" t="s">
        <v>3084</v>
      </c>
      <c r="L458" s="30" t="s">
        <v>3088</v>
      </c>
      <c r="M458" s="15">
        <v>249900</v>
      </c>
      <c r="N458" s="9">
        <f t="shared" si="43"/>
        <v>0.9</v>
      </c>
      <c r="O458" s="8">
        <f t="shared" si="44"/>
        <v>24990</v>
      </c>
      <c r="P458" s="9" t="str">
        <f t="shared" si="45"/>
        <v>PERCENTAGE</v>
      </c>
    </row>
    <row r="459" spans="1:16" x14ac:dyDescent="0.25">
      <c r="A459" s="6" t="str">
        <f t="shared" si="42"/>
        <v>2023 ALL D90</v>
      </c>
      <c r="B459" s="7">
        <f t="shared" si="40"/>
        <v>46114</v>
      </c>
      <c r="C459" s="7">
        <f t="shared" si="41"/>
        <v>46120</v>
      </c>
      <c r="D459" s="6">
        <v>3280</v>
      </c>
      <c r="E459" s="6">
        <v>337</v>
      </c>
      <c r="F459" s="14">
        <v>4</v>
      </c>
      <c r="G459" s="15">
        <v>2</v>
      </c>
      <c r="H459" s="15">
        <v>81306</v>
      </c>
      <c r="I459" s="15" t="s">
        <v>1505</v>
      </c>
      <c r="J459" s="30">
        <v>81776361</v>
      </c>
      <c r="K459" s="30" t="s">
        <v>4301</v>
      </c>
      <c r="L459" s="30" t="s">
        <v>4315</v>
      </c>
      <c r="M459" s="15">
        <v>229900</v>
      </c>
      <c r="N459" s="9">
        <f t="shared" si="43"/>
        <v>0.9</v>
      </c>
      <c r="O459" s="8">
        <f t="shared" si="44"/>
        <v>22990</v>
      </c>
      <c r="P459" s="9" t="str">
        <f t="shared" si="45"/>
        <v>PERCENTAGE</v>
      </c>
    </row>
    <row r="460" spans="1:16" x14ac:dyDescent="0.25">
      <c r="A460" s="6" t="str">
        <f t="shared" si="42"/>
        <v>2023 ALL D90</v>
      </c>
      <c r="B460" s="7">
        <f t="shared" ref="B460:B523" si="46">B459</f>
        <v>46114</v>
      </c>
      <c r="C460" s="7">
        <f t="shared" ref="C460:C523" si="47">C459</f>
        <v>46120</v>
      </c>
      <c r="D460" s="6">
        <v>3280</v>
      </c>
      <c r="E460" s="6">
        <v>337</v>
      </c>
      <c r="F460" s="14">
        <v>4</v>
      </c>
      <c r="G460" s="15">
        <v>2</v>
      </c>
      <c r="H460" s="15">
        <v>81306</v>
      </c>
      <c r="I460" s="15" t="s">
        <v>1505</v>
      </c>
      <c r="J460" s="30">
        <v>81776370</v>
      </c>
      <c r="K460" s="30" t="s">
        <v>4301</v>
      </c>
      <c r="L460" s="30" t="s">
        <v>4316</v>
      </c>
      <c r="M460" s="15">
        <v>229900</v>
      </c>
      <c r="N460" s="9">
        <f t="shared" si="43"/>
        <v>0.9</v>
      </c>
      <c r="O460" s="8">
        <f t="shared" si="44"/>
        <v>22990</v>
      </c>
      <c r="P460" s="9" t="str">
        <f t="shared" si="45"/>
        <v>PERCENTAGE</v>
      </c>
    </row>
    <row r="461" spans="1:16" x14ac:dyDescent="0.25">
      <c r="A461" s="6" t="str">
        <f t="shared" ref="A461:A524" si="48">A460</f>
        <v>2023 ALL D90</v>
      </c>
      <c r="B461" s="7">
        <f t="shared" si="46"/>
        <v>46114</v>
      </c>
      <c r="C461" s="7">
        <f t="shared" si="47"/>
        <v>46120</v>
      </c>
      <c r="D461" s="6">
        <v>3280</v>
      </c>
      <c r="E461" s="6">
        <v>337</v>
      </c>
      <c r="F461" s="14">
        <v>4</v>
      </c>
      <c r="G461" s="15">
        <v>2</v>
      </c>
      <c r="H461" s="15">
        <v>81306</v>
      </c>
      <c r="I461" s="15" t="s">
        <v>1505</v>
      </c>
      <c r="J461" s="30">
        <v>81776389</v>
      </c>
      <c r="K461" s="30" t="s">
        <v>4301</v>
      </c>
      <c r="L461" s="30" t="s">
        <v>4317</v>
      </c>
      <c r="M461" s="15">
        <v>229900</v>
      </c>
      <c r="N461" s="9">
        <f t="shared" si="43"/>
        <v>0.9</v>
      </c>
      <c r="O461" s="8">
        <f t="shared" si="44"/>
        <v>22990</v>
      </c>
      <c r="P461" s="9" t="str">
        <f t="shared" si="45"/>
        <v>PERCENTAGE</v>
      </c>
    </row>
    <row r="462" spans="1:16" x14ac:dyDescent="0.25">
      <c r="A462" s="6" t="str">
        <f t="shared" si="48"/>
        <v>2023 ALL D90</v>
      </c>
      <c r="B462" s="7">
        <f t="shared" si="46"/>
        <v>46114</v>
      </c>
      <c r="C462" s="7">
        <f t="shared" si="47"/>
        <v>46120</v>
      </c>
      <c r="D462" s="6">
        <v>3280</v>
      </c>
      <c r="E462" s="6">
        <v>337</v>
      </c>
      <c r="F462" s="14">
        <v>4</v>
      </c>
      <c r="G462" s="15">
        <v>2</v>
      </c>
      <c r="H462" s="15">
        <v>81306</v>
      </c>
      <c r="I462" s="15" t="s">
        <v>1505</v>
      </c>
      <c r="J462" s="30">
        <v>81776398</v>
      </c>
      <c r="K462" s="30" t="s">
        <v>4301</v>
      </c>
      <c r="L462" s="30" t="s">
        <v>4318</v>
      </c>
      <c r="M462" s="15">
        <v>239900</v>
      </c>
      <c r="N462" s="9">
        <f t="shared" si="43"/>
        <v>0.9</v>
      </c>
      <c r="O462" s="8">
        <f t="shared" si="44"/>
        <v>23990</v>
      </c>
      <c r="P462" s="9" t="str">
        <f t="shared" si="45"/>
        <v>PERCENTAGE</v>
      </c>
    </row>
    <row r="463" spans="1:16" x14ac:dyDescent="0.25">
      <c r="A463" s="6" t="str">
        <f t="shared" si="48"/>
        <v>2023 ALL D90</v>
      </c>
      <c r="B463" s="7">
        <f t="shared" si="46"/>
        <v>46114</v>
      </c>
      <c r="C463" s="7">
        <f t="shared" si="47"/>
        <v>46120</v>
      </c>
      <c r="D463" s="6">
        <v>3280</v>
      </c>
      <c r="E463" s="6">
        <v>337</v>
      </c>
      <c r="F463" s="14">
        <v>4</v>
      </c>
      <c r="G463" s="15">
        <v>2</v>
      </c>
      <c r="H463" s="15">
        <v>81306</v>
      </c>
      <c r="I463" s="15" t="s">
        <v>1505</v>
      </c>
      <c r="J463" s="30">
        <v>81776405</v>
      </c>
      <c r="K463" s="30" t="s">
        <v>4301</v>
      </c>
      <c r="L463" s="30" t="s">
        <v>4319</v>
      </c>
      <c r="M463" s="15">
        <v>239900</v>
      </c>
      <c r="N463" s="9">
        <f t="shared" si="43"/>
        <v>0.9</v>
      </c>
      <c r="O463" s="8">
        <f t="shared" si="44"/>
        <v>23990</v>
      </c>
      <c r="P463" s="9" t="str">
        <f t="shared" si="45"/>
        <v>PERCENTAGE</v>
      </c>
    </row>
    <row r="464" spans="1:16" x14ac:dyDescent="0.25">
      <c r="A464" s="6" t="str">
        <f t="shared" si="48"/>
        <v>2023 ALL D90</v>
      </c>
      <c r="B464" s="7">
        <f t="shared" si="46"/>
        <v>46114</v>
      </c>
      <c r="C464" s="7">
        <f t="shared" si="47"/>
        <v>46120</v>
      </c>
      <c r="D464" s="6">
        <v>3280</v>
      </c>
      <c r="E464" s="6">
        <v>337</v>
      </c>
      <c r="F464" s="14">
        <v>4</v>
      </c>
      <c r="G464" s="15">
        <v>2</v>
      </c>
      <c r="H464" s="15">
        <v>81306</v>
      </c>
      <c r="I464" s="15" t="s">
        <v>1505</v>
      </c>
      <c r="J464" s="30">
        <v>81776414</v>
      </c>
      <c r="K464" s="30" t="s">
        <v>4301</v>
      </c>
      <c r="L464" s="30" t="s">
        <v>4320</v>
      </c>
      <c r="M464" s="15">
        <v>239900</v>
      </c>
      <c r="N464" s="9">
        <f t="shared" si="43"/>
        <v>0.9</v>
      </c>
      <c r="O464" s="8">
        <f t="shared" si="44"/>
        <v>23990</v>
      </c>
      <c r="P464" s="9" t="str">
        <f t="shared" si="45"/>
        <v>PERCENTAGE</v>
      </c>
    </row>
    <row r="465" spans="1:16" x14ac:dyDescent="0.25">
      <c r="A465" s="6" t="str">
        <f t="shared" si="48"/>
        <v>2023 ALL D90</v>
      </c>
      <c r="B465" s="7">
        <f t="shared" si="46"/>
        <v>46114</v>
      </c>
      <c r="C465" s="7">
        <f t="shared" si="47"/>
        <v>46120</v>
      </c>
      <c r="D465" s="6">
        <v>3280</v>
      </c>
      <c r="E465" s="6">
        <v>337</v>
      </c>
      <c r="F465" s="6">
        <v>4</v>
      </c>
      <c r="G465" s="36">
        <v>2</v>
      </c>
      <c r="H465" s="36">
        <v>81622</v>
      </c>
      <c r="I465" s="36" t="s">
        <v>1505</v>
      </c>
      <c r="J465" s="36">
        <v>81776307</v>
      </c>
      <c r="K465" s="36" t="s">
        <v>3104</v>
      </c>
      <c r="L465" s="34" t="s">
        <v>3105</v>
      </c>
      <c r="M465" s="33">
        <v>239900</v>
      </c>
      <c r="N465" s="9">
        <f t="shared" si="43"/>
        <v>0.9</v>
      </c>
      <c r="O465" s="8">
        <f t="shared" si="44"/>
        <v>23990</v>
      </c>
      <c r="P465" s="9" t="str">
        <f t="shared" si="45"/>
        <v>PERCENTAGE</v>
      </c>
    </row>
    <row r="466" spans="1:16" x14ac:dyDescent="0.25">
      <c r="A466" s="6" t="str">
        <f t="shared" si="48"/>
        <v>2023 ALL D90</v>
      </c>
      <c r="B466" s="7">
        <f t="shared" si="46"/>
        <v>46114</v>
      </c>
      <c r="C466" s="7">
        <f t="shared" si="47"/>
        <v>46120</v>
      </c>
      <c r="D466" s="6">
        <v>3280</v>
      </c>
      <c r="E466" s="6">
        <v>337</v>
      </c>
      <c r="F466" s="6">
        <v>4</v>
      </c>
      <c r="G466" s="36">
        <v>2</v>
      </c>
      <c r="H466" s="36">
        <v>81622</v>
      </c>
      <c r="I466" s="36" t="s">
        <v>1505</v>
      </c>
      <c r="J466" s="36">
        <v>81776316</v>
      </c>
      <c r="K466" s="36" t="s">
        <v>3104</v>
      </c>
      <c r="L466" s="34" t="s">
        <v>3106</v>
      </c>
      <c r="M466" s="33">
        <v>239900</v>
      </c>
      <c r="N466" s="9">
        <f t="shared" si="43"/>
        <v>0.9</v>
      </c>
      <c r="O466" s="8">
        <f t="shared" si="44"/>
        <v>23990</v>
      </c>
      <c r="P466" s="9" t="str">
        <f t="shared" si="45"/>
        <v>PERCENTAGE</v>
      </c>
    </row>
    <row r="467" spans="1:16" x14ac:dyDescent="0.25">
      <c r="A467" s="6" t="str">
        <f t="shared" si="48"/>
        <v>2023 ALL D90</v>
      </c>
      <c r="B467" s="7">
        <f t="shared" si="46"/>
        <v>46114</v>
      </c>
      <c r="C467" s="7">
        <f t="shared" si="47"/>
        <v>46120</v>
      </c>
      <c r="D467" s="6">
        <v>3280</v>
      </c>
      <c r="E467" s="6">
        <v>337</v>
      </c>
      <c r="F467" s="6">
        <v>4</v>
      </c>
      <c r="G467" s="36">
        <v>2</v>
      </c>
      <c r="H467" s="36">
        <v>81622</v>
      </c>
      <c r="I467" s="36" t="s">
        <v>1505</v>
      </c>
      <c r="J467" s="36">
        <v>81776325</v>
      </c>
      <c r="K467" s="36" t="s">
        <v>3104</v>
      </c>
      <c r="L467" s="34" t="s">
        <v>3107</v>
      </c>
      <c r="M467" s="33">
        <v>239900</v>
      </c>
      <c r="N467" s="9">
        <f t="shared" si="43"/>
        <v>0.9</v>
      </c>
      <c r="O467" s="8">
        <f t="shared" si="44"/>
        <v>23990</v>
      </c>
      <c r="P467" s="9" t="str">
        <f t="shared" si="45"/>
        <v>PERCENTAGE</v>
      </c>
    </row>
    <row r="468" spans="1:16" x14ac:dyDescent="0.25">
      <c r="A468" s="6" t="str">
        <f t="shared" si="48"/>
        <v>2023 ALL D90</v>
      </c>
      <c r="B468" s="7">
        <f t="shared" si="46"/>
        <v>46114</v>
      </c>
      <c r="C468" s="7">
        <f t="shared" si="47"/>
        <v>46120</v>
      </c>
      <c r="D468" s="6">
        <v>3280</v>
      </c>
      <c r="E468" s="6">
        <v>337</v>
      </c>
      <c r="F468" s="6">
        <v>4</v>
      </c>
      <c r="G468" s="36">
        <v>2</v>
      </c>
      <c r="H468" s="36">
        <v>81622</v>
      </c>
      <c r="I468" s="36" t="s">
        <v>1505</v>
      </c>
      <c r="J468" s="36">
        <v>81776334</v>
      </c>
      <c r="K468" s="36" t="s">
        <v>3104</v>
      </c>
      <c r="L468" s="34" t="s">
        <v>3108</v>
      </c>
      <c r="M468" s="33">
        <v>249900</v>
      </c>
      <c r="N468" s="9">
        <f t="shared" si="43"/>
        <v>0.9</v>
      </c>
      <c r="O468" s="8">
        <f t="shared" si="44"/>
        <v>24990</v>
      </c>
      <c r="P468" s="9" t="str">
        <f t="shared" si="45"/>
        <v>PERCENTAGE</v>
      </c>
    </row>
    <row r="469" spans="1:16" x14ac:dyDescent="0.25">
      <c r="A469" s="6" t="str">
        <f t="shared" si="48"/>
        <v>2023 ALL D90</v>
      </c>
      <c r="B469" s="7">
        <f t="shared" si="46"/>
        <v>46114</v>
      </c>
      <c r="C469" s="7">
        <f t="shared" si="47"/>
        <v>46120</v>
      </c>
      <c r="D469" s="6">
        <v>3280</v>
      </c>
      <c r="E469" s="6">
        <v>337</v>
      </c>
      <c r="F469" s="6">
        <v>4</v>
      </c>
      <c r="G469" s="36">
        <v>2</v>
      </c>
      <c r="H469" s="36">
        <v>81622</v>
      </c>
      <c r="I469" s="36" t="s">
        <v>1505</v>
      </c>
      <c r="J469" s="36">
        <v>81776343</v>
      </c>
      <c r="K469" s="36" t="s">
        <v>3104</v>
      </c>
      <c r="L469" s="34" t="s">
        <v>3109</v>
      </c>
      <c r="M469" s="33">
        <v>249900</v>
      </c>
      <c r="N469" s="9">
        <f t="shared" si="43"/>
        <v>0.9</v>
      </c>
      <c r="O469" s="8">
        <f t="shared" si="44"/>
        <v>24990</v>
      </c>
      <c r="P469" s="9" t="str">
        <f t="shared" si="45"/>
        <v>PERCENTAGE</v>
      </c>
    </row>
    <row r="470" spans="1:16" x14ac:dyDescent="0.25">
      <c r="A470" s="6" t="str">
        <f t="shared" si="48"/>
        <v>2023 ALL D90</v>
      </c>
      <c r="B470" s="7">
        <f t="shared" si="46"/>
        <v>46114</v>
      </c>
      <c r="C470" s="7">
        <f t="shared" si="47"/>
        <v>46120</v>
      </c>
      <c r="D470" s="6">
        <v>3280</v>
      </c>
      <c r="E470" s="6">
        <v>337</v>
      </c>
      <c r="F470" s="6">
        <v>4</v>
      </c>
      <c r="G470" s="36">
        <v>2</v>
      </c>
      <c r="H470" s="36">
        <v>81622</v>
      </c>
      <c r="I470" s="36" t="s">
        <v>1505</v>
      </c>
      <c r="J470" s="36">
        <v>81776352</v>
      </c>
      <c r="K470" s="36" t="s">
        <v>3104</v>
      </c>
      <c r="L470" s="34" t="s">
        <v>3110</v>
      </c>
      <c r="M470" s="33">
        <v>249900</v>
      </c>
      <c r="N470" s="9">
        <f t="shared" si="43"/>
        <v>0.9</v>
      </c>
      <c r="O470" s="8">
        <f t="shared" si="44"/>
        <v>24990</v>
      </c>
      <c r="P470" s="9" t="str">
        <f t="shared" si="45"/>
        <v>PERCENTAGE</v>
      </c>
    </row>
    <row r="471" spans="1:16" x14ac:dyDescent="0.25">
      <c r="A471" s="6" t="str">
        <f t="shared" si="48"/>
        <v>2023 ALL D90</v>
      </c>
      <c r="B471" s="7">
        <f t="shared" si="46"/>
        <v>46114</v>
      </c>
      <c r="C471" s="7">
        <f t="shared" si="47"/>
        <v>46120</v>
      </c>
      <c r="D471" s="6">
        <v>3280</v>
      </c>
      <c r="E471" s="6">
        <v>337</v>
      </c>
      <c r="F471" s="6">
        <v>4</v>
      </c>
      <c r="G471" s="36">
        <v>2</v>
      </c>
      <c r="H471" s="36">
        <v>81306</v>
      </c>
      <c r="I471" s="36" t="s">
        <v>1505</v>
      </c>
      <c r="J471" s="36">
        <v>83295154</v>
      </c>
      <c r="K471" s="36" t="s">
        <v>3118</v>
      </c>
      <c r="L471" s="34" t="s">
        <v>3119</v>
      </c>
      <c r="M471" s="33">
        <v>229900</v>
      </c>
      <c r="N471" s="9">
        <f t="shared" si="43"/>
        <v>0.9</v>
      </c>
      <c r="O471" s="8">
        <f t="shared" si="44"/>
        <v>22990</v>
      </c>
      <c r="P471" s="9" t="str">
        <f t="shared" si="45"/>
        <v>PERCENTAGE</v>
      </c>
    </row>
    <row r="472" spans="1:16" x14ac:dyDescent="0.25">
      <c r="A472" s="6" t="str">
        <f t="shared" si="48"/>
        <v>2023 ALL D90</v>
      </c>
      <c r="B472" s="7">
        <f t="shared" si="46"/>
        <v>46114</v>
      </c>
      <c r="C472" s="7">
        <f t="shared" si="47"/>
        <v>46120</v>
      </c>
      <c r="D472" s="6">
        <v>3280</v>
      </c>
      <c r="E472" s="6">
        <v>337</v>
      </c>
      <c r="F472" s="6">
        <v>4</v>
      </c>
      <c r="G472" s="36">
        <v>2</v>
      </c>
      <c r="H472" s="36">
        <v>81306</v>
      </c>
      <c r="I472" s="36" t="s">
        <v>1505</v>
      </c>
      <c r="J472" s="36">
        <v>83295163</v>
      </c>
      <c r="K472" s="36" t="s">
        <v>3118</v>
      </c>
      <c r="L472" s="34" t="s">
        <v>3120</v>
      </c>
      <c r="M472" s="33">
        <v>229900</v>
      </c>
      <c r="N472" s="9">
        <f t="shared" si="43"/>
        <v>0.9</v>
      </c>
      <c r="O472" s="8">
        <f t="shared" si="44"/>
        <v>22990</v>
      </c>
      <c r="P472" s="9" t="str">
        <f t="shared" si="45"/>
        <v>PERCENTAGE</v>
      </c>
    </row>
    <row r="473" spans="1:16" x14ac:dyDescent="0.25">
      <c r="A473" s="6" t="str">
        <f t="shared" si="48"/>
        <v>2023 ALL D90</v>
      </c>
      <c r="B473" s="7">
        <f t="shared" si="46"/>
        <v>46114</v>
      </c>
      <c r="C473" s="7">
        <f t="shared" si="47"/>
        <v>46120</v>
      </c>
      <c r="D473" s="6">
        <v>3280</v>
      </c>
      <c r="E473" s="6">
        <v>337</v>
      </c>
      <c r="F473" s="6">
        <v>4</v>
      </c>
      <c r="G473" s="36">
        <v>2</v>
      </c>
      <c r="H473" s="36">
        <v>81306</v>
      </c>
      <c r="I473" s="36" t="s">
        <v>1505</v>
      </c>
      <c r="J473" s="36">
        <v>83295172</v>
      </c>
      <c r="K473" s="36" t="s">
        <v>3118</v>
      </c>
      <c r="L473" s="34" t="s">
        <v>3121</v>
      </c>
      <c r="M473" s="33">
        <v>229900</v>
      </c>
      <c r="N473" s="9">
        <f t="shared" si="43"/>
        <v>0.9</v>
      </c>
      <c r="O473" s="8">
        <f t="shared" si="44"/>
        <v>22990</v>
      </c>
      <c r="P473" s="9" t="str">
        <f t="shared" si="45"/>
        <v>PERCENTAGE</v>
      </c>
    </row>
    <row r="474" spans="1:16" x14ac:dyDescent="0.25">
      <c r="A474" s="6" t="str">
        <f t="shared" si="48"/>
        <v>2023 ALL D90</v>
      </c>
      <c r="B474" s="7">
        <f t="shared" si="46"/>
        <v>46114</v>
      </c>
      <c r="C474" s="7">
        <f t="shared" si="47"/>
        <v>46120</v>
      </c>
      <c r="D474" s="6">
        <v>3280</v>
      </c>
      <c r="E474" s="6">
        <v>337</v>
      </c>
      <c r="F474" s="6">
        <v>4</v>
      </c>
      <c r="G474" s="36">
        <v>2</v>
      </c>
      <c r="H474" s="36">
        <v>81306</v>
      </c>
      <c r="I474" s="36" t="s">
        <v>1505</v>
      </c>
      <c r="J474" s="36">
        <v>83295181</v>
      </c>
      <c r="K474" s="36" t="s">
        <v>3118</v>
      </c>
      <c r="L474" s="34" t="s">
        <v>3122</v>
      </c>
      <c r="M474" s="33">
        <v>229900</v>
      </c>
      <c r="N474" s="9">
        <f t="shared" si="43"/>
        <v>0.9</v>
      </c>
      <c r="O474" s="8">
        <f t="shared" si="44"/>
        <v>22990</v>
      </c>
      <c r="P474" s="9" t="str">
        <f t="shared" si="45"/>
        <v>PERCENTAGE</v>
      </c>
    </row>
    <row r="475" spans="1:16" x14ac:dyDescent="0.25">
      <c r="A475" s="6" t="str">
        <f t="shared" si="48"/>
        <v>2023 ALL D90</v>
      </c>
      <c r="B475" s="7">
        <f t="shared" si="46"/>
        <v>46114</v>
      </c>
      <c r="C475" s="7">
        <f t="shared" si="47"/>
        <v>46120</v>
      </c>
      <c r="D475" s="6">
        <v>3280</v>
      </c>
      <c r="E475" s="6">
        <v>337</v>
      </c>
      <c r="F475" s="6">
        <v>4</v>
      </c>
      <c r="G475" s="36">
        <v>2</v>
      </c>
      <c r="H475" s="36">
        <v>80942</v>
      </c>
      <c r="I475" s="36" t="s">
        <v>1505</v>
      </c>
      <c r="J475" s="36">
        <v>82585584</v>
      </c>
      <c r="K475" s="36" t="s">
        <v>3111</v>
      </c>
      <c r="L475" s="34" t="s">
        <v>3112</v>
      </c>
      <c r="M475" s="33">
        <v>239900</v>
      </c>
      <c r="N475" s="9">
        <f t="shared" si="43"/>
        <v>0.9</v>
      </c>
      <c r="O475" s="8">
        <f t="shared" si="44"/>
        <v>23990</v>
      </c>
      <c r="P475" s="9" t="str">
        <f t="shared" si="45"/>
        <v>PERCENTAGE</v>
      </c>
    </row>
    <row r="476" spans="1:16" x14ac:dyDescent="0.25">
      <c r="A476" s="6" t="str">
        <f t="shared" si="48"/>
        <v>2023 ALL D90</v>
      </c>
      <c r="B476" s="7">
        <f t="shared" si="46"/>
        <v>46114</v>
      </c>
      <c r="C476" s="7">
        <f t="shared" si="47"/>
        <v>46120</v>
      </c>
      <c r="D476" s="6">
        <v>3280</v>
      </c>
      <c r="E476" s="6">
        <v>337</v>
      </c>
      <c r="F476" s="6">
        <v>4</v>
      </c>
      <c r="G476" s="36">
        <v>2</v>
      </c>
      <c r="H476" s="36">
        <v>80942</v>
      </c>
      <c r="I476" s="36" t="s">
        <v>1505</v>
      </c>
      <c r="J476" s="36">
        <v>82585593</v>
      </c>
      <c r="K476" s="36" t="s">
        <v>3111</v>
      </c>
      <c r="L476" s="34" t="s">
        <v>3113</v>
      </c>
      <c r="M476" s="33">
        <v>239900</v>
      </c>
      <c r="N476" s="9">
        <f t="shared" si="43"/>
        <v>0.9</v>
      </c>
      <c r="O476" s="8">
        <f t="shared" si="44"/>
        <v>23990</v>
      </c>
      <c r="P476" s="9" t="str">
        <f t="shared" si="45"/>
        <v>PERCENTAGE</v>
      </c>
    </row>
    <row r="477" spans="1:16" x14ac:dyDescent="0.25">
      <c r="A477" s="6" t="str">
        <f t="shared" si="48"/>
        <v>2023 ALL D90</v>
      </c>
      <c r="B477" s="7">
        <f t="shared" si="46"/>
        <v>46114</v>
      </c>
      <c r="C477" s="7">
        <f t="shared" si="47"/>
        <v>46120</v>
      </c>
      <c r="D477" s="6">
        <v>3280</v>
      </c>
      <c r="E477" s="6">
        <v>337</v>
      </c>
      <c r="F477" s="6">
        <v>4</v>
      </c>
      <c r="G477" s="36">
        <v>2</v>
      </c>
      <c r="H477" s="36">
        <v>80942</v>
      </c>
      <c r="I477" s="36" t="s">
        <v>1505</v>
      </c>
      <c r="J477" s="36">
        <v>82585600</v>
      </c>
      <c r="K477" s="36" t="s">
        <v>3111</v>
      </c>
      <c r="L477" s="34" t="s">
        <v>3114</v>
      </c>
      <c r="M477" s="33">
        <v>239900</v>
      </c>
      <c r="N477" s="9">
        <f t="shared" si="43"/>
        <v>0.9</v>
      </c>
      <c r="O477" s="8">
        <f t="shared" si="44"/>
        <v>23990</v>
      </c>
      <c r="P477" s="9" t="str">
        <f t="shared" si="45"/>
        <v>PERCENTAGE</v>
      </c>
    </row>
    <row r="478" spans="1:16" x14ac:dyDescent="0.25">
      <c r="A478" s="6" t="str">
        <f t="shared" si="48"/>
        <v>2023 ALL D90</v>
      </c>
      <c r="B478" s="7">
        <f t="shared" si="46"/>
        <v>46114</v>
      </c>
      <c r="C478" s="7">
        <f t="shared" si="47"/>
        <v>46120</v>
      </c>
      <c r="D478" s="6">
        <v>3280</v>
      </c>
      <c r="E478" s="6">
        <v>337</v>
      </c>
      <c r="F478" s="6">
        <v>4</v>
      </c>
      <c r="G478" s="36">
        <v>2</v>
      </c>
      <c r="H478" s="36">
        <v>80942</v>
      </c>
      <c r="I478" s="36" t="s">
        <v>1505</v>
      </c>
      <c r="J478" s="36">
        <v>82585619</v>
      </c>
      <c r="K478" s="36" t="s">
        <v>3111</v>
      </c>
      <c r="L478" s="34" t="s">
        <v>3115</v>
      </c>
      <c r="M478" s="33">
        <v>249900</v>
      </c>
      <c r="N478" s="9">
        <f t="shared" si="43"/>
        <v>0.9</v>
      </c>
      <c r="O478" s="8">
        <f t="shared" si="44"/>
        <v>24990</v>
      </c>
      <c r="P478" s="9" t="str">
        <f t="shared" si="45"/>
        <v>PERCENTAGE</v>
      </c>
    </row>
    <row r="479" spans="1:16" x14ac:dyDescent="0.25">
      <c r="A479" s="6" t="str">
        <f t="shared" si="48"/>
        <v>2023 ALL D90</v>
      </c>
      <c r="B479" s="7">
        <f t="shared" si="46"/>
        <v>46114</v>
      </c>
      <c r="C479" s="7">
        <f t="shared" si="47"/>
        <v>46120</v>
      </c>
      <c r="D479" s="6">
        <v>3280</v>
      </c>
      <c r="E479" s="6">
        <v>337</v>
      </c>
      <c r="F479" s="6">
        <v>4</v>
      </c>
      <c r="G479" s="36">
        <v>2</v>
      </c>
      <c r="H479" s="36">
        <v>80942</v>
      </c>
      <c r="I479" s="36" t="s">
        <v>1505</v>
      </c>
      <c r="J479" s="36">
        <v>82585628</v>
      </c>
      <c r="K479" s="36" t="s">
        <v>3111</v>
      </c>
      <c r="L479" s="34" t="s">
        <v>3116</v>
      </c>
      <c r="M479" s="33">
        <v>249900</v>
      </c>
      <c r="N479" s="9">
        <f t="shared" si="43"/>
        <v>0.9</v>
      </c>
      <c r="O479" s="8">
        <f t="shared" si="44"/>
        <v>24990</v>
      </c>
      <c r="P479" s="9" t="str">
        <f t="shared" si="45"/>
        <v>PERCENTAGE</v>
      </c>
    </row>
    <row r="480" spans="1:16" x14ac:dyDescent="0.25">
      <c r="A480" s="6" t="str">
        <f t="shared" si="48"/>
        <v>2023 ALL D90</v>
      </c>
      <c r="B480" s="7">
        <f t="shared" si="46"/>
        <v>46114</v>
      </c>
      <c r="C480" s="7">
        <f t="shared" si="47"/>
        <v>46120</v>
      </c>
      <c r="D480" s="6">
        <v>3280</v>
      </c>
      <c r="E480" s="6">
        <v>337</v>
      </c>
      <c r="F480" s="6">
        <v>4</v>
      </c>
      <c r="G480" s="36">
        <v>2</v>
      </c>
      <c r="H480" s="36">
        <v>80942</v>
      </c>
      <c r="I480" s="36" t="s">
        <v>1505</v>
      </c>
      <c r="J480" s="36">
        <v>82585637</v>
      </c>
      <c r="K480" s="36" t="s">
        <v>3111</v>
      </c>
      <c r="L480" s="34" t="s">
        <v>3117</v>
      </c>
      <c r="M480" s="33">
        <v>249900</v>
      </c>
      <c r="N480" s="9">
        <f t="shared" si="43"/>
        <v>0.9</v>
      </c>
      <c r="O480" s="8">
        <f t="shared" si="44"/>
        <v>24990</v>
      </c>
      <c r="P480" s="9" t="str">
        <f t="shared" si="45"/>
        <v>PERCENTAGE</v>
      </c>
    </row>
    <row r="481" spans="1:16" x14ac:dyDescent="0.25">
      <c r="A481" s="6" t="str">
        <f t="shared" si="48"/>
        <v>2023 ALL D90</v>
      </c>
      <c r="B481" s="7">
        <f t="shared" si="46"/>
        <v>46114</v>
      </c>
      <c r="C481" s="7">
        <f t="shared" si="47"/>
        <v>46120</v>
      </c>
      <c r="D481" s="6">
        <v>3280</v>
      </c>
      <c r="E481" s="6">
        <v>337</v>
      </c>
      <c r="F481" s="6">
        <v>4</v>
      </c>
      <c r="G481" s="36">
        <v>2</v>
      </c>
      <c r="H481" s="36">
        <v>81306</v>
      </c>
      <c r="I481" s="36" t="s">
        <v>1505</v>
      </c>
      <c r="J481" s="36">
        <v>80793540</v>
      </c>
      <c r="K481" s="36" t="s">
        <v>3098</v>
      </c>
      <c r="L481" s="34" t="s">
        <v>3099</v>
      </c>
      <c r="M481" s="33">
        <v>239900</v>
      </c>
      <c r="N481" s="9">
        <f t="shared" si="43"/>
        <v>0.9</v>
      </c>
      <c r="O481" s="8">
        <f t="shared" si="44"/>
        <v>23990</v>
      </c>
      <c r="P481" s="9" t="str">
        <f t="shared" si="45"/>
        <v>PERCENTAGE</v>
      </c>
    </row>
    <row r="482" spans="1:16" x14ac:dyDescent="0.25">
      <c r="A482" s="6" t="str">
        <f t="shared" si="48"/>
        <v>2023 ALL D90</v>
      </c>
      <c r="B482" s="7">
        <f t="shared" si="46"/>
        <v>46114</v>
      </c>
      <c r="C482" s="7">
        <f t="shared" si="47"/>
        <v>46120</v>
      </c>
      <c r="D482" s="6">
        <v>3280</v>
      </c>
      <c r="E482" s="6">
        <v>337</v>
      </c>
      <c r="F482" s="6">
        <v>4</v>
      </c>
      <c r="G482" s="36">
        <v>2</v>
      </c>
      <c r="H482" s="36">
        <v>81306</v>
      </c>
      <c r="I482" s="36" t="s">
        <v>1505</v>
      </c>
      <c r="J482" s="36">
        <v>80793559</v>
      </c>
      <c r="K482" s="36" t="s">
        <v>3098</v>
      </c>
      <c r="L482" s="34" t="s">
        <v>3100</v>
      </c>
      <c r="M482" s="33">
        <v>239900</v>
      </c>
      <c r="N482" s="9">
        <f t="shared" si="43"/>
        <v>0.9</v>
      </c>
      <c r="O482" s="8">
        <f t="shared" si="44"/>
        <v>23990</v>
      </c>
      <c r="P482" s="9" t="str">
        <f t="shared" si="45"/>
        <v>PERCENTAGE</v>
      </c>
    </row>
    <row r="483" spans="1:16" x14ac:dyDescent="0.25">
      <c r="A483" s="6" t="str">
        <f t="shared" si="48"/>
        <v>2023 ALL D90</v>
      </c>
      <c r="B483" s="7">
        <f t="shared" si="46"/>
        <v>46114</v>
      </c>
      <c r="C483" s="7">
        <f t="shared" si="47"/>
        <v>46120</v>
      </c>
      <c r="D483" s="6">
        <v>3280</v>
      </c>
      <c r="E483" s="6">
        <v>337</v>
      </c>
      <c r="F483" s="6">
        <v>4</v>
      </c>
      <c r="G483" s="36">
        <v>2</v>
      </c>
      <c r="H483" s="36">
        <v>81306</v>
      </c>
      <c r="I483" s="36" t="s">
        <v>1505</v>
      </c>
      <c r="J483" s="36">
        <v>80793568</v>
      </c>
      <c r="K483" s="36" t="s">
        <v>3098</v>
      </c>
      <c r="L483" s="34" t="s">
        <v>3101</v>
      </c>
      <c r="M483" s="33">
        <v>239900</v>
      </c>
      <c r="N483" s="9">
        <f t="shared" si="43"/>
        <v>0.9</v>
      </c>
      <c r="O483" s="8">
        <f t="shared" si="44"/>
        <v>23990</v>
      </c>
      <c r="P483" s="9" t="str">
        <f t="shared" si="45"/>
        <v>PERCENTAGE</v>
      </c>
    </row>
    <row r="484" spans="1:16" x14ac:dyDescent="0.25">
      <c r="A484" s="6" t="str">
        <f t="shared" si="48"/>
        <v>2023 ALL D90</v>
      </c>
      <c r="B484" s="7">
        <f t="shared" si="46"/>
        <v>46114</v>
      </c>
      <c r="C484" s="7">
        <f t="shared" si="47"/>
        <v>46120</v>
      </c>
      <c r="D484" s="6">
        <v>3280</v>
      </c>
      <c r="E484" s="6">
        <v>337</v>
      </c>
      <c r="F484" s="6">
        <v>4</v>
      </c>
      <c r="G484" s="36">
        <v>2</v>
      </c>
      <c r="H484" s="36">
        <v>81306</v>
      </c>
      <c r="I484" s="36" t="s">
        <v>1505</v>
      </c>
      <c r="J484" s="36">
        <v>80793577</v>
      </c>
      <c r="K484" s="36" t="s">
        <v>3098</v>
      </c>
      <c r="L484" s="34" t="s">
        <v>3102</v>
      </c>
      <c r="M484" s="33">
        <v>249900</v>
      </c>
      <c r="N484" s="9">
        <f t="shared" si="43"/>
        <v>0.9</v>
      </c>
      <c r="O484" s="8">
        <f t="shared" si="44"/>
        <v>24990</v>
      </c>
      <c r="P484" s="9" t="str">
        <f t="shared" si="45"/>
        <v>PERCENTAGE</v>
      </c>
    </row>
    <row r="485" spans="1:16" x14ac:dyDescent="0.25">
      <c r="A485" s="6" t="str">
        <f t="shared" si="48"/>
        <v>2023 ALL D90</v>
      </c>
      <c r="B485" s="7">
        <f t="shared" si="46"/>
        <v>46114</v>
      </c>
      <c r="C485" s="7">
        <f t="shared" si="47"/>
        <v>46120</v>
      </c>
      <c r="D485" s="6">
        <v>3280</v>
      </c>
      <c r="E485" s="6">
        <v>337</v>
      </c>
      <c r="F485" s="6">
        <v>4</v>
      </c>
      <c r="G485" s="36">
        <v>2</v>
      </c>
      <c r="H485" s="36">
        <v>81306</v>
      </c>
      <c r="I485" s="36" t="s">
        <v>1505</v>
      </c>
      <c r="J485" s="36">
        <v>80793586</v>
      </c>
      <c r="K485" s="36" t="s">
        <v>3098</v>
      </c>
      <c r="L485" s="34" t="s">
        <v>3103</v>
      </c>
      <c r="M485" s="33">
        <v>249900</v>
      </c>
      <c r="N485" s="9">
        <f t="shared" si="43"/>
        <v>0.9</v>
      </c>
      <c r="O485" s="8">
        <f t="shared" si="44"/>
        <v>24990</v>
      </c>
      <c r="P485" s="9" t="str">
        <f t="shared" si="45"/>
        <v>PERCENTAGE</v>
      </c>
    </row>
    <row r="486" spans="1:16" x14ac:dyDescent="0.25">
      <c r="A486" s="6" t="str">
        <f t="shared" si="48"/>
        <v>2023 ALL D90</v>
      </c>
      <c r="B486" s="7">
        <f t="shared" si="46"/>
        <v>46114</v>
      </c>
      <c r="C486" s="7">
        <f t="shared" si="47"/>
        <v>46120</v>
      </c>
      <c r="D486" s="6">
        <v>3280</v>
      </c>
      <c r="E486" s="6">
        <v>337</v>
      </c>
      <c r="F486" s="6">
        <v>4</v>
      </c>
      <c r="G486" s="36">
        <v>2</v>
      </c>
      <c r="H486" s="36">
        <v>81622</v>
      </c>
      <c r="I486" s="36" t="s">
        <v>1505</v>
      </c>
      <c r="J486" s="36">
        <v>79669099</v>
      </c>
      <c r="K486" s="36" t="s">
        <v>3091</v>
      </c>
      <c r="L486" s="34" t="s">
        <v>3092</v>
      </c>
      <c r="M486" s="33">
        <v>239900</v>
      </c>
      <c r="N486" s="9">
        <f t="shared" si="43"/>
        <v>0.9</v>
      </c>
      <c r="O486" s="8">
        <f t="shared" si="44"/>
        <v>23990</v>
      </c>
      <c r="P486" s="9" t="str">
        <f t="shared" si="45"/>
        <v>PERCENTAGE</v>
      </c>
    </row>
    <row r="487" spans="1:16" x14ac:dyDescent="0.25">
      <c r="A487" s="6" t="str">
        <f t="shared" si="48"/>
        <v>2023 ALL D90</v>
      </c>
      <c r="B487" s="7">
        <f t="shared" si="46"/>
        <v>46114</v>
      </c>
      <c r="C487" s="7">
        <f t="shared" si="47"/>
        <v>46120</v>
      </c>
      <c r="D487" s="6">
        <v>3280</v>
      </c>
      <c r="E487" s="6">
        <v>337</v>
      </c>
      <c r="F487" s="6">
        <v>4</v>
      </c>
      <c r="G487" s="36">
        <v>2</v>
      </c>
      <c r="H487" s="36">
        <v>81622</v>
      </c>
      <c r="I487" s="36" t="s">
        <v>1505</v>
      </c>
      <c r="J487" s="36">
        <v>79669106</v>
      </c>
      <c r="K487" s="36" t="s">
        <v>3091</v>
      </c>
      <c r="L487" s="34" t="s">
        <v>3093</v>
      </c>
      <c r="M487" s="33">
        <v>239900</v>
      </c>
      <c r="N487" s="9">
        <f t="shared" si="43"/>
        <v>0.9</v>
      </c>
      <c r="O487" s="8">
        <f t="shared" si="44"/>
        <v>23990</v>
      </c>
      <c r="P487" s="9" t="str">
        <f t="shared" si="45"/>
        <v>PERCENTAGE</v>
      </c>
    </row>
    <row r="488" spans="1:16" x14ac:dyDescent="0.25">
      <c r="A488" s="6" t="str">
        <f t="shared" si="48"/>
        <v>2023 ALL D90</v>
      </c>
      <c r="B488" s="7">
        <f t="shared" si="46"/>
        <v>46114</v>
      </c>
      <c r="C488" s="7">
        <f t="shared" si="47"/>
        <v>46120</v>
      </c>
      <c r="D488" s="6">
        <v>3280</v>
      </c>
      <c r="E488" s="6">
        <v>337</v>
      </c>
      <c r="F488" s="6">
        <v>4</v>
      </c>
      <c r="G488" s="36">
        <v>2</v>
      </c>
      <c r="H488" s="36">
        <v>81622</v>
      </c>
      <c r="I488" s="36" t="s">
        <v>1505</v>
      </c>
      <c r="J488" s="36">
        <v>79669115</v>
      </c>
      <c r="K488" s="36" t="s">
        <v>3091</v>
      </c>
      <c r="L488" s="34" t="s">
        <v>3094</v>
      </c>
      <c r="M488" s="33">
        <v>239900</v>
      </c>
      <c r="N488" s="9">
        <f t="shared" si="43"/>
        <v>0.9</v>
      </c>
      <c r="O488" s="8">
        <f t="shared" si="44"/>
        <v>23990</v>
      </c>
      <c r="P488" s="9" t="str">
        <f t="shared" si="45"/>
        <v>PERCENTAGE</v>
      </c>
    </row>
    <row r="489" spans="1:16" x14ac:dyDescent="0.25">
      <c r="A489" s="6" t="str">
        <f t="shared" si="48"/>
        <v>2023 ALL D90</v>
      </c>
      <c r="B489" s="7">
        <f t="shared" si="46"/>
        <v>46114</v>
      </c>
      <c r="C489" s="7">
        <f t="shared" si="47"/>
        <v>46120</v>
      </c>
      <c r="D489" s="6">
        <v>3280</v>
      </c>
      <c r="E489" s="6">
        <v>337</v>
      </c>
      <c r="F489" s="6">
        <v>4</v>
      </c>
      <c r="G489" s="36">
        <v>2</v>
      </c>
      <c r="H489" s="36">
        <v>81622</v>
      </c>
      <c r="I489" s="36" t="s">
        <v>1505</v>
      </c>
      <c r="J489" s="36">
        <v>79669124</v>
      </c>
      <c r="K489" s="36" t="s">
        <v>3091</v>
      </c>
      <c r="L489" s="34" t="s">
        <v>3095</v>
      </c>
      <c r="M489" s="33">
        <v>249900</v>
      </c>
      <c r="N489" s="9">
        <f t="shared" si="43"/>
        <v>0.9</v>
      </c>
      <c r="O489" s="8">
        <f t="shared" si="44"/>
        <v>24990</v>
      </c>
      <c r="P489" s="9" t="str">
        <f t="shared" si="45"/>
        <v>PERCENTAGE</v>
      </c>
    </row>
    <row r="490" spans="1:16" x14ac:dyDescent="0.25">
      <c r="A490" s="6" t="str">
        <f t="shared" si="48"/>
        <v>2023 ALL D90</v>
      </c>
      <c r="B490" s="7">
        <f t="shared" si="46"/>
        <v>46114</v>
      </c>
      <c r="C490" s="7">
        <f t="shared" si="47"/>
        <v>46120</v>
      </c>
      <c r="D490" s="6">
        <v>3280</v>
      </c>
      <c r="E490" s="6">
        <v>337</v>
      </c>
      <c r="F490" s="6">
        <v>4</v>
      </c>
      <c r="G490" s="36">
        <v>2</v>
      </c>
      <c r="H490" s="36">
        <v>81622</v>
      </c>
      <c r="I490" s="36" t="s">
        <v>1505</v>
      </c>
      <c r="J490" s="36">
        <v>79669133</v>
      </c>
      <c r="K490" s="36" t="s">
        <v>3091</v>
      </c>
      <c r="L490" s="34" t="s">
        <v>3096</v>
      </c>
      <c r="M490" s="33">
        <v>249900</v>
      </c>
      <c r="N490" s="9">
        <f t="shared" si="43"/>
        <v>0.9</v>
      </c>
      <c r="O490" s="8">
        <f t="shared" si="44"/>
        <v>24990</v>
      </c>
      <c r="P490" s="9" t="str">
        <f t="shared" si="45"/>
        <v>PERCENTAGE</v>
      </c>
    </row>
    <row r="491" spans="1:16" x14ac:dyDescent="0.25">
      <c r="A491" s="6" t="str">
        <f t="shared" si="48"/>
        <v>2023 ALL D90</v>
      </c>
      <c r="B491" s="7">
        <f t="shared" si="46"/>
        <v>46114</v>
      </c>
      <c r="C491" s="7">
        <f t="shared" si="47"/>
        <v>46120</v>
      </c>
      <c r="D491" s="6">
        <v>3280</v>
      </c>
      <c r="E491" s="6">
        <v>337</v>
      </c>
      <c r="F491" s="6">
        <v>4</v>
      </c>
      <c r="G491" s="36">
        <v>2</v>
      </c>
      <c r="H491" s="36">
        <v>81622</v>
      </c>
      <c r="I491" s="36" t="s">
        <v>1505</v>
      </c>
      <c r="J491" s="36">
        <v>79669142</v>
      </c>
      <c r="K491" s="36" t="s">
        <v>3091</v>
      </c>
      <c r="L491" s="34" t="s">
        <v>3097</v>
      </c>
      <c r="M491" s="33">
        <v>249900</v>
      </c>
      <c r="N491" s="9">
        <f t="shared" si="43"/>
        <v>0.9</v>
      </c>
      <c r="O491" s="8">
        <f t="shared" si="44"/>
        <v>24990</v>
      </c>
      <c r="P491" s="9" t="str">
        <f t="shared" si="45"/>
        <v>PERCENTAGE</v>
      </c>
    </row>
    <row r="492" spans="1:16" x14ac:dyDescent="0.25">
      <c r="A492" s="6" t="str">
        <f t="shared" si="48"/>
        <v>2023 ALL D90</v>
      </c>
      <c r="B492" s="7">
        <f t="shared" si="46"/>
        <v>46114</v>
      </c>
      <c r="C492" s="7">
        <f t="shared" si="47"/>
        <v>46120</v>
      </c>
      <c r="D492" s="6">
        <v>3280</v>
      </c>
      <c r="E492" s="6">
        <v>337</v>
      </c>
      <c r="F492" s="6">
        <v>4</v>
      </c>
      <c r="G492" s="36">
        <v>2</v>
      </c>
      <c r="H492" s="36">
        <v>81622</v>
      </c>
      <c r="I492" s="36" t="s">
        <v>1505</v>
      </c>
      <c r="J492" s="36">
        <v>82585164</v>
      </c>
      <c r="K492" s="36" t="s">
        <v>3123</v>
      </c>
      <c r="L492" s="34" t="s">
        <v>3124</v>
      </c>
      <c r="M492" s="33">
        <v>239900</v>
      </c>
      <c r="N492" s="9">
        <f t="shared" si="43"/>
        <v>0.9</v>
      </c>
      <c r="O492" s="8">
        <f t="shared" si="44"/>
        <v>23990</v>
      </c>
      <c r="P492" s="9" t="str">
        <f t="shared" si="45"/>
        <v>PERCENTAGE</v>
      </c>
    </row>
    <row r="493" spans="1:16" x14ac:dyDescent="0.25">
      <c r="A493" s="6" t="str">
        <f t="shared" si="48"/>
        <v>2023 ALL D90</v>
      </c>
      <c r="B493" s="7">
        <f t="shared" si="46"/>
        <v>46114</v>
      </c>
      <c r="C493" s="7">
        <f t="shared" si="47"/>
        <v>46120</v>
      </c>
      <c r="D493" s="6">
        <v>3280</v>
      </c>
      <c r="E493" s="6">
        <v>337</v>
      </c>
      <c r="F493" s="6">
        <v>4</v>
      </c>
      <c r="G493" s="36">
        <v>2</v>
      </c>
      <c r="H493" s="36">
        <v>81622</v>
      </c>
      <c r="I493" s="36" t="s">
        <v>1505</v>
      </c>
      <c r="J493" s="36">
        <v>82585173</v>
      </c>
      <c r="K493" s="36" t="s">
        <v>3123</v>
      </c>
      <c r="L493" s="34" t="s">
        <v>3125</v>
      </c>
      <c r="M493" s="33">
        <v>239900</v>
      </c>
      <c r="N493" s="9">
        <f t="shared" si="43"/>
        <v>0.9</v>
      </c>
      <c r="O493" s="8">
        <f t="shared" si="44"/>
        <v>23990</v>
      </c>
      <c r="P493" s="9" t="str">
        <f t="shared" si="45"/>
        <v>PERCENTAGE</v>
      </c>
    </row>
    <row r="494" spans="1:16" x14ac:dyDescent="0.25">
      <c r="A494" s="6" t="str">
        <f t="shared" si="48"/>
        <v>2023 ALL D90</v>
      </c>
      <c r="B494" s="7">
        <f t="shared" si="46"/>
        <v>46114</v>
      </c>
      <c r="C494" s="7">
        <f t="shared" si="47"/>
        <v>46120</v>
      </c>
      <c r="D494" s="6">
        <v>3280</v>
      </c>
      <c r="E494" s="6">
        <v>337</v>
      </c>
      <c r="F494" s="6">
        <v>4</v>
      </c>
      <c r="G494" s="36">
        <v>2</v>
      </c>
      <c r="H494" s="36">
        <v>81622</v>
      </c>
      <c r="I494" s="36" t="s">
        <v>1505</v>
      </c>
      <c r="J494" s="36">
        <v>82585182</v>
      </c>
      <c r="K494" s="36" t="s">
        <v>3123</v>
      </c>
      <c r="L494" s="34" t="s">
        <v>3126</v>
      </c>
      <c r="M494" s="33">
        <v>239900</v>
      </c>
      <c r="N494" s="9">
        <f t="shared" si="43"/>
        <v>0.9</v>
      </c>
      <c r="O494" s="8">
        <f t="shared" si="44"/>
        <v>23990</v>
      </c>
      <c r="P494" s="9" t="str">
        <f t="shared" si="45"/>
        <v>PERCENTAGE</v>
      </c>
    </row>
    <row r="495" spans="1:16" x14ac:dyDescent="0.25">
      <c r="A495" s="6" t="str">
        <f t="shared" si="48"/>
        <v>2023 ALL D90</v>
      </c>
      <c r="B495" s="7">
        <f t="shared" si="46"/>
        <v>46114</v>
      </c>
      <c r="C495" s="7">
        <f t="shared" si="47"/>
        <v>46120</v>
      </c>
      <c r="D495" s="6">
        <v>3280</v>
      </c>
      <c r="E495" s="6">
        <v>337</v>
      </c>
      <c r="F495" s="6">
        <v>4</v>
      </c>
      <c r="G495" s="36">
        <v>2</v>
      </c>
      <c r="H495" s="36">
        <v>81622</v>
      </c>
      <c r="I495" s="36" t="s">
        <v>1505</v>
      </c>
      <c r="J495" s="36">
        <v>82585191</v>
      </c>
      <c r="K495" s="36" t="s">
        <v>3123</v>
      </c>
      <c r="L495" s="34" t="s">
        <v>3127</v>
      </c>
      <c r="M495" s="33">
        <v>249900</v>
      </c>
      <c r="N495" s="9">
        <f t="shared" si="43"/>
        <v>0.9</v>
      </c>
      <c r="O495" s="8">
        <f t="shared" si="44"/>
        <v>24990</v>
      </c>
      <c r="P495" s="9" t="str">
        <f t="shared" si="45"/>
        <v>PERCENTAGE</v>
      </c>
    </row>
    <row r="496" spans="1:16" x14ac:dyDescent="0.25">
      <c r="A496" s="6" t="str">
        <f t="shared" si="48"/>
        <v>2023 ALL D90</v>
      </c>
      <c r="B496" s="7">
        <f t="shared" si="46"/>
        <v>46114</v>
      </c>
      <c r="C496" s="7">
        <f t="shared" si="47"/>
        <v>46120</v>
      </c>
      <c r="D496" s="6">
        <v>3280</v>
      </c>
      <c r="E496" s="6">
        <v>337</v>
      </c>
      <c r="F496" s="6">
        <v>4</v>
      </c>
      <c r="G496" s="36">
        <v>2</v>
      </c>
      <c r="H496" s="36">
        <v>81622</v>
      </c>
      <c r="I496" s="36" t="s">
        <v>1505</v>
      </c>
      <c r="J496" s="36">
        <v>82585208</v>
      </c>
      <c r="K496" s="36" t="s">
        <v>3123</v>
      </c>
      <c r="L496" s="34" t="s">
        <v>3128</v>
      </c>
      <c r="M496" s="33">
        <v>249900</v>
      </c>
      <c r="N496" s="9">
        <f t="shared" si="43"/>
        <v>0.9</v>
      </c>
      <c r="O496" s="8">
        <f t="shared" si="44"/>
        <v>24990</v>
      </c>
      <c r="P496" s="9" t="str">
        <f t="shared" si="45"/>
        <v>PERCENTAGE</v>
      </c>
    </row>
    <row r="497" spans="1:16" x14ac:dyDescent="0.25">
      <c r="A497" s="6" t="str">
        <f t="shared" si="48"/>
        <v>2023 ALL D90</v>
      </c>
      <c r="B497" s="7">
        <f t="shared" si="46"/>
        <v>46114</v>
      </c>
      <c r="C497" s="7">
        <f t="shared" si="47"/>
        <v>46120</v>
      </c>
      <c r="D497" s="6">
        <v>3280</v>
      </c>
      <c r="E497" s="6">
        <v>337</v>
      </c>
      <c r="F497" s="6">
        <v>4</v>
      </c>
      <c r="G497" s="36">
        <v>2</v>
      </c>
      <c r="H497" s="36">
        <v>81622</v>
      </c>
      <c r="I497" s="36" t="s">
        <v>1505</v>
      </c>
      <c r="J497" s="36">
        <v>82585217</v>
      </c>
      <c r="K497" s="36" t="s">
        <v>3123</v>
      </c>
      <c r="L497" s="34" t="s">
        <v>3129</v>
      </c>
      <c r="M497" s="33">
        <v>249900</v>
      </c>
      <c r="N497" s="9">
        <f t="shared" si="43"/>
        <v>0.9</v>
      </c>
      <c r="O497" s="8">
        <f t="shared" si="44"/>
        <v>24990</v>
      </c>
      <c r="P497" s="9" t="str">
        <f t="shared" si="45"/>
        <v>PERCENTAGE</v>
      </c>
    </row>
    <row r="498" spans="1:16" x14ac:dyDescent="0.25">
      <c r="A498" s="6" t="str">
        <f t="shared" si="48"/>
        <v>2023 ALL D90</v>
      </c>
      <c r="B498" s="7">
        <f t="shared" si="46"/>
        <v>46114</v>
      </c>
      <c r="C498" s="7">
        <f t="shared" si="47"/>
        <v>46120</v>
      </c>
      <c r="D498" s="6">
        <v>3280</v>
      </c>
      <c r="E498" s="6">
        <v>337</v>
      </c>
      <c r="F498" s="6">
        <v>4</v>
      </c>
      <c r="G498" s="36">
        <v>2</v>
      </c>
      <c r="H498" s="36">
        <v>81698</v>
      </c>
      <c r="I498" s="36" t="s">
        <v>1505</v>
      </c>
      <c r="J498" s="36">
        <v>82585280</v>
      </c>
      <c r="K498" s="36" t="s">
        <v>3130</v>
      </c>
      <c r="L498" s="34" t="s">
        <v>3131</v>
      </c>
      <c r="M498" s="33">
        <v>239900</v>
      </c>
      <c r="N498" s="9">
        <f t="shared" si="43"/>
        <v>0.9</v>
      </c>
      <c r="O498" s="8">
        <f t="shared" si="44"/>
        <v>23990</v>
      </c>
      <c r="P498" s="9" t="str">
        <f t="shared" si="45"/>
        <v>PERCENTAGE</v>
      </c>
    </row>
    <row r="499" spans="1:16" x14ac:dyDescent="0.25">
      <c r="A499" s="6" t="str">
        <f t="shared" si="48"/>
        <v>2023 ALL D90</v>
      </c>
      <c r="B499" s="7">
        <f t="shared" si="46"/>
        <v>46114</v>
      </c>
      <c r="C499" s="7">
        <f t="shared" si="47"/>
        <v>46120</v>
      </c>
      <c r="D499" s="6">
        <v>3280</v>
      </c>
      <c r="E499" s="6">
        <v>337</v>
      </c>
      <c r="F499" s="6">
        <v>4</v>
      </c>
      <c r="G499" s="36">
        <v>2</v>
      </c>
      <c r="H499" s="36">
        <v>81698</v>
      </c>
      <c r="I499" s="36" t="s">
        <v>1505</v>
      </c>
      <c r="J499" s="36">
        <v>82585299</v>
      </c>
      <c r="K499" s="36" t="s">
        <v>3130</v>
      </c>
      <c r="L499" s="34" t="s">
        <v>3132</v>
      </c>
      <c r="M499" s="33">
        <v>239900</v>
      </c>
      <c r="N499" s="9">
        <f t="shared" si="43"/>
        <v>0.9</v>
      </c>
      <c r="O499" s="8">
        <f t="shared" si="44"/>
        <v>23990</v>
      </c>
      <c r="P499" s="9" t="str">
        <f t="shared" si="45"/>
        <v>PERCENTAGE</v>
      </c>
    </row>
    <row r="500" spans="1:16" x14ac:dyDescent="0.25">
      <c r="A500" s="6" t="str">
        <f t="shared" si="48"/>
        <v>2023 ALL D90</v>
      </c>
      <c r="B500" s="7">
        <f t="shared" si="46"/>
        <v>46114</v>
      </c>
      <c r="C500" s="7">
        <f t="shared" si="47"/>
        <v>46120</v>
      </c>
      <c r="D500" s="6">
        <v>3280</v>
      </c>
      <c r="E500" s="6">
        <v>337</v>
      </c>
      <c r="F500" s="6">
        <v>4</v>
      </c>
      <c r="G500" s="36">
        <v>2</v>
      </c>
      <c r="H500" s="36">
        <v>81698</v>
      </c>
      <c r="I500" s="36" t="s">
        <v>1505</v>
      </c>
      <c r="J500" s="36">
        <v>82585306</v>
      </c>
      <c r="K500" s="36" t="s">
        <v>3130</v>
      </c>
      <c r="L500" s="34" t="s">
        <v>3133</v>
      </c>
      <c r="M500" s="33">
        <v>239900</v>
      </c>
      <c r="N500" s="9">
        <f t="shared" si="43"/>
        <v>0.9</v>
      </c>
      <c r="O500" s="8">
        <f t="shared" si="44"/>
        <v>23990</v>
      </c>
      <c r="P500" s="9" t="str">
        <f t="shared" si="45"/>
        <v>PERCENTAGE</v>
      </c>
    </row>
    <row r="501" spans="1:16" x14ac:dyDescent="0.25">
      <c r="A501" s="6" t="str">
        <f t="shared" si="48"/>
        <v>2023 ALL D90</v>
      </c>
      <c r="B501" s="7">
        <f t="shared" si="46"/>
        <v>46114</v>
      </c>
      <c r="C501" s="7">
        <f t="shared" si="47"/>
        <v>46120</v>
      </c>
      <c r="D501" s="6">
        <v>3280</v>
      </c>
      <c r="E501" s="6">
        <v>337</v>
      </c>
      <c r="F501" s="6">
        <v>4</v>
      </c>
      <c r="G501" s="36">
        <v>2</v>
      </c>
      <c r="H501" s="36">
        <v>81698</v>
      </c>
      <c r="I501" s="36" t="s">
        <v>1505</v>
      </c>
      <c r="J501" s="36">
        <v>82585315</v>
      </c>
      <c r="K501" s="36" t="s">
        <v>3130</v>
      </c>
      <c r="L501" s="34" t="s">
        <v>3134</v>
      </c>
      <c r="M501" s="33">
        <v>249900</v>
      </c>
      <c r="N501" s="9">
        <f t="shared" si="43"/>
        <v>0.9</v>
      </c>
      <c r="O501" s="8">
        <f t="shared" si="44"/>
        <v>24990</v>
      </c>
      <c r="P501" s="9" t="str">
        <f t="shared" si="45"/>
        <v>PERCENTAGE</v>
      </c>
    </row>
    <row r="502" spans="1:16" x14ac:dyDescent="0.25">
      <c r="A502" s="6" t="str">
        <f t="shared" si="48"/>
        <v>2023 ALL D90</v>
      </c>
      <c r="B502" s="7">
        <f t="shared" si="46"/>
        <v>46114</v>
      </c>
      <c r="C502" s="7">
        <f t="shared" si="47"/>
        <v>46120</v>
      </c>
      <c r="D502" s="6">
        <v>3280</v>
      </c>
      <c r="E502" s="6">
        <v>337</v>
      </c>
      <c r="F502" s="6">
        <v>4</v>
      </c>
      <c r="G502" s="36">
        <v>2</v>
      </c>
      <c r="H502" s="36">
        <v>81698</v>
      </c>
      <c r="I502" s="36" t="s">
        <v>1505</v>
      </c>
      <c r="J502" s="36">
        <v>82585324</v>
      </c>
      <c r="K502" s="36" t="s">
        <v>3130</v>
      </c>
      <c r="L502" s="34" t="s">
        <v>3135</v>
      </c>
      <c r="M502" s="33">
        <v>249900</v>
      </c>
      <c r="N502" s="9">
        <f t="shared" si="43"/>
        <v>0.9</v>
      </c>
      <c r="O502" s="8">
        <f t="shared" si="44"/>
        <v>24990</v>
      </c>
      <c r="P502" s="9" t="str">
        <f t="shared" si="45"/>
        <v>PERCENTAGE</v>
      </c>
    </row>
    <row r="503" spans="1:16" x14ac:dyDescent="0.25">
      <c r="A503" s="6" t="str">
        <f t="shared" si="48"/>
        <v>2023 ALL D90</v>
      </c>
      <c r="B503" s="7">
        <f t="shared" si="46"/>
        <v>46114</v>
      </c>
      <c r="C503" s="7">
        <f t="shared" si="47"/>
        <v>46120</v>
      </c>
      <c r="D503" s="6">
        <v>3280</v>
      </c>
      <c r="E503" s="6">
        <v>337</v>
      </c>
      <c r="F503" s="6">
        <v>4</v>
      </c>
      <c r="G503" s="36">
        <v>2</v>
      </c>
      <c r="H503" s="36">
        <v>81698</v>
      </c>
      <c r="I503" s="36" t="s">
        <v>1505</v>
      </c>
      <c r="J503" s="36">
        <v>82585333</v>
      </c>
      <c r="K503" s="36" t="s">
        <v>3130</v>
      </c>
      <c r="L503" s="34" t="s">
        <v>3136</v>
      </c>
      <c r="M503" s="33">
        <v>249900</v>
      </c>
      <c r="N503" s="9">
        <f t="shared" si="43"/>
        <v>0.9</v>
      </c>
      <c r="O503" s="8">
        <f t="shared" si="44"/>
        <v>24990</v>
      </c>
      <c r="P503" s="9" t="str">
        <f t="shared" si="45"/>
        <v>PERCENTAGE</v>
      </c>
    </row>
    <row r="504" spans="1:16" x14ac:dyDescent="0.25">
      <c r="A504" s="6" t="str">
        <f t="shared" si="48"/>
        <v>2023 ALL D90</v>
      </c>
      <c r="B504" s="7">
        <f t="shared" si="46"/>
        <v>46114</v>
      </c>
      <c r="C504" s="7">
        <f t="shared" si="47"/>
        <v>46120</v>
      </c>
      <c r="D504" s="6">
        <v>3280</v>
      </c>
      <c r="E504" s="6">
        <v>337</v>
      </c>
      <c r="F504" s="6">
        <v>4</v>
      </c>
      <c r="G504" s="36">
        <v>2</v>
      </c>
      <c r="H504" s="36">
        <v>81622</v>
      </c>
      <c r="I504" s="36" t="s">
        <v>1505</v>
      </c>
      <c r="J504" s="36">
        <v>83473881</v>
      </c>
      <c r="K504" s="36" t="s">
        <v>3137</v>
      </c>
      <c r="L504" s="34" t="s">
        <v>3138</v>
      </c>
      <c r="M504" s="33">
        <v>239900</v>
      </c>
      <c r="N504" s="9">
        <f t="shared" si="43"/>
        <v>0.9</v>
      </c>
      <c r="O504" s="8">
        <f t="shared" si="44"/>
        <v>23990</v>
      </c>
      <c r="P504" s="9" t="str">
        <f t="shared" si="45"/>
        <v>PERCENTAGE</v>
      </c>
    </row>
    <row r="505" spans="1:16" x14ac:dyDescent="0.25">
      <c r="A505" s="6" t="str">
        <f t="shared" si="48"/>
        <v>2023 ALL D90</v>
      </c>
      <c r="B505" s="7">
        <f t="shared" si="46"/>
        <v>46114</v>
      </c>
      <c r="C505" s="7">
        <f t="shared" si="47"/>
        <v>46120</v>
      </c>
      <c r="D505" s="6">
        <v>3280</v>
      </c>
      <c r="E505" s="6">
        <v>337</v>
      </c>
      <c r="F505" s="6">
        <v>4</v>
      </c>
      <c r="G505" s="36">
        <v>2</v>
      </c>
      <c r="H505" s="36">
        <v>81622</v>
      </c>
      <c r="I505" s="36" t="s">
        <v>1505</v>
      </c>
      <c r="J505" s="36">
        <v>83473890</v>
      </c>
      <c r="K505" s="36" t="s">
        <v>3137</v>
      </c>
      <c r="L505" s="34" t="s">
        <v>3139</v>
      </c>
      <c r="M505" s="33">
        <v>239900</v>
      </c>
      <c r="N505" s="9">
        <f t="shared" si="43"/>
        <v>0.9</v>
      </c>
      <c r="O505" s="8">
        <f t="shared" si="44"/>
        <v>23990</v>
      </c>
      <c r="P505" s="9" t="str">
        <f t="shared" si="45"/>
        <v>PERCENTAGE</v>
      </c>
    </row>
    <row r="506" spans="1:16" x14ac:dyDescent="0.25">
      <c r="A506" s="6" t="str">
        <f t="shared" si="48"/>
        <v>2023 ALL D90</v>
      </c>
      <c r="B506" s="7">
        <f t="shared" si="46"/>
        <v>46114</v>
      </c>
      <c r="C506" s="7">
        <f t="shared" si="47"/>
        <v>46120</v>
      </c>
      <c r="D506" s="6">
        <v>3280</v>
      </c>
      <c r="E506" s="6">
        <v>337</v>
      </c>
      <c r="F506" s="6">
        <v>4</v>
      </c>
      <c r="G506" s="36">
        <v>2</v>
      </c>
      <c r="H506" s="36">
        <v>81622</v>
      </c>
      <c r="I506" s="36" t="s">
        <v>1505</v>
      </c>
      <c r="J506" s="36">
        <v>83473907</v>
      </c>
      <c r="K506" s="36" t="s">
        <v>3137</v>
      </c>
      <c r="L506" s="34" t="s">
        <v>3140</v>
      </c>
      <c r="M506" s="33">
        <v>239900</v>
      </c>
      <c r="N506" s="9">
        <f t="shared" si="43"/>
        <v>0.9</v>
      </c>
      <c r="O506" s="8">
        <f t="shared" si="44"/>
        <v>23990</v>
      </c>
      <c r="P506" s="9" t="str">
        <f t="shared" si="45"/>
        <v>PERCENTAGE</v>
      </c>
    </row>
    <row r="507" spans="1:16" x14ac:dyDescent="0.25">
      <c r="A507" s="6" t="str">
        <f t="shared" si="48"/>
        <v>2023 ALL D90</v>
      </c>
      <c r="B507" s="7">
        <f t="shared" si="46"/>
        <v>46114</v>
      </c>
      <c r="C507" s="7">
        <f t="shared" si="47"/>
        <v>46120</v>
      </c>
      <c r="D507" s="6">
        <v>3280</v>
      </c>
      <c r="E507" s="6">
        <v>337</v>
      </c>
      <c r="F507" s="6">
        <v>4</v>
      </c>
      <c r="G507" s="36">
        <v>2</v>
      </c>
      <c r="H507" s="36">
        <v>81622</v>
      </c>
      <c r="I507" s="36" t="s">
        <v>1505</v>
      </c>
      <c r="J507" s="36">
        <v>83473916</v>
      </c>
      <c r="K507" s="36" t="s">
        <v>3137</v>
      </c>
      <c r="L507" s="34" t="s">
        <v>3141</v>
      </c>
      <c r="M507" s="33">
        <v>249900</v>
      </c>
      <c r="N507" s="9">
        <f t="shared" si="43"/>
        <v>0.9</v>
      </c>
      <c r="O507" s="8">
        <f t="shared" si="44"/>
        <v>24990</v>
      </c>
      <c r="P507" s="9" t="str">
        <f t="shared" si="45"/>
        <v>PERCENTAGE</v>
      </c>
    </row>
    <row r="508" spans="1:16" x14ac:dyDescent="0.25">
      <c r="A508" s="6" t="str">
        <f t="shared" si="48"/>
        <v>2023 ALL D90</v>
      </c>
      <c r="B508" s="7">
        <f t="shared" si="46"/>
        <v>46114</v>
      </c>
      <c r="C508" s="7">
        <f t="shared" si="47"/>
        <v>46120</v>
      </c>
      <c r="D508" s="6">
        <v>3280</v>
      </c>
      <c r="E508" s="6">
        <v>337</v>
      </c>
      <c r="F508" s="6">
        <v>4</v>
      </c>
      <c r="G508" s="36">
        <v>2</v>
      </c>
      <c r="H508" s="36">
        <v>81622</v>
      </c>
      <c r="I508" s="36" t="s">
        <v>1505</v>
      </c>
      <c r="J508" s="36">
        <v>83473925</v>
      </c>
      <c r="K508" s="36" t="s">
        <v>3137</v>
      </c>
      <c r="L508" s="34" t="s">
        <v>3142</v>
      </c>
      <c r="M508" s="33">
        <v>249900</v>
      </c>
      <c r="N508" s="9">
        <f t="shared" si="43"/>
        <v>0.9</v>
      </c>
      <c r="O508" s="8">
        <f t="shared" si="44"/>
        <v>24990</v>
      </c>
      <c r="P508" s="9" t="str">
        <f t="shared" si="45"/>
        <v>PERCENTAGE</v>
      </c>
    </row>
    <row r="509" spans="1:16" x14ac:dyDescent="0.25">
      <c r="A509" s="6" t="str">
        <f t="shared" si="48"/>
        <v>2023 ALL D90</v>
      </c>
      <c r="B509" s="7">
        <f t="shared" si="46"/>
        <v>46114</v>
      </c>
      <c r="C509" s="7">
        <f t="shared" si="47"/>
        <v>46120</v>
      </c>
      <c r="D509" s="6">
        <v>3280</v>
      </c>
      <c r="E509" s="6">
        <v>337</v>
      </c>
      <c r="F509" s="6">
        <v>4</v>
      </c>
      <c r="G509" s="36">
        <v>2</v>
      </c>
      <c r="H509" s="36">
        <v>81622</v>
      </c>
      <c r="I509" s="36" t="s">
        <v>1505</v>
      </c>
      <c r="J509" s="36">
        <v>83473934</v>
      </c>
      <c r="K509" s="36" t="s">
        <v>3137</v>
      </c>
      <c r="L509" s="34" t="s">
        <v>3143</v>
      </c>
      <c r="M509" s="33">
        <v>249900</v>
      </c>
      <c r="N509" s="9">
        <f t="shared" si="43"/>
        <v>0.9</v>
      </c>
      <c r="O509" s="8">
        <f t="shared" si="44"/>
        <v>24990</v>
      </c>
      <c r="P509" s="9" t="str">
        <f t="shared" si="45"/>
        <v>PERCENTAGE</v>
      </c>
    </row>
    <row r="510" spans="1:16" x14ac:dyDescent="0.25">
      <c r="A510" s="6" t="str">
        <f t="shared" si="48"/>
        <v>2023 ALL D90</v>
      </c>
      <c r="B510" s="7">
        <f t="shared" si="46"/>
        <v>46114</v>
      </c>
      <c r="C510" s="7">
        <f t="shared" si="47"/>
        <v>46120</v>
      </c>
      <c r="D510" s="6">
        <v>3280</v>
      </c>
      <c r="E510" s="6">
        <v>337</v>
      </c>
      <c r="F510" s="6">
        <v>4</v>
      </c>
      <c r="G510" s="36">
        <v>2</v>
      </c>
      <c r="H510" s="36">
        <v>81306</v>
      </c>
      <c r="I510" s="36" t="s">
        <v>1505</v>
      </c>
      <c r="J510" s="36">
        <v>83473649</v>
      </c>
      <c r="K510" s="36" t="s">
        <v>3151</v>
      </c>
      <c r="L510" s="34" t="s">
        <v>3152</v>
      </c>
      <c r="M510" s="33">
        <v>239900</v>
      </c>
      <c r="N510" s="9">
        <f t="shared" si="43"/>
        <v>0.9</v>
      </c>
      <c r="O510" s="8">
        <f t="shared" si="44"/>
        <v>23990</v>
      </c>
      <c r="P510" s="9" t="str">
        <f t="shared" si="45"/>
        <v>PERCENTAGE</v>
      </c>
    </row>
    <row r="511" spans="1:16" x14ac:dyDescent="0.25">
      <c r="A511" s="6" t="str">
        <f t="shared" si="48"/>
        <v>2023 ALL D90</v>
      </c>
      <c r="B511" s="7">
        <f t="shared" si="46"/>
        <v>46114</v>
      </c>
      <c r="C511" s="7">
        <f t="shared" si="47"/>
        <v>46120</v>
      </c>
      <c r="D511" s="6">
        <v>3280</v>
      </c>
      <c r="E511" s="6">
        <v>337</v>
      </c>
      <c r="F511" s="6">
        <v>4</v>
      </c>
      <c r="G511" s="36">
        <v>2</v>
      </c>
      <c r="H511" s="36">
        <v>81306</v>
      </c>
      <c r="I511" s="36" t="s">
        <v>1505</v>
      </c>
      <c r="J511" s="36">
        <v>83473658</v>
      </c>
      <c r="K511" s="36" t="s">
        <v>3151</v>
      </c>
      <c r="L511" s="34" t="s">
        <v>3153</v>
      </c>
      <c r="M511" s="33">
        <v>239900</v>
      </c>
      <c r="N511" s="9">
        <f t="shared" si="43"/>
        <v>0.9</v>
      </c>
      <c r="O511" s="8">
        <f t="shared" si="44"/>
        <v>23990</v>
      </c>
      <c r="P511" s="9" t="str">
        <f t="shared" si="45"/>
        <v>PERCENTAGE</v>
      </c>
    </row>
    <row r="512" spans="1:16" x14ac:dyDescent="0.25">
      <c r="A512" s="6" t="str">
        <f t="shared" si="48"/>
        <v>2023 ALL D90</v>
      </c>
      <c r="B512" s="7">
        <f t="shared" si="46"/>
        <v>46114</v>
      </c>
      <c r="C512" s="7">
        <f t="shared" si="47"/>
        <v>46120</v>
      </c>
      <c r="D512" s="6">
        <v>3280</v>
      </c>
      <c r="E512" s="6">
        <v>337</v>
      </c>
      <c r="F512" s="6">
        <v>4</v>
      </c>
      <c r="G512" s="36">
        <v>2</v>
      </c>
      <c r="H512" s="36">
        <v>81306</v>
      </c>
      <c r="I512" s="36" t="s">
        <v>1505</v>
      </c>
      <c r="J512" s="36">
        <v>83473667</v>
      </c>
      <c r="K512" s="36" t="s">
        <v>3151</v>
      </c>
      <c r="L512" s="34" t="s">
        <v>3154</v>
      </c>
      <c r="M512" s="33">
        <v>239900</v>
      </c>
      <c r="N512" s="9">
        <f t="shared" si="43"/>
        <v>0.9</v>
      </c>
      <c r="O512" s="8">
        <f t="shared" si="44"/>
        <v>23990</v>
      </c>
      <c r="P512" s="9" t="str">
        <f t="shared" si="45"/>
        <v>PERCENTAGE</v>
      </c>
    </row>
    <row r="513" spans="1:16" x14ac:dyDescent="0.25">
      <c r="A513" s="6" t="str">
        <f t="shared" si="48"/>
        <v>2023 ALL D90</v>
      </c>
      <c r="B513" s="7">
        <f t="shared" si="46"/>
        <v>46114</v>
      </c>
      <c r="C513" s="7">
        <f t="shared" si="47"/>
        <v>46120</v>
      </c>
      <c r="D513" s="6">
        <v>3280</v>
      </c>
      <c r="E513" s="6">
        <v>337</v>
      </c>
      <c r="F513" s="6">
        <v>4</v>
      </c>
      <c r="G513" s="36">
        <v>2</v>
      </c>
      <c r="H513" s="36">
        <v>81306</v>
      </c>
      <c r="I513" s="36" t="s">
        <v>1505</v>
      </c>
      <c r="J513" s="36">
        <v>83473676</v>
      </c>
      <c r="K513" s="36" t="s">
        <v>3151</v>
      </c>
      <c r="L513" s="34" t="s">
        <v>3155</v>
      </c>
      <c r="M513" s="33">
        <v>249900</v>
      </c>
      <c r="N513" s="9">
        <f t="shared" si="43"/>
        <v>0.9</v>
      </c>
      <c r="O513" s="8">
        <f t="shared" si="44"/>
        <v>24990</v>
      </c>
      <c r="P513" s="9" t="str">
        <f t="shared" si="45"/>
        <v>PERCENTAGE</v>
      </c>
    </row>
    <row r="514" spans="1:16" x14ac:dyDescent="0.25">
      <c r="A514" s="6" t="str">
        <f t="shared" si="48"/>
        <v>2023 ALL D90</v>
      </c>
      <c r="B514" s="7">
        <f t="shared" si="46"/>
        <v>46114</v>
      </c>
      <c r="C514" s="7">
        <f t="shared" si="47"/>
        <v>46120</v>
      </c>
      <c r="D514" s="6">
        <v>3280</v>
      </c>
      <c r="E514" s="6">
        <v>337</v>
      </c>
      <c r="F514" s="6">
        <v>4</v>
      </c>
      <c r="G514" s="36">
        <v>2</v>
      </c>
      <c r="H514" s="36">
        <v>81306</v>
      </c>
      <c r="I514" s="36" t="s">
        <v>1505</v>
      </c>
      <c r="J514" s="36">
        <v>83473685</v>
      </c>
      <c r="K514" s="36" t="s">
        <v>3151</v>
      </c>
      <c r="L514" s="34" t="s">
        <v>3156</v>
      </c>
      <c r="M514" s="33">
        <v>249900</v>
      </c>
      <c r="N514" s="9">
        <f t="shared" si="43"/>
        <v>0.9</v>
      </c>
      <c r="O514" s="8">
        <f t="shared" si="44"/>
        <v>24990</v>
      </c>
      <c r="P514" s="9" t="str">
        <f t="shared" si="45"/>
        <v>PERCENTAGE</v>
      </c>
    </row>
    <row r="515" spans="1:16" x14ac:dyDescent="0.25">
      <c r="A515" s="6" t="str">
        <f t="shared" si="48"/>
        <v>2023 ALL D90</v>
      </c>
      <c r="B515" s="7">
        <f t="shared" si="46"/>
        <v>46114</v>
      </c>
      <c r="C515" s="7">
        <f t="shared" si="47"/>
        <v>46120</v>
      </c>
      <c r="D515" s="6">
        <v>3280</v>
      </c>
      <c r="E515" s="6">
        <v>337</v>
      </c>
      <c r="F515" s="6">
        <v>4</v>
      </c>
      <c r="G515" s="36">
        <v>2</v>
      </c>
      <c r="H515" s="36">
        <v>81306</v>
      </c>
      <c r="I515" s="36" t="s">
        <v>1505</v>
      </c>
      <c r="J515" s="36">
        <v>83473694</v>
      </c>
      <c r="K515" s="36" t="s">
        <v>3151</v>
      </c>
      <c r="L515" s="34" t="s">
        <v>3157</v>
      </c>
      <c r="M515" s="33">
        <v>249900</v>
      </c>
      <c r="N515" s="9">
        <f t="shared" ref="N515:N578" si="49">N514</f>
        <v>0.9</v>
      </c>
      <c r="O515" s="8">
        <f t="shared" ref="O515:O578" si="50">M515-((90*M515)/100)</f>
        <v>24990</v>
      </c>
      <c r="P515" s="9" t="str">
        <f t="shared" ref="P515:P578" si="51">P514</f>
        <v>PERCENTAGE</v>
      </c>
    </row>
    <row r="516" spans="1:16" x14ac:dyDescent="0.25">
      <c r="A516" s="6" t="str">
        <f t="shared" si="48"/>
        <v>2023 ALL D90</v>
      </c>
      <c r="B516" s="7">
        <f t="shared" si="46"/>
        <v>46114</v>
      </c>
      <c r="C516" s="7">
        <f t="shared" si="47"/>
        <v>46120</v>
      </c>
      <c r="D516" s="6">
        <v>3280</v>
      </c>
      <c r="E516" s="6">
        <v>337</v>
      </c>
      <c r="F516" s="6">
        <v>4</v>
      </c>
      <c r="G516" s="36">
        <v>2</v>
      </c>
      <c r="H516" s="36">
        <v>81306</v>
      </c>
      <c r="I516" s="36" t="s">
        <v>1505</v>
      </c>
      <c r="J516" s="36">
        <v>81776183</v>
      </c>
      <c r="K516" s="36" t="s">
        <v>3144</v>
      </c>
      <c r="L516" s="34" t="s">
        <v>3145</v>
      </c>
      <c r="M516" s="33">
        <v>239900</v>
      </c>
      <c r="N516" s="9">
        <f t="shared" si="49"/>
        <v>0.9</v>
      </c>
      <c r="O516" s="8">
        <f t="shared" si="50"/>
        <v>23990</v>
      </c>
      <c r="P516" s="9" t="str">
        <f t="shared" si="51"/>
        <v>PERCENTAGE</v>
      </c>
    </row>
    <row r="517" spans="1:16" x14ac:dyDescent="0.25">
      <c r="A517" s="6" t="str">
        <f t="shared" si="48"/>
        <v>2023 ALL D90</v>
      </c>
      <c r="B517" s="7">
        <f t="shared" si="46"/>
        <v>46114</v>
      </c>
      <c r="C517" s="7">
        <f t="shared" si="47"/>
        <v>46120</v>
      </c>
      <c r="D517" s="6">
        <v>3280</v>
      </c>
      <c r="E517" s="6">
        <v>337</v>
      </c>
      <c r="F517" s="6">
        <v>4</v>
      </c>
      <c r="G517" s="36">
        <v>2</v>
      </c>
      <c r="H517" s="36">
        <v>81306</v>
      </c>
      <c r="I517" s="36" t="s">
        <v>1505</v>
      </c>
      <c r="J517" s="36">
        <v>81776192</v>
      </c>
      <c r="K517" s="36" t="s">
        <v>3144</v>
      </c>
      <c r="L517" s="34" t="s">
        <v>3146</v>
      </c>
      <c r="M517" s="33">
        <v>239900</v>
      </c>
      <c r="N517" s="9">
        <f t="shared" si="49"/>
        <v>0.9</v>
      </c>
      <c r="O517" s="8">
        <f t="shared" si="50"/>
        <v>23990</v>
      </c>
      <c r="P517" s="9" t="str">
        <f t="shared" si="51"/>
        <v>PERCENTAGE</v>
      </c>
    </row>
    <row r="518" spans="1:16" x14ac:dyDescent="0.25">
      <c r="A518" s="6" t="str">
        <f t="shared" si="48"/>
        <v>2023 ALL D90</v>
      </c>
      <c r="B518" s="7">
        <f t="shared" si="46"/>
        <v>46114</v>
      </c>
      <c r="C518" s="7">
        <f t="shared" si="47"/>
        <v>46120</v>
      </c>
      <c r="D518" s="6">
        <v>3280</v>
      </c>
      <c r="E518" s="6">
        <v>337</v>
      </c>
      <c r="F518" s="6">
        <v>4</v>
      </c>
      <c r="G518" s="36">
        <v>2</v>
      </c>
      <c r="H518" s="36">
        <v>81306</v>
      </c>
      <c r="I518" s="36" t="s">
        <v>1505</v>
      </c>
      <c r="J518" s="36">
        <v>81776209</v>
      </c>
      <c r="K518" s="36" t="s">
        <v>3144</v>
      </c>
      <c r="L518" s="34" t="s">
        <v>3147</v>
      </c>
      <c r="M518" s="33">
        <v>239900</v>
      </c>
      <c r="N518" s="9">
        <f t="shared" si="49"/>
        <v>0.9</v>
      </c>
      <c r="O518" s="8">
        <f t="shared" si="50"/>
        <v>23990</v>
      </c>
      <c r="P518" s="9" t="str">
        <f t="shared" si="51"/>
        <v>PERCENTAGE</v>
      </c>
    </row>
    <row r="519" spans="1:16" x14ac:dyDescent="0.25">
      <c r="A519" s="6" t="str">
        <f t="shared" si="48"/>
        <v>2023 ALL D90</v>
      </c>
      <c r="B519" s="7">
        <f t="shared" si="46"/>
        <v>46114</v>
      </c>
      <c r="C519" s="7">
        <f t="shared" si="47"/>
        <v>46120</v>
      </c>
      <c r="D519" s="6">
        <v>3280</v>
      </c>
      <c r="E519" s="6">
        <v>337</v>
      </c>
      <c r="F519" s="6">
        <v>4</v>
      </c>
      <c r="G519" s="36">
        <v>2</v>
      </c>
      <c r="H519" s="36">
        <v>81306</v>
      </c>
      <c r="I519" s="36" t="s">
        <v>1505</v>
      </c>
      <c r="J519" s="36">
        <v>81776218</v>
      </c>
      <c r="K519" s="36" t="s">
        <v>3144</v>
      </c>
      <c r="L519" s="34" t="s">
        <v>3148</v>
      </c>
      <c r="M519" s="33">
        <v>249900</v>
      </c>
      <c r="N519" s="9">
        <f t="shared" si="49"/>
        <v>0.9</v>
      </c>
      <c r="O519" s="8">
        <f t="shared" si="50"/>
        <v>24990</v>
      </c>
      <c r="P519" s="9" t="str">
        <f t="shared" si="51"/>
        <v>PERCENTAGE</v>
      </c>
    </row>
    <row r="520" spans="1:16" x14ac:dyDescent="0.25">
      <c r="A520" s="6" t="str">
        <f t="shared" si="48"/>
        <v>2023 ALL D90</v>
      </c>
      <c r="B520" s="7">
        <f t="shared" si="46"/>
        <v>46114</v>
      </c>
      <c r="C520" s="7">
        <f t="shared" si="47"/>
        <v>46120</v>
      </c>
      <c r="D520" s="6">
        <v>3280</v>
      </c>
      <c r="E520" s="6">
        <v>337</v>
      </c>
      <c r="F520" s="6">
        <v>4</v>
      </c>
      <c r="G520" s="36">
        <v>2</v>
      </c>
      <c r="H520" s="36">
        <v>81306</v>
      </c>
      <c r="I520" s="36" t="s">
        <v>1505</v>
      </c>
      <c r="J520" s="36">
        <v>81776227</v>
      </c>
      <c r="K520" s="36" t="s">
        <v>3144</v>
      </c>
      <c r="L520" s="34" t="s">
        <v>3149</v>
      </c>
      <c r="M520" s="33">
        <v>249900</v>
      </c>
      <c r="N520" s="9">
        <f t="shared" si="49"/>
        <v>0.9</v>
      </c>
      <c r="O520" s="8">
        <f t="shared" si="50"/>
        <v>24990</v>
      </c>
      <c r="P520" s="9" t="str">
        <f t="shared" si="51"/>
        <v>PERCENTAGE</v>
      </c>
    </row>
    <row r="521" spans="1:16" x14ac:dyDescent="0.25">
      <c r="A521" s="6" t="str">
        <f t="shared" si="48"/>
        <v>2023 ALL D90</v>
      </c>
      <c r="B521" s="7">
        <f t="shared" si="46"/>
        <v>46114</v>
      </c>
      <c r="C521" s="7">
        <f t="shared" si="47"/>
        <v>46120</v>
      </c>
      <c r="D521" s="6">
        <v>3280</v>
      </c>
      <c r="E521" s="6">
        <v>337</v>
      </c>
      <c r="F521" s="6">
        <v>4</v>
      </c>
      <c r="G521" s="36">
        <v>2</v>
      </c>
      <c r="H521" s="36">
        <v>81306</v>
      </c>
      <c r="I521" s="36" t="s">
        <v>1505</v>
      </c>
      <c r="J521" s="36">
        <v>81776236</v>
      </c>
      <c r="K521" s="36" t="s">
        <v>3144</v>
      </c>
      <c r="L521" s="34" t="s">
        <v>3150</v>
      </c>
      <c r="M521" s="33">
        <v>249900</v>
      </c>
      <c r="N521" s="9">
        <f t="shared" si="49"/>
        <v>0.9</v>
      </c>
      <c r="O521" s="8">
        <f t="shared" si="50"/>
        <v>24990</v>
      </c>
      <c r="P521" s="9" t="str">
        <f t="shared" si="51"/>
        <v>PERCENTAGE</v>
      </c>
    </row>
    <row r="522" spans="1:16" x14ac:dyDescent="0.25">
      <c r="A522" s="6" t="str">
        <f t="shared" si="48"/>
        <v>2023 ALL D90</v>
      </c>
      <c r="B522" s="7">
        <f t="shared" si="46"/>
        <v>46114</v>
      </c>
      <c r="C522" s="7">
        <f t="shared" si="47"/>
        <v>46120</v>
      </c>
      <c r="D522" s="6">
        <v>3280</v>
      </c>
      <c r="E522" s="6">
        <v>337</v>
      </c>
      <c r="F522" s="6">
        <v>4</v>
      </c>
      <c r="G522" s="36">
        <v>2</v>
      </c>
      <c r="H522" s="36">
        <v>81622</v>
      </c>
      <c r="I522" s="36" t="s">
        <v>1505</v>
      </c>
      <c r="J522" s="36">
        <v>83506934</v>
      </c>
      <c r="K522" s="36" t="s">
        <v>3235</v>
      </c>
      <c r="L522" s="34" t="s">
        <v>3236</v>
      </c>
      <c r="M522" s="33">
        <v>269900</v>
      </c>
      <c r="N522" s="9">
        <f t="shared" si="49"/>
        <v>0.9</v>
      </c>
      <c r="O522" s="8">
        <f t="shared" si="50"/>
        <v>26990</v>
      </c>
      <c r="P522" s="9" t="str">
        <f t="shared" si="51"/>
        <v>PERCENTAGE</v>
      </c>
    </row>
    <row r="523" spans="1:16" x14ac:dyDescent="0.25">
      <c r="A523" s="6" t="str">
        <f t="shared" si="48"/>
        <v>2023 ALL D90</v>
      </c>
      <c r="B523" s="7">
        <f t="shared" si="46"/>
        <v>46114</v>
      </c>
      <c r="C523" s="7">
        <f t="shared" si="47"/>
        <v>46120</v>
      </c>
      <c r="D523" s="6">
        <v>3280</v>
      </c>
      <c r="E523" s="6">
        <v>337</v>
      </c>
      <c r="F523" s="6">
        <v>4</v>
      </c>
      <c r="G523" s="36">
        <v>2</v>
      </c>
      <c r="H523" s="36">
        <v>81622</v>
      </c>
      <c r="I523" s="36" t="s">
        <v>1505</v>
      </c>
      <c r="J523" s="36">
        <v>83506943</v>
      </c>
      <c r="K523" s="36" t="s">
        <v>3235</v>
      </c>
      <c r="L523" s="34" t="s">
        <v>3237</v>
      </c>
      <c r="M523" s="33">
        <v>269900</v>
      </c>
      <c r="N523" s="9">
        <f t="shared" si="49"/>
        <v>0.9</v>
      </c>
      <c r="O523" s="8">
        <f t="shared" si="50"/>
        <v>26990</v>
      </c>
      <c r="P523" s="9" t="str">
        <f t="shared" si="51"/>
        <v>PERCENTAGE</v>
      </c>
    </row>
    <row r="524" spans="1:16" x14ac:dyDescent="0.25">
      <c r="A524" s="6" t="str">
        <f t="shared" si="48"/>
        <v>2023 ALL D90</v>
      </c>
      <c r="B524" s="7">
        <f t="shared" ref="B524:B587" si="52">B523</f>
        <v>46114</v>
      </c>
      <c r="C524" s="7">
        <f t="shared" ref="C524:C587" si="53">C523</f>
        <v>46120</v>
      </c>
      <c r="D524" s="6">
        <v>3280</v>
      </c>
      <c r="E524" s="6">
        <v>337</v>
      </c>
      <c r="F524" s="6">
        <v>4</v>
      </c>
      <c r="G524" s="36">
        <v>2</v>
      </c>
      <c r="H524" s="36">
        <v>81622</v>
      </c>
      <c r="I524" s="36" t="s">
        <v>1505</v>
      </c>
      <c r="J524" s="36">
        <v>83506952</v>
      </c>
      <c r="K524" s="36" t="s">
        <v>3235</v>
      </c>
      <c r="L524" s="34" t="s">
        <v>3238</v>
      </c>
      <c r="M524" s="33">
        <v>269900</v>
      </c>
      <c r="N524" s="9">
        <f t="shared" si="49"/>
        <v>0.9</v>
      </c>
      <c r="O524" s="8">
        <f t="shared" si="50"/>
        <v>26990</v>
      </c>
      <c r="P524" s="9" t="str">
        <f t="shared" si="51"/>
        <v>PERCENTAGE</v>
      </c>
    </row>
    <row r="525" spans="1:16" x14ac:dyDescent="0.25">
      <c r="A525" s="6" t="str">
        <f t="shared" ref="A525:A588" si="54">A524</f>
        <v>2023 ALL D90</v>
      </c>
      <c r="B525" s="7">
        <f t="shared" si="52"/>
        <v>46114</v>
      </c>
      <c r="C525" s="7">
        <f t="shared" si="53"/>
        <v>46120</v>
      </c>
      <c r="D525" s="6">
        <v>3280</v>
      </c>
      <c r="E525" s="6">
        <v>337</v>
      </c>
      <c r="F525" s="6">
        <v>4</v>
      </c>
      <c r="G525" s="36">
        <v>2</v>
      </c>
      <c r="H525" s="36">
        <v>81622</v>
      </c>
      <c r="I525" s="36" t="s">
        <v>1505</v>
      </c>
      <c r="J525" s="36">
        <v>83506961</v>
      </c>
      <c r="K525" s="36" t="s">
        <v>3235</v>
      </c>
      <c r="L525" s="34" t="s">
        <v>3239</v>
      </c>
      <c r="M525" s="33">
        <v>279900</v>
      </c>
      <c r="N525" s="9">
        <f t="shared" si="49"/>
        <v>0.9</v>
      </c>
      <c r="O525" s="8">
        <f t="shared" si="50"/>
        <v>27990</v>
      </c>
      <c r="P525" s="9" t="str">
        <f t="shared" si="51"/>
        <v>PERCENTAGE</v>
      </c>
    </row>
    <row r="526" spans="1:16" x14ac:dyDescent="0.25">
      <c r="A526" s="6" t="str">
        <f t="shared" si="54"/>
        <v>2023 ALL D90</v>
      </c>
      <c r="B526" s="7">
        <f t="shared" si="52"/>
        <v>46114</v>
      </c>
      <c r="C526" s="7">
        <f t="shared" si="53"/>
        <v>46120</v>
      </c>
      <c r="D526" s="6">
        <v>3280</v>
      </c>
      <c r="E526" s="6">
        <v>337</v>
      </c>
      <c r="F526" s="6">
        <v>4</v>
      </c>
      <c r="G526" s="36">
        <v>2</v>
      </c>
      <c r="H526" s="36">
        <v>81622</v>
      </c>
      <c r="I526" s="36" t="s">
        <v>1505</v>
      </c>
      <c r="J526" s="36">
        <v>83506970</v>
      </c>
      <c r="K526" s="36" t="s">
        <v>3235</v>
      </c>
      <c r="L526" s="34" t="s">
        <v>3240</v>
      </c>
      <c r="M526" s="33">
        <v>279900</v>
      </c>
      <c r="N526" s="9">
        <f t="shared" si="49"/>
        <v>0.9</v>
      </c>
      <c r="O526" s="8">
        <f t="shared" si="50"/>
        <v>27990</v>
      </c>
      <c r="P526" s="9" t="str">
        <f t="shared" si="51"/>
        <v>PERCENTAGE</v>
      </c>
    </row>
    <row r="527" spans="1:16" x14ac:dyDescent="0.25">
      <c r="A527" s="6" t="str">
        <f t="shared" si="54"/>
        <v>2023 ALL D90</v>
      </c>
      <c r="B527" s="7">
        <f t="shared" si="52"/>
        <v>46114</v>
      </c>
      <c r="C527" s="7">
        <f t="shared" si="53"/>
        <v>46120</v>
      </c>
      <c r="D527" s="6">
        <v>3280</v>
      </c>
      <c r="E527" s="6">
        <v>337</v>
      </c>
      <c r="F527" s="6">
        <v>4</v>
      </c>
      <c r="G527" s="36">
        <v>2</v>
      </c>
      <c r="H527" s="36">
        <v>81622</v>
      </c>
      <c r="I527" s="36" t="s">
        <v>1505</v>
      </c>
      <c r="J527" s="36">
        <v>83506989</v>
      </c>
      <c r="K527" s="36" t="s">
        <v>3235</v>
      </c>
      <c r="L527" s="34" t="s">
        <v>3241</v>
      </c>
      <c r="M527" s="33">
        <v>279900</v>
      </c>
      <c r="N527" s="9">
        <f t="shared" si="49"/>
        <v>0.9</v>
      </c>
      <c r="O527" s="8">
        <f t="shared" si="50"/>
        <v>27990</v>
      </c>
      <c r="P527" s="9" t="str">
        <f t="shared" si="51"/>
        <v>PERCENTAGE</v>
      </c>
    </row>
    <row r="528" spans="1:16" x14ac:dyDescent="0.25">
      <c r="A528" s="6" t="str">
        <f t="shared" si="54"/>
        <v>2023 ALL D90</v>
      </c>
      <c r="B528" s="7">
        <f t="shared" si="52"/>
        <v>46114</v>
      </c>
      <c r="C528" s="7">
        <f t="shared" si="53"/>
        <v>46120</v>
      </c>
      <c r="D528" s="6">
        <v>3280</v>
      </c>
      <c r="E528" s="6">
        <v>337</v>
      </c>
      <c r="F528" s="6">
        <v>4</v>
      </c>
      <c r="G528" s="36">
        <v>1</v>
      </c>
      <c r="H528" s="36">
        <v>81698</v>
      </c>
      <c r="I528" s="36" t="s">
        <v>1505</v>
      </c>
      <c r="J528" s="36">
        <v>83506998</v>
      </c>
      <c r="K528" s="36" t="s">
        <v>3242</v>
      </c>
      <c r="L528" s="34" t="s">
        <v>3243</v>
      </c>
      <c r="M528" s="33">
        <v>269900</v>
      </c>
      <c r="N528" s="9">
        <f t="shared" si="49"/>
        <v>0.9</v>
      </c>
      <c r="O528" s="8">
        <f t="shared" si="50"/>
        <v>26990</v>
      </c>
      <c r="P528" s="9" t="str">
        <f t="shared" si="51"/>
        <v>PERCENTAGE</v>
      </c>
    </row>
    <row r="529" spans="1:16" x14ac:dyDescent="0.25">
      <c r="A529" s="6" t="str">
        <f t="shared" si="54"/>
        <v>2023 ALL D90</v>
      </c>
      <c r="B529" s="7">
        <f t="shared" si="52"/>
        <v>46114</v>
      </c>
      <c r="C529" s="7">
        <f t="shared" si="53"/>
        <v>46120</v>
      </c>
      <c r="D529" s="6">
        <v>3280</v>
      </c>
      <c r="E529" s="6">
        <v>337</v>
      </c>
      <c r="F529" s="6">
        <v>4</v>
      </c>
      <c r="G529" s="36">
        <v>1</v>
      </c>
      <c r="H529" s="36">
        <v>81698</v>
      </c>
      <c r="I529" s="36" t="s">
        <v>1505</v>
      </c>
      <c r="J529" s="36">
        <v>83507004</v>
      </c>
      <c r="K529" s="36" t="s">
        <v>3242</v>
      </c>
      <c r="L529" s="34" t="s">
        <v>3244</v>
      </c>
      <c r="M529" s="33">
        <v>269900</v>
      </c>
      <c r="N529" s="9">
        <f t="shared" si="49"/>
        <v>0.9</v>
      </c>
      <c r="O529" s="8">
        <f t="shared" si="50"/>
        <v>26990</v>
      </c>
      <c r="P529" s="9" t="str">
        <f t="shared" si="51"/>
        <v>PERCENTAGE</v>
      </c>
    </row>
    <row r="530" spans="1:16" x14ac:dyDescent="0.25">
      <c r="A530" s="6" t="str">
        <f t="shared" si="54"/>
        <v>2023 ALL D90</v>
      </c>
      <c r="B530" s="7">
        <f t="shared" si="52"/>
        <v>46114</v>
      </c>
      <c r="C530" s="7">
        <f t="shared" si="53"/>
        <v>46120</v>
      </c>
      <c r="D530" s="6">
        <v>3280</v>
      </c>
      <c r="E530" s="6">
        <v>337</v>
      </c>
      <c r="F530" s="6">
        <v>4</v>
      </c>
      <c r="G530" s="36">
        <v>1</v>
      </c>
      <c r="H530" s="36">
        <v>81698</v>
      </c>
      <c r="I530" s="36" t="s">
        <v>1505</v>
      </c>
      <c r="J530" s="36">
        <v>83507013</v>
      </c>
      <c r="K530" s="36" t="s">
        <v>3242</v>
      </c>
      <c r="L530" s="34" t="s">
        <v>3245</v>
      </c>
      <c r="M530" s="33">
        <v>269900</v>
      </c>
      <c r="N530" s="9">
        <f t="shared" si="49"/>
        <v>0.9</v>
      </c>
      <c r="O530" s="8">
        <f t="shared" si="50"/>
        <v>26990</v>
      </c>
      <c r="P530" s="9" t="str">
        <f t="shared" si="51"/>
        <v>PERCENTAGE</v>
      </c>
    </row>
    <row r="531" spans="1:16" x14ac:dyDescent="0.25">
      <c r="A531" s="6" t="str">
        <f t="shared" si="54"/>
        <v>2023 ALL D90</v>
      </c>
      <c r="B531" s="7">
        <f t="shared" si="52"/>
        <v>46114</v>
      </c>
      <c r="C531" s="7">
        <f t="shared" si="53"/>
        <v>46120</v>
      </c>
      <c r="D531" s="6">
        <v>3280</v>
      </c>
      <c r="E531" s="6">
        <v>337</v>
      </c>
      <c r="F531" s="6">
        <v>4</v>
      </c>
      <c r="G531" s="36">
        <v>1</v>
      </c>
      <c r="H531" s="36">
        <v>81698</v>
      </c>
      <c r="I531" s="36" t="s">
        <v>1505</v>
      </c>
      <c r="J531" s="36">
        <v>83507022</v>
      </c>
      <c r="K531" s="36" t="s">
        <v>3242</v>
      </c>
      <c r="L531" s="34" t="s">
        <v>3246</v>
      </c>
      <c r="M531" s="33">
        <v>279900</v>
      </c>
      <c r="N531" s="9">
        <f t="shared" si="49"/>
        <v>0.9</v>
      </c>
      <c r="O531" s="8">
        <f t="shared" si="50"/>
        <v>27990</v>
      </c>
      <c r="P531" s="9" t="str">
        <f t="shared" si="51"/>
        <v>PERCENTAGE</v>
      </c>
    </row>
    <row r="532" spans="1:16" x14ac:dyDescent="0.25">
      <c r="A532" s="6" t="str">
        <f t="shared" si="54"/>
        <v>2023 ALL D90</v>
      </c>
      <c r="B532" s="7">
        <f t="shared" si="52"/>
        <v>46114</v>
      </c>
      <c r="C532" s="7">
        <f t="shared" si="53"/>
        <v>46120</v>
      </c>
      <c r="D532" s="6">
        <v>3280</v>
      </c>
      <c r="E532" s="6">
        <v>337</v>
      </c>
      <c r="F532" s="6">
        <v>4</v>
      </c>
      <c r="G532" s="36">
        <v>1</v>
      </c>
      <c r="H532" s="36">
        <v>81698</v>
      </c>
      <c r="I532" s="36" t="s">
        <v>1505</v>
      </c>
      <c r="J532" s="36">
        <v>83507031</v>
      </c>
      <c r="K532" s="36" t="s">
        <v>3242</v>
      </c>
      <c r="L532" s="34" t="s">
        <v>3247</v>
      </c>
      <c r="M532" s="33">
        <v>279900</v>
      </c>
      <c r="N532" s="9">
        <f t="shared" si="49"/>
        <v>0.9</v>
      </c>
      <c r="O532" s="8">
        <f t="shared" si="50"/>
        <v>27990</v>
      </c>
      <c r="P532" s="9" t="str">
        <f t="shared" si="51"/>
        <v>PERCENTAGE</v>
      </c>
    </row>
    <row r="533" spans="1:16" x14ac:dyDescent="0.25">
      <c r="A533" s="6" t="str">
        <f t="shared" si="54"/>
        <v>2023 ALL D90</v>
      </c>
      <c r="B533" s="7">
        <f t="shared" si="52"/>
        <v>46114</v>
      </c>
      <c r="C533" s="7">
        <f t="shared" si="53"/>
        <v>46120</v>
      </c>
      <c r="D533" s="6">
        <v>3280</v>
      </c>
      <c r="E533" s="6">
        <v>337</v>
      </c>
      <c r="F533" s="6">
        <v>4</v>
      </c>
      <c r="G533" s="36">
        <v>1</v>
      </c>
      <c r="H533" s="36">
        <v>81698</v>
      </c>
      <c r="I533" s="36" t="s">
        <v>1505</v>
      </c>
      <c r="J533" s="36">
        <v>83507040</v>
      </c>
      <c r="K533" s="36" t="s">
        <v>3242</v>
      </c>
      <c r="L533" s="34" t="s">
        <v>3248</v>
      </c>
      <c r="M533" s="33">
        <v>279900</v>
      </c>
      <c r="N533" s="9">
        <f t="shared" si="49"/>
        <v>0.9</v>
      </c>
      <c r="O533" s="8">
        <f t="shared" si="50"/>
        <v>27990</v>
      </c>
      <c r="P533" s="9" t="str">
        <f t="shared" si="51"/>
        <v>PERCENTAGE</v>
      </c>
    </row>
    <row r="534" spans="1:16" x14ac:dyDescent="0.25">
      <c r="A534" s="6" t="str">
        <f t="shared" si="54"/>
        <v>2023 ALL D90</v>
      </c>
      <c r="B534" s="7">
        <f t="shared" si="52"/>
        <v>46114</v>
      </c>
      <c r="C534" s="7">
        <f t="shared" si="53"/>
        <v>46120</v>
      </c>
      <c r="D534" s="6">
        <v>3280</v>
      </c>
      <c r="E534" s="6">
        <v>337</v>
      </c>
      <c r="F534" s="6">
        <v>4</v>
      </c>
      <c r="G534" s="36">
        <v>1</v>
      </c>
      <c r="H534" s="36">
        <v>81698</v>
      </c>
      <c r="I534" s="36" t="s">
        <v>1505</v>
      </c>
      <c r="J534" s="36">
        <v>85954581</v>
      </c>
      <c r="K534" s="36" t="s">
        <v>3256</v>
      </c>
      <c r="L534" s="34" t="s">
        <v>3257</v>
      </c>
      <c r="M534" s="33">
        <v>259900</v>
      </c>
      <c r="N534" s="9">
        <f t="shared" si="49"/>
        <v>0.9</v>
      </c>
      <c r="O534" s="8">
        <f t="shared" si="50"/>
        <v>25990</v>
      </c>
      <c r="P534" s="9" t="str">
        <f t="shared" si="51"/>
        <v>PERCENTAGE</v>
      </c>
    </row>
    <row r="535" spans="1:16" x14ac:dyDescent="0.25">
      <c r="A535" s="6" t="str">
        <f t="shared" si="54"/>
        <v>2023 ALL D90</v>
      </c>
      <c r="B535" s="7">
        <f t="shared" si="52"/>
        <v>46114</v>
      </c>
      <c r="C535" s="7">
        <f t="shared" si="53"/>
        <v>46120</v>
      </c>
      <c r="D535" s="6">
        <v>3280</v>
      </c>
      <c r="E535" s="6">
        <v>337</v>
      </c>
      <c r="F535" s="6">
        <v>4</v>
      </c>
      <c r="G535" s="36">
        <v>1</v>
      </c>
      <c r="H535" s="36">
        <v>81698</v>
      </c>
      <c r="I535" s="36" t="s">
        <v>1505</v>
      </c>
      <c r="J535" s="36">
        <v>85954590</v>
      </c>
      <c r="K535" s="36" t="s">
        <v>3256</v>
      </c>
      <c r="L535" s="34" t="s">
        <v>3258</v>
      </c>
      <c r="M535" s="33">
        <v>259900</v>
      </c>
      <c r="N535" s="9">
        <f t="shared" si="49"/>
        <v>0.9</v>
      </c>
      <c r="O535" s="8">
        <f t="shared" si="50"/>
        <v>25990</v>
      </c>
      <c r="P535" s="9" t="str">
        <f t="shared" si="51"/>
        <v>PERCENTAGE</v>
      </c>
    </row>
    <row r="536" spans="1:16" x14ac:dyDescent="0.25">
      <c r="A536" s="6" t="str">
        <f t="shared" si="54"/>
        <v>2023 ALL D90</v>
      </c>
      <c r="B536" s="7">
        <f t="shared" si="52"/>
        <v>46114</v>
      </c>
      <c r="C536" s="7">
        <f t="shared" si="53"/>
        <v>46120</v>
      </c>
      <c r="D536" s="6">
        <v>3280</v>
      </c>
      <c r="E536" s="6">
        <v>337</v>
      </c>
      <c r="F536" s="6">
        <v>4</v>
      </c>
      <c r="G536" s="36">
        <v>1</v>
      </c>
      <c r="H536" s="36">
        <v>81698</v>
      </c>
      <c r="I536" s="36" t="s">
        <v>1505</v>
      </c>
      <c r="J536" s="36">
        <v>85954607</v>
      </c>
      <c r="K536" s="36" t="s">
        <v>3256</v>
      </c>
      <c r="L536" s="34" t="s">
        <v>3259</v>
      </c>
      <c r="M536" s="33">
        <v>259900</v>
      </c>
      <c r="N536" s="9">
        <f t="shared" si="49"/>
        <v>0.9</v>
      </c>
      <c r="O536" s="8">
        <f t="shared" si="50"/>
        <v>25990</v>
      </c>
      <c r="P536" s="9" t="str">
        <f t="shared" si="51"/>
        <v>PERCENTAGE</v>
      </c>
    </row>
    <row r="537" spans="1:16" x14ac:dyDescent="0.25">
      <c r="A537" s="6" t="str">
        <f t="shared" si="54"/>
        <v>2023 ALL D90</v>
      </c>
      <c r="B537" s="7">
        <f t="shared" si="52"/>
        <v>46114</v>
      </c>
      <c r="C537" s="7">
        <f t="shared" si="53"/>
        <v>46120</v>
      </c>
      <c r="D537" s="6">
        <v>3280</v>
      </c>
      <c r="E537" s="6">
        <v>337</v>
      </c>
      <c r="F537" s="6">
        <v>4</v>
      </c>
      <c r="G537" s="36">
        <v>1</v>
      </c>
      <c r="H537" s="36">
        <v>81698</v>
      </c>
      <c r="I537" s="36" t="s">
        <v>1505</v>
      </c>
      <c r="J537" s="36">
        <v>85954616</v>
      </c>
      <c r="K537" s="36" t="s">
        <v>3256</v>
      </c>
      <c r="L537" s="34" t="s">
        <v>3260</v>
      </c>
      <c r="M537" s="33">
        <v>269900</v>
      </c>
      <c r="N537" s="9">
        <f t="shared" si="49"/>
        <v>0.9</v>
      </c>
      <c r="O537" s="8">
        <f t="shared" si="50"/>
        <v>26990</v>
      </c>
      <c r="P537" s="9" t="str">
        <f t="shared" si="51"/>
        <v>PERCENTAGE</v>
      </c>
    </row>
    <row r="538" spans="1:16" x14ac:dyDescent="0.25">
      <c r="A538" s="6" t="str">
        <f t="shared" si="54"/>
        <v>2023 ALL D90</v>
      </c>
      <c r="B538" s="7">
        <f t="shared" si="52"/>
        <v>46114</v>
      </c>
      <c r="C538" s="7">
        <f t="shared" si="53"/>
        <v>46120</v>
      </c>
      <c r="D538" s="6">
        <v>3280</v>
      </c>
      <c r="E538" s="6">
        <v>337</v>
      </c>
      <c r="F538" s="6">
        <v>4</v>
      </c>
      <c r="G538" s="36">
        <v>1</v>
      </c>
      <c r="H538" s="36">
        <v>81698</v>
      </c>
      <c r="I538" s="36" t="s">
        <v>1505</v>
      </c>
      <c r="J538" s="36">
        <v>85954625</v>
      </c>
      <c r="K538" s="36" t="s">
        <v>3256</v>
      </c>
      <c r="L538" s="34" t="s">
        <v>3261</v>
      </c>
      <c r="M538" s="33">
        <v>269900</v>
      </c>
      <c r="N538" s="9">
        <f t="shared" si="49"/>
        <v>0.9</v>
      </c>
      <c r="O538" s="8">
        <f t="shared" si="50"/>
        <v>26990</v>
      </c>
      <c r="P538" s="9" t="str">
        <f t="shared" si="51"/>
        <v>PERCENTAGE</v>
      </c>
    </row>
    <row r="539" spans="1:16" x14ac:dyDescent="0.25">
      <c r="A539" s="6" t="str">
        <f t="shared" si="54"/>
        <v>2023 ALL D90</v>
      </c>
      <c r="B539" s="7">
        <f t="shared" si="52"/>
        <v>46114</v>
      </c>
      <c r="C539" s="7">
        <f t="shared" si="53"/>
        <v>46120</v>
      </c>
      <c r="D539" s="6">
        <v>3280</v>
      </c>
      <c r="E539" s="6">
        <v>337</v>
      </c>
      <c r="F539" s="6">
        <v>4</v>
      </c>
      <c r="G539" s="36">
        <v>1</v>
      </c>
      <c r="H539" s="36">
        <v>81698</v>
      </c>
      <c r="I539" s="36" t="s">
        <v>1505</v>
      </c>
      <c r="J539" s="36">
        <v>85954634</v>
      </c>
      <c r="K539" s="36" t="s">
        <v>3256</v>
      </c>
      <c r="L539" s="34" t="s">
        <v>3262</v>
      </c>
      <c r="M539" s="33">
        <v>269900</v>
      </c>
      <c r="N539" s="9">
        <f t="shared" si="49"/>
        <v>0.9</v>
      </c>
      <c r="O539" s="8">
        <f t="shared" si="50"/>
        <v>26990</v>
      </c>
      <c r="P539" s="9" t="str">
        <f t="shared" si="51"/>
        <v>PERCENTAGE</v>
      </c>
    </row>
    <row r="540" spans="1:16" x14ac:dyDescent="0.25">
      <c r="A540" s="6" t="str">
        <f t="shared" si="54"/>
        <v>2023 ALL D90</v>
      </c>
      <c r="B540" s="7">
        <f t="shared" si="52"/>
        <v>46114</v>
      </c>
      <c r="C540" s="7">
        <f t="shared" si="53"/>
        <v>46120</v>
      </c>
      <c r="D540" s="6">
        <v>3280</v>
      </c>
      <c r="E540" s="6">
        <v>337</v>
      </c>
      <c r="F540" s="6">
        <v>4</v>
      </c>
      <c r="G540" s="36">
        <v>1</v>
      </c>
      <c r="H540" s="36">
        <v>81698</v>
      </c>
      <c r="I540" s="36" t="s">
        <v>1505</v>
      </c>
      <c r="J540" s="36">
        <v>83474844</v>
      </c>
      <c r="K540" s="36" t="s">
        <v>3228</v>
      </c>
      <c r="L540" s="34" t="s">
        <v>3229</v>
      </c>
      <c r="M540" s="33">
        <v>269900</v>
      </c>
      <c r="N540" s="9">
        <f t="shared" si="49"/>
        <v>0.9</v>
      </c>
      <c r="O540" s="8">
        <f t="shared" si="50"/>
        <v>26990</v>
      </c>
      <c r="P540" s="9" t="str">
        <f t="shared" si="51"/>
        <v>PERCENTAGE</v>
      </c>
    </row>
    <row r="541" spans="1:16" x14ac:dyDescent="0.25">
      <c r="A541" s="6" t="str">
        <f t="shared" si="54"/>
        <v>2023 ALL D90</v>
      </c>
      <c r="B541" s="7">
        <f t="shared" si="52"/>
        <v>46114</v>
      </c>
      <c r="C541" s="7">
        <f t="shared" si="53"/>
        <v>46120</v>
      </c>
      <c r="D541" s="6">
        <v>3280</v>
      </c>
      <c r="E541" s="6">
        <v>337</v>
      </c>
      <c r="F541" s="6">
        <v>4</v>
      </c>
      <c r="G541" s="36">
        <v>1</v>
      </c>
      <c r="H541" s="36">
        <v>81698</v>
      </c>
      <c r="I541" s="36" t="s">
        <v>1505</v>
      </c>
      <c r="J541" s="36">
        <v>83474853</v>
      </c>
      <c r="K541" s="36" t="s">
        <v>3228</v>
      </c>
      <c r="L541" s="34" t="s">
        <v>3230</v>
      </c>
      <c r="M541" s="33">
        <v>269900</v>
      </c>
      <c r="N541" s="9">
        <f t="shared" si="49"/>
        <v>0.9</v>
      </c>
      <c r="O541" s="8">
        <f t="shared" si="50"/>
        <v>26990</v>
      </c>
      <c r="P541" s="9" t="str">
        <f t="shared" si="51"/>
        <v>PERCENTAGE</v>
      </c>
    </row>
    <row r="542" spans="1:16" x14ac:dyDescent="0.25">
      <c r="A542" s="6" t="str">
        <f t="shared" si="54"/>
        <v>2023 ALL D90</v>
      </c>
      <c r="B542" s="7">
        <f t="shared" si="52"/>
        <v>46114</v>
      </c>
      <c r="C542" s="7">
        <f t="shared" si="53"/>
        <v>46120</v>
      </c>
      <c r="D542" s="6">
        <v>3280</v>
      </c>
      <c r="E542" s="6">
        <v>337</v>
      </c>
      <c r="F542" s="6">
        <v>4</v>
      </c>
      <c r="G542" s="36">
        <v>1</v>
      </c>
      <c r="H542" s="36">
        <v>81698</v>
      </c>
      <c r="I542" s="36" t="s">
        <v>1505</v>
      </c>
      <c r="J542" s="36">
        <v>83474862</v>
      </c>
      <c r="K542" s="36" t="s">
        <v>3228</v>
      </c>
      <c r="L542" s="34" t="s">
        <v>3231</v>
      </c>
      <c r="M542" s="33">
        <v>269900</v>
      </c>
      <c r="N542" s="9">
        <f t="shared" si="49"/>
        <v>0.9</v>
      </c>
      <c r="O542" s="8">
        <f t="shared" si="50"/>
        <v>26990</v>
      </c>
      <c r="P542" s="9" t="str">
        <f t="shared" si="51"/>
        <v>PERCENTAGE</v>
      </c>
    </row>
    <row r="543" spans="1:16" x14ac:dyDescent="0.25">
      <c r="A543" s="6" t="str">
        <f t="shared" si="54"/>
        <v>2023 ALL D90</v>
      </c>
      <c r="B543" s="7">
        <f t="shared" si="52"/>
        <v>46114</v>
      </c>
      <c r="C543" s="7">
        <f t="shared" si="53"/>
        <v>46120</v>
      </c>
      <c r="D543" s="6">
        <v>3280</v>
      </c>
      <c r="E543" s="6">
        <v>337</v>
      </c>
      <c r="F543" s="6">
        <v>4</v>
      </c>
      <c r="G543" s="36">
        <v>1</v>
      </c>
      <c r="H543" s="36">
        <v>81698</v>
      </c>
      <c r="I543" s="36" t="s">
        <v>1505</v>
      </c>
      <c r="J543" s="36">
        <v>83474871</v>
      </c>
      <c r="K543" s="36" t="s">
        <v>3228</v>
      </c>
      <c r="L543" s="34" t="s">
        <v>3232</v>
      </c>
      <c r="M543" s="33">
        <v>279900</v>
      </c>
      <c r="N543" s="9">
        <f t="shared" si="49"/>
        <v>0.9</v>
      </c>
      <c r="O543" s="8">
        <f t="shared" si="50"/>
        <v>27990</v>
      </c>
      <c r="P543" s="9" t="str">
        <f t="shared" si="51"/>
        <v>PERCENTAGE</v>
      </c>
    </row>
    <row r="544" spans="1:16" x14ac:dyDescent="0.25">
      <c r="A544" s="6" t="str">
        <f t="shared" si="54"/>
        <v>2023 ALL D90</v>
      </c>
      <c r="B544" s="7">
        <f t="shared" si="52"/>
        <v>46114</v>
      </c>
      <c r="C544" s="7">
        <f t="shared" si="53"/>
        <v>46120</v>
      </c>
      <c r="D544" s="6">
        <v>3280</v>
      </c>
      <c r="E544" s="6">
        <v>337</v>
      </c>
      <c r="F544" s="6">
        <v>4</v>
      </c>
      <c r="G544" s="36">
        <v>1</v>
      </c>
      <c r="H544" s="36">
        <v>81698</v>
      </c>
      <c r="I544" s="36" t="s">
        <v>1505</v>
      </c>
      <c r="J544" s="36">
        <v>83474880</v>
      </c>
      <c r="K544" s="36" t="s">
        <v>3228</v>
      </c>
      <c r="L544" s="34" t="s">
        <v>3233</v>
      </c>
      <c r="M544" s="33">
        <v>279900</v>
      </c>
      <c r="N544" s="9">
        <f t="shared" si="49"/>
        <v>0.9</v>
      </c>
      <c r="O544" s="8">
        <f t="shared" si="50"/>
        <v>27990</v>
      </c>
      <c r="P544" s="9" t="str">
        <f t="shared" si="51"/>
        <v>PERCENTAGE</v>
      </c>
    </row>
    <row r="545" spans="1:16" x14ac:dyDescent="0.25">
      <c r="A545" s="6" t="str">
        <f t="shared" si="54"/>
        <v>2023 ALL D90</v>
      </c>
      <c r="B545" s="7">
        <f t="shared" si="52"/>
        <v>46114</v>
      </c>
      <c r="C545" s="7">
        <f t="shared" si="53"/>
        <v>46120</v>
      </c>
      <c r="D545" s="6">
        <v>3280</v>
      </c>
      <c r="E545" s="6">
        <v>337</v>
      </c>
      <c r="F545" s="6">
        <v>4</v>
      </c>
      <c r="G545" s="36">
        <v>1</v>
      </c>
      <c r="H545" s="36">
        <v>81698</v>
      </c>
      <c r="I545" s="36" t="s">
        <v>1505</v>
      </c>
      <c r="J545" s="36">
        <v>83474899</v>
      </c>
      <c r="K545" s="36" t="s">
        <v>3228</v>
      </c>
      <c r="L545" s="34" t="s">
        <v>3234</v>
      </c>
      <c r="M545" s="33">
        <v>279900</v>
      </c>
      <c r="N545" s="9">
        <f t="shared" si="49"/>
        <v>0.9</v>
      </c>
      <c r="O545" s="8">
        <f t="shared" si="50"/>
        <v>27990</v>
      </c>
      <c r="P545" s="9" t="str">
        <f t="shared" si="51"/>
        <v>PERCENTAGE</v>
      </c>
    </row>
    <row r="546" spans="1:16" x14ac:dyDescent="0.25">
      <c r="A546" s="6" t="str">
        <f t="shared" si="54"/>
        <v>2023 ALL D90</v>
      </c>
      <c r="B546" s="7">
        <f t="shared" si="52"/>
        <v>46114</v>
      </c>
      <c r="C546" s="7">
        <f t="shared" si="53"/>
        <v>46120</v>
      </c>
      <c r="D546" s="6">
        <v>3280</v>
      </c>
      <c r="E546" s="6">
        <v>337</v>
      </c>
      <c r="F546" s="6">
        <v>4</v>
      </c>
      <c r="G546" s="36">
        <v>1</v>
      </c>
      <c r="H546" s="36">
        <v>81698</v>
      </c>
      <c r="I546" s="36" t="s">
        <v>1505</v>
      </c>
      <c r="J546" s="36">
        <v>83474728</v>
      </c>
      <c r="K546" s="36" t="s">
        <v>3221</v>
      </c>
      <c r="L546" s="34" t="s">
        <v>3222</v>
      </c>
      <c r="M546" s="33">
        <v>269900</v>
      </c>
      <c r="N546" s="9">
        <f t="shared" si="49"/>
        <v>0.9</v>
      </c>
      <c r="O546" s="8">
        <f t="shared" si="50"/>
        <v>26990</v>
      </c>
      <c r="P546" s="9" t="str">
        <f t="shared" si="51"/>
        <v>PERCENTAGE</v>
      </c>
    </row>
    <row r="547" spans="1:16" x14ac:dyDescent="0.25">
      <c r="A547" s="6" t="str">
        <f t="shared" si="54"/>
        <v>2023 ALL D90</v>
      </c>
      <c r="B547" s="7">
        <f t="shared" si="52"/>
        <v>46114</v>
      </c>
      <c r="C547" s="7">
        <f t="shared" si="53"/>
        <v>46120</v>
      </c>
      <c r="D547" s="6">
        <v>3280</v>
      </c>
      <c r="E547" s="6">
        <v>337</v>
      </c>
      <c r="F547" s="6">
        <v>4</v>
      </c>
      <c r="G547" s="36">
        <v>1</v>
      </c>
      <c r="H547" s="36">
        <v>81698</v>
      </c>
      <c r="I547" s="36" t="s">
        <v>1505</v>
      </c>
      <c r="J547" s="36">
        <v>83474737</v>
      </c>
      <c r="K547" s="36" t="s">
        <v>3221</v>
      </c>
      <c r="L547" s="34" t="s">
        <v>3223</v>
      </c>
      <c r="M547" s="33">
        <v>269900</v>
      </c>
      <c r="N547" s="9">
        <f t="shared" si="49"/>
        <v>0.9</v>
      </c>
      <c r="O547" s="8">
        <f t="shared" si="50"/>
        <v>26990</v>
      </c>
      <c r="P547" s="9" t="str">
        <f t="shared" si="51"/>
        <v>PERCENTAGE</v>
      </c>
    </row>
    <row r="548" spans="1:16" x14ac:dyDescent="0.25">
      <c r="A548" s="6" t="str">
        <f t="shared" si="54"/>
        <v>2023 ALL D90</v>
      </c>
      <c r="B548" s="7">
        <f t="shared" si="52"/>
        <v>46114</v>
      </c>
      <c r="C548" s="7">
        <f t="shared" si="53"/>
        <v>46120</v>
      </c>
      <c r="D548" s="6">
        <v>3280</v>
      </c>
      <c r="E548" s="6">
        <v>337</v>
      </c>
      <c r="F548" s="6">
        <v>4</v>
      </c>
      <c r="G548" s="36">
        <v>1</v>
      </c>
      <c r="H548" s="36">
        <v>81698</v>
      </c>
      <c r="I548" s="36" t="s">
        <v>1505</v>
      </c>
      <c r="J548" s="36">
        <v>83474746</v>
      </c>
      <c r="K548" s="36" t="s">
        <v>3221</v>
      </c>
      <c r="L548" s="34" t="s">
        <v>3224</v>
      </c>
      <c r="M548" s="33">
        <v>269900</v>
      </c>
      <c r="N548" s="9">
        <f t="shared" si="49"/>
        <v>0.9</v>
      </c>
      <c r="O548" s="8">
        <f t="shared" si="50"/>
        <v>26990</v>
      </c>
      <c r="P548" s="9" t="str">
        <f t="shared" si="51"/>
        <v>PERCENTAGE</v>
      </c>
    </row>
    <row r="549" spans="1:16" x14ac:dyDescent="0.25">
      <c r="A549" s="6" t="str">
        <f t="shared" si="54"/>
        <v>2023 ALL D90</v>
      </c>
      <c r="B549" s="7">
        <f t="shared" si="52"/>
        <v>46114</v>
      </c>
      <c r="C549" s="7">
        <f t="shared" si="53"/>
        <v>46120</v>
      </c>
      <c r="D549" s="6">
        <v>3280</v>
      </c>
      <c r="E549" s="6">
        <v>337</v>
      </c>
      <c r="F549" s="6">
        <v>4</v>
      </c>
      <c r="G549" s="36">
        <v>1</v>
      </c>
      <c r="H549" s="36">
        <v>81698</v>
      </c>
      <c r="I549" s="36" t="s">
        <v>1505</v>
      </c>
      <c r="J549" s="36">
        <v>83474755</v>
      </c>
      <c r="K549" s="36" t="s">
        <v>3221</v>
      </c>
      <c r="L549" s="34" t="s">
        <v>3225</v>
      </c>
      <c r="M549" s="33">
        <v>279900</v>
      </c>
      <c r="N549" s="9">
        <f t="shared" si="49"/>
        <v>0.9</v>
      </c>
      <c r="O549" s="8">
        <f t="shared" si="50"/>
        <v>27990</v>
      </c>
      <c r="P549" s="9" t="str">
        <f t="shared" si="51"/>
        <v>PERCENTAGE</v>
      </c>
    </row>
    <row r="550" spans="1:16" x14ac:dyDescent="0.25">
      <c r="A550" s="6" t="str">
        <f t="shared" si="54"/>
        <v>2023 ALL D90</v>
      </c>
      <c r="B550" s="7">
        <f t="shared" si="52"/>
        <v>46114</v>
      </c>
      <c r="C550" s="7">
        <f t="shared" si="53"/>
        <v>46120</v>
      </c>
      <c r="D550" s="6">
        <v>3280</v>
      </c>
      <c r="E550" s="6">
        <v>337</v>
      </c>
      <c r="F550" s="6">
        <v>4</v>
      </c>
      <c r="G550" s="36">
        <v>1</v>
      </c>
      <c r="H550" s="36">
        <v>81698</v>
      </c>
      <c r="I550" s="36" t="s">
        <v>1505</v>
      </c>
      <c r="J550" s="36">
        <v>83474764</v>
      </c>
      <c r="K550" s="36" t="s">
        <v>3221</v>
      </c>
      <c r="L550" s="34" t="s">
        <v>3226</v>
      </c>
      <c r="M550" s="33">
        <v>279900</v>
      </c>
      <c r="N550" s="9">
        <f t="shared" si="49"/>
        <v>0.9</v>
      </c>
      <c r="O550" s="8">
        <f t="shared" si="50"/>
        <v>27990</v>
      </c>
      <c r="P550" s="9" t="str">
        <f t="shared" si="51"/>
        <v>PERCENTAGE</v>
      </c>
    </row>
    <row r="551" spans="1:16" x14ac:dyDescent="0.25">
      <c r="A551" s="6" t="str">
        <f t="shared" si="54"/>
        <v>2023 ALL D90</v>
      </c>
      <c r="B551" s="7">
        <f t="shared" si="52"/>
        <v>46114</v>
      </c>
      <c r="C551" s="7">
        <f t="shared" si="53"/>
        <v>46120</v>
      </c>
      <c r="D551" s="6">
        <v>3280</v>
      </c>
      <c r="E551" s="6">
        <v>337</v>
      </c>
      <c r="F551" s="6">
        <v>4</v>
      </c>
      <c r="G551" s="36">
        <v>1</v>
      </c>
      <c r="H551" s="36">
        <v>81698</v>
      </c>
      <c r="I551" s="36" t="s">
        <v>1505</v>
      </c>
      <c r="J551" s="36">
        <v>83474773</v>
      </c>
      <c r="K551" s="36" t="s">
        <v>3221</v>
      </c>
      <c r="L551" s="34" t="s">
        <v>3227</v>
      </c>
      <c r="M551" s="33">
        <v>279900</v>
      </c>
      <c r="N551" s="9">
        <f t="shared" si="49"/>
        <v>0.9</v>
      </c>
      <c r="O551" s="8">
        <f t="shared" si="50"/>
        <v>27990</v>
      </c>
      <c r="P551" s="9" t="str">
        <f t="shared" si="51"/>
        <v>PERCENTAGE</v>
      </c>
    </row>
    <row r="552" spans="1:16" x14ac:dyDescent="0.25">
      <c r="A552" s="6" t="str">
        <f t="shared" si="54"/>
        <v>2023 ALL D90</v>
      </c>
      <c r="B552" s="7">
        <f t="shared" si="52"/>
        <v>46114</v>
      </c>
      <c r="C552" s="7">
        <f t="shared" si="53"/>
        <v>46120</v>
      </c>
      <c r="D552" s="6">
        <v>3280</v>
      </c>
      <c r="E552" s="6">
        <v>337</v>
      </c>
      <c r="F552" s="6">
        <v>4</v>
      </c>
      <c r="G552" s="36">
        <v>1</v>
      </c>
      <c r="H552" s="36">
        <v>81698</v>
      </c>
      <c r="I552" s="36" t="s">
        <v>1505</v>
      </c>
      <c r="J552" s="36">
        <v>82585048</v>
      </c>
      <c r="K552" s="36" t="s">
        <v>3165</v>
      </c>
      <c r="L552" s="34" t="s">
        <v>3166</v>
      </c>
      <c r="M552" s="33">
        <v>229900</v>
      </c>
      <c r="N552" s="9">
        <f t="shared" si="49"/>
        <v>0.9</v>
      </c>
      <c r="O552" s="8">
        <f t="shared" si="50"/>
        <v>22990</v>
      </c>
      <c r="P552" s="9" t="str">
        <f t="shared" si="51"/>
        <v>PERCENTAGE</v>
      </c>
    </row>
    <row r="553" spans="1:16" x14ac:dyDescent="0.25">
      <c r="A553" s="6" t="str">
        <f t="shared" si="54"/>
        <v>2023 ALL D90</v>
      </c>
      <c r="B553" s="7">
        <f t="shared" si="52"/>
        <v>46114</v>
      </c>
      <c r="C553" s="7">
        <f t="shared" si="53"/>
        <v>46120</v>
      </c>
      <c r="D553" s="6">
        <v>3280</v>
      </c>
      <c r="E553" s="6">
        <v>337</v>
      </c>
      <c r="F553" s="6">
        <v>4</v>
      </c>
      <c r="G553" s="36">
        <v>1</v>
      </c>
      <c r="H553" s="36">
        <v>81698</v>
      </c>
      <c r="I553" s="36" t="s">
        <v>1505</v>
      </c>
      <c r="J553" s="36">
        <v>82585057</v>
      </c>
      <c r="K553" s="36" t="s">
        <v>3165</v>
      </c>
      <c r="L553" s="34" t="s">
        <v>3167</v>
      </c>
      <c r="M553" s="33">
        <v>229900</v>
      </c>
      <c r="N553" s="9">
        <f t="shared" si="49"/>
        <v>0.9</v>
      </c>
      <c r="O553" s="8">
        <f t="shared" si="50"/>
        <v>22990</v>
      </c>
      <c r="P553" s="9" t="str">
        <f t="shared" si="51"/>
        <v>PERCENTAGE</v>
      </c>
    </row>
    <row r="554" spans="1:16" x14ac:dyDescent="0.25">
      <c r="A554" s="6" t="str">
        <f t="shared" si="54"/>
        <v>2023 ALL D90</v>
      </c>
      <c r="B554" s="7">
        <f t="shared" si="52"/>
        <v>46114</v>
      </c>
      <c r="C554" s="7">
        <f t="shared" si="53"/>
        <v>46120</v>
      </c>
      <c r="D554" s="6">
        <v>3280</v>
      </c>
      <c r="E554" s="6">
        <v>337</v>
      </c>
      <c r="F554" s="6">
        <v>4</v>
      </c>
      <c r="G554" s="36">
        <v>1</v>
      </c>
      <c r="H554" s="36">
        <v>81698</v>
      </c>
      <c r="I554" s="36" t="s">
        <v>1505</v>
      </c>
      <c r="J554" s="36">
        <v>82585066</v>
      </c>
      <c r="K554" s="36" t="s">
        <v>3165</v>
      </c>
      <c r="L554" s="34" t="s">
        <v>3168</v>
      </c>
      <c r="M554" s="33">
        <v>229900</v>
      </c>
      <c r="N554" s="9">
        <f t="shared" si="49"/>
        <v>0.9</v>
      </c>
      <c r="O554" s="8">
        <f t="shared" si="50"/>
        <v>22990</v>
      </c>
      <c r="P554" s="9" t="str">
        <f t="shared" si="51"/>
        <v>PERCENTAGE</v>
      </c>
    </row>
    <row r="555" spans="1:16" x14ac:dyDescent="0.25">
      <c r="A555" s="6" t="str">
        <f t="shared" si="54"/>
        <v>2023 ALL D90</v>
      </c>
      <c r="B555" s="7">
        <f t="shared" si="52"/>
        <v>46114</v>
      </c>
      <c r="C555" s="7">
        <f t="shared" si="53"/>
        <v>46120</v>
      </c>
      <c r="D555" s="6">
        <v>3280</v>
      </c>
      <c r="E555" s="6">
        <v>337</v>
      </c>
      <c r="F555" s="6">
        <v>4</v>
      </c>
      <c r="G555" s="36">
        <v>1</v>
      </c>
      <c r="H555" s="36">
        <v>81698</v>
      </c>
      <c r="I555" s="36" t="s">
        <v>1505</v>
      </c>
      <c r="J555" s="36">
        <v>82585075</v>
      </c>
      <c r="K555" s="36" t="s">
        <v>3165</v>
      </c>
      <c r="L555" s="34" t="s">
        <v>3169</v>
      </c>
      <c r="M555" s="33">
        <v>239900</v>
      </c>
      <c r="N555" s="9">
        <f t="shared" si="49"/>
        <v>0.9</v>
      </c>
      <c r="O555" s="8">
        <f t="shared" si="50"/>
        <v>23990</v>
      </c>
      <c r="P555" s="9" t="str">
        <f t="shared" si="51"/>
        <v>PERCENTAGE</v>
      </c>
    </row>
    <row r="556" spans="1:16" x14ac:dyDescent="0.25">
      <c r="A556" s="6" t="str">
        <f t="shared" si="54"/>
        <v>2023 ALL D90</v>
      </c>
      <c r="B556" s="7">
        <f t="shared" si="52"/>
        <v>46114</v>
      </c>
      <c r="C556" s="7">
        <f t="shared" si="53"/>
        <v>46120</v>
      </c>
      <c r="D556" s="6">
        <v>3280</v>
      </c>
      <c r="E556" s="6">
        <v>337</v>
      </c>
      <c r="F556" s="6">
        <v>4</v>
      </c>
      <c r="G556" s="36">
        <v>1</v>
      </c>
      <c r="H556" s="36">
        <v>81698</v>
      </c>
      <c r="I556" s="36" t="s">
        <v>1505</v>
      </c>
      <c r="J556" s="36">
        <v>82585084</v>
      </c>
      <c r="K556" s="36" t="s">
        <v>3165</v>
      </c>
      <c r="L556" s="34" t="s">
        <v>3170</v>
      </c>
      <c r="M556" s="33">
        <v>239900</v>
      </c>
      <c r="N556" s="9">
        <f t="shared" si="49"/>
        <v>0.9</v>
      </c>
      <c r="O556" s="8">
        <f t="shared" si="50"/>
        <v>23990</v>
      </c>
      <c r="P556" s="9" t="str">
        <f t="shared" si="51"/>
        <v>PERCENTAGE</v>
      </c>
    </row>
    <row r="557" spans="1:16" x14ac:dyDescent="0.25">
      <c r="A557" s="6" t="str">
        <f t="shared" si="54"/>
        <v>2023 ALL D90</v>
      </c>
      <c r="B557" s="7">
        <f t="shared" si="52"/>
        <v>46114</v>
      </c>
      <c r="C557" s="7">
        <f t="shared" si="53"/>
        <v>46120</v>
      </c>
      <c r="D557" s="6">
        <v>3280</v>
      </c>
      <c r="E557" s="6">
        <v>337</v>
      </c>
      <c r="F557" s="6">
        <v>4</v>
      </c>
      <c r="G557" s="36">
        <v>1</v>
      </c>
      <c r="H557" s="36">
        <v>81698</v>
      </c>
      <c r="I557" s="36" t="s">
        <v>1505</v>
      </c>
      <c r="J557" s="36">
        <v>82585093</v>
      </c>
      <c r="K557" s="36" t="s">
        <v>3165</v>
      </c>
      <c r="L557" s="34" t="s">
        <v>3171</v>
      </c>
      <c r="M557" s="33">
        <v>239900</v>
      </c>
      <c r="N557" s="9">
        <f t="shared" si="49"/>
        <v>0.9</v>
      </c>
      <c r="O557" s="8">
        <f t="shared" si="50"/>
        <v>23990</v>
      </c>
      <c r="P557" s="9" t="str">
        <f t="shared" si="51"/>
        <v>PERCENTAGE</v>
      </c>
    </row>
    <row r="558" spans="1:16" x14ac:dyDescent="0.25">
      <c r="A558" s="6" t="str">
        <f t="shared" si="54"/>
        <v>2023 ALL D90</v>
      </c>
      <c r="B558" s="7">
        <f t="shared" si="52"/>
        <v>46114</v>
      </c>
      <c r="C558" s="7">
        <f t="shared" si="53"/>
        <v>46120</v>
      </c>
      <c r="D558" s="6">
        <v>3280</v>
      </c>
      <c r="E558" s="6">
        <v>337</v>
      </c>
      <c r="F558" s="6">
        <v>4</v>
      </c>
      <c r="G558" s="36">
        <v>2</v>
      </c>
      <c r="H558" s="36">
        <v>81698</v>
      </c>
      <c r="I558" s="36" t="s">
        <v>1505</v>
      </c>
      <c r="J558" s="36">
        <v>82585226</v>
      </c>
      <c r="K558" s="36" t="s">
        <v>3179</v>
      </c>
      <c r="L558" s="34" t="s">
        <v>3180</v>
      </c>
      <c r="M558" s="33">
        <v>239900</v>
      </c>
      <c r="N558" s="9">
        <f t="shared" si="49"/>
        <v>0.9</v>
      </c>
      <c r="O558" s="8">
        <f t="shared" si="50"/>
        <v>23990</v>
      </c>
      <c r="P558" s="9" t="str">
        <f t="shared" si="51"/>
        <v>PERCENTAGE</v>
      </c>
    </row>
    <row r="559" spans="1:16" x14ac:dyDescent="0.25">
      <c r="A559" s="6" t="str">
        <f t="shared" si="54"/>
        <v>2023 ALL D90</v>
      </c>
      <c r="B559" s="7">
        <f t="shared" si="52"/>
        <v>46114</v>
      </c>
      <c r="C559" s="7">
        <f t="shared" si="53"/>
        <v>46120</v>
      </c>
      <c r="D559" s="6">
        <v>3280</v>
      </c>
      <c r="E559" s="6">
        <v>337</v>
      </c>
      <c r="F559" s="6">
        <v>4</v>
      </c>
      <c r="G559" s="36">
        <v>2</v>
      </c>
      <c r="H559" s="36">
        <v>81698</v>
      </c>
      <c r="I559" s="36" t="s">
        <v>1505</v>
      </c>
      <c r="J559" s="36">
        <v>82585235</v>
      </c>
      <c r="K559" s="36" t="s">
        <v>3179</v>
      </c>
      <c r="L559" s="34" t="s">
        <v>3181</v>
      </c>
      <c r="M559" s="33">
        <v>239900</v>
      </c>
      <c r="N559" s="9">
        <f t="shared" si="49"/>
        <v>0.9</v>
      </c>
      <c r="O559" s="8">
        <f t="shared" si="50"/>
        <v>23990</v>
      </c>
      <c r="P559" s="9" t="str">
        <f t="shared" si="51"/>
        <v>PERCENTAGE</v>
      </c>
    </row>
    <row r="560" spans="1:16" x14ac:dyDescent="0.25">
      <c r="A560" s="6" t="str">
        <f t="shared" si="54"/>
        <v>2023 ALL D90</v>
      </c>
      <c r="B560" s="7">
        <f t="shared" si="52"/>
        <v>46114</v>
      </c>
      <c r="C560" s="7">
        <f t="shared" si="53"/>
        <v>46120</v>
      </c>
      <c r="D560" s="6">
        <v>3280</v>
      </c>
      <c r="E560" s="6">
        <v>337</v>
      </c>
      <c r="F560" s="6">
        <v>4</v>
      </c>
      <c r="G560" s="36">
        <v>2</v>
      </c>
      <c r="H560" s="36">
        <v>81698</v>
      </c>
      <c r="I560" s="36" t="s">
        <v>1505</v>
      </c>
      <c r="J560" s="36">
        <v>82585244</v>
      </c>
      <c r="K560" s="36" t="s">
        <v>3179</v>
      </c>
      <c r="L560" s="34" t="s">
        <v>3182</v>
      </c>
      <c r="M560" s="33">
        <v>239900</v>
      </c>
      <c r="N560" s="9">
        <f t="shared" si="49"/>
        <v>0.9</v>
      </c>
      <c r="O560" s="8">
        <f t="shared" si="50"/>
        <v>23990</v>
      </c>
      <c r="P560" s="9" t="str">
        <f t="shared" si="51"/>
        <v>PERCENTAGE</v>
      </c>
    </row>
    <row r="561" spans="1:16" x14ac:dyDescent="0.25">
      <c r="A561" s="6" t="str">
        <f t="shared" si="54"/>
        <v>2023 ALL D90</v>
      </c>
      <c r="B561" s="7">
        <f t="shared" si="52"/>
        <v>46114</v>
      </c>
      <c r="C561" s="7">
        <f t="shared" si="53"/>
        <v>46120</v>
      </c>
      <c r="D561" s="6">
        <v>3280</v>
      </c>
      <c r="E561" s="6">
        <v>337</v>
      </c>
      <c r="F561" s="6">
        <v>4</v>
      </c>
      <c r="G561" s="36">
        <v>2</v>
      </c>
      <c r="H561" s="36">
        <v>81698</v>
      </c>
      <c r="I561" s="36" t="s">
        <v>1505</v>
      </c>
      <c r="J561" s="36">
        <v>82585253</v>
      </c>
      <c r="K561" s="36" t="s">
        <v>3179</v>
      </c>
      <c r="L561" s="34" t="s">
        <v>3183</v>
      </c>
      <c r="M561" s="33">
        <v>249900</v>
      </c>
      <c r="N561" s="9">
        <f t="shared" si="49"/>
        <v>0.9</v>
      </c>
      <c r="O561" s="8">
        <f t="shared" si="50"/>
        <v>24990</v>
      </c>
      <c r="P561" s="9" t="str">
        <f t="shared" si="51"/>
        <v>PERCENTAGE</v>
      </c>
    </row>
    <row r="562" spans="1:16" x14ac:dyDescent="0.25">
      <c r="A562" s="6" t="str">
        <f t="shared" si="54"/>
        <v>2023 ALL D90</v>
      </c>
      <c r="B562" s="7">
        <f t="shared" si="52"/>
        <v>46114</v>
      </c>
      <c r="C562" s="7">
        <f t="shared" si="53"/>
        <v>46120</v>
      </c>
      <c r="D562" s="6">
        <v>3280</v>
      </c>
      <c r="E562" s="6">
        <v>337</v>
      </c>
      <c r="F562" s="6">
        <v>4</v>
      </c>
      <c r="G562" s="36">
        <v>2</v>
      </c>
      <c r="H562" s="36">
        <v>81698</v>
      </c>
      <c r="I562" s="36" t="s">
        <v>1505</v>
      </c>
      <c r="J562" s="36">
        <v>82585262</v>
      </c>
      <c r="K562" s="36" t="s">
        <v>3179</v>
      </c>
      <c r="L562" s="34" t="s">
        <v>3184</v>
      </c>
      <c r="M562" s="33">
        <v>249900</v>
      </c>
      <c r="N562" s="9">
        <f t="shared" si="49"/>
        <v>0.9</v>
      </c>
      <c r="O562" s="8">
        <f t="shared" si="50"/>
        <v>24990</v>
      </c>
      <c r="P562" s="9" t="str">
        <f t="shared" si="51"/>
        <v>PERCENTAGE</v>
      </c>
    </row>
    <row r="563" spans="1:16" x14ac:dyDescent="0.25">
      <c r="A563" s="6" t="str">
        <f t="shared" si="54"/>
        <v>2023 ALL D90</v>
      </c>
      <c r="B563" s="7">
        <f t="shared" si="52"/>
        <v>46114</v>
      </c>
      <c r="C563" s="7">
        <f t="shared" si="53"/>
        <v>46120</v>
      </c>
      <c r="D563" s="6">
        <v>3280</v>
      </c>
      <c r="E563" s="6">
        <v>337</v>
      </c>
      <c r="F563" s="6">
        <v>4</v>
      </c>
      <c r="G563" s="36">
        <v>2</v>
      </c>
      <c r="H563" s="36">
        <v>81698</v>
      </c>
      <c r="I563" s="36" t="s">
        <v>1505</v>
      </c>
      <c r="J563" s="36">
        <v>82585271</v>
      </c>
      <c r="K563" s="36" t="s">
        <v>3179</v>
      </c>
      <c r="L563" s="34" t="s">
        <v>3185</v>
      </c>
      <c r="M563" s="33">
        <v>249900</v>
      </c>
      <c r="N563" s="9">
        <f t="shared" si="49"/>
        <v>0.9</v>
      </c>
      <c r="O563" s="8">
        <f t="shared" si="50"/>
        <v>24990</v>
      </c>
      <c r="P563" s="9" t="str">
        <f t="shared" si="51"/>
        <v>PERCENTAGE</v>
      </c>
    </row>
    <row r="564" spans="1:16" x14ac:dyDescent="0.25">
      <c r="A564" s="6" t="str">
        <f t="shared" si="54"/>
        <v>2023 ALL D90</v>
      </c>
      <c r="B564" s="7">
        <f t="shared" si="52"/>
        <v>46114</v>
      </c>
      <c r="C564" s="7">
        <f t="shared" si="53"/>
        <v>46120</v>
      </c>
      <c r="D564" s="6">
        <v>3280</v>
      </c>
      <c r="E564" s="6">
        <v>337</v>
      </c>
      <c r="F564" s="6">
        <v>4</v>
      </c>
      <c r="G564" s="36">
        <v>2</v>
      </c>
      <c r="H564" s="36">
        <v>81622</v>
      </c>
      <c r="I564" s="36" t="s">
        <v>1505</v>
      </c>
      <c r="J564" s="36">
        <v>82585646</v>
      </c>
      <c r="K564" s="36" t="s">
        <v>3193</v>
      </c>
      <c r="L564" s="34" t="s">
        <v>3194</v>
      </c>
      <c r="M564" s="33">
        <v>229900</v>
      </c>
      <c r="N564" s="9">
        <f t="shared" si="49"/>
        <v>0.9</v>
      </c>
      <c r="O564" s="8">
        <f t="shared" si="50"/>
        <v>22990</v>
      </c>
      <c r="P564" s="9" t="str">
        <f t="shared" si="51"/>
        <v>PERCENTAGE</v>
      </c>
    </row>
    <row r="565" spans="1:16" x14ac:dyDescent="0.25">
      <c r="A565" s="6" t="str">
        <f t="shared" si="54"/>
        <v>2023 ALL D90</v>
      </c>
      <c r="B565" s="7">
        <f t="shared" si="52"/>
        <v>46114</v>
      </c>
      <c r="C565" s="7">
        <f t="shared" si="53"/>
        <v>46120</v>
      </c>
      <c r="D565" s="6">
        <v>3280</v>
      </c>
      <c r="E565" s="6">
        <v>337</v>
      </c>
      <c r="F565" s="6">
        <v>4</v>
      </c>
      <c r="G565" s="36">
        <v>2</v>
      </c>
      <c r="H565" s="36">
        <v>81622</v>
      </c>
      <c r="I565" s="36" t="s">
        <v>1505</v>
      </c>
      <c r="J565" s="36">
        <v>82585655</v>
      </c>
      <c r="K565" s="36" t="s">
        <v>3193</v>
      </c>
      <c r="L565" s="34" t="s">
        <v>3195</v>
      </c>
      <c r="M565" s="33">
        <v>229900</v>
      </c>
      <c r="N565" s="9">
        <f t="shared" si="49"/>
        <v>0.9</v>
      </c>
      <c r="O565" s="8">
        <f t="shared" si="50"/>
        <v>22990</v>
      </c>
      <c r="P565" s="9" t="str">
        <f t="shared" si="51"/>
        <v>PERCENTAGE</v>
      </c>
    </row>
    <row r="566" spans="1:16" x14ac:dyDescent="0.25">
      <c r="A566" s="6" t="str">
        <f t="shared" si="54"/>
        <v>2023 ALL D90</v>
      </c>
      <c r="B566" s="7">
        <f t="shared" si="52"/>
        <v>46114</v>
      </c>
      <c r="C566" s="7">
        <f t="shared" si="53"/>
        <v>46120</v>
      </c>
      <c r="D566" s="6">
        <v>3280</v>
      </c>
      <c r="E566" s="6">
        <v>337</v>
      </c>
      <c r="F566" s="6">
        <v>4</v>
      </c>
      <c r="G566" s="36">
        <v>2</v>
      </c>
      <c r="H566" s="36">
        <v>81622</v>
      </c>
      <c r="I566" s="36" t="s">
        <v>1505</v>
      </c>
      <c r="J566" s="36">
        <v>82585664</v>
      </c>
      <c r="K566" s="36" t="s">
        <v>3193</v>
      </c>
      <c r="L566" s="34" t="s">
        <v>3196</v>
      </c>
      <c r="M566" s="33">
        <v>229900</v>
      </c>
      <c r="N566" s="9">
        <f t="shared" si="49"/>
        <v>0.9</v>
      </c>
      <c r="O566" s="8">
        <f t="shared" si="50"/>
        <v>22990</v>
      </c>
      <c r="P566" s="9" t="str">
        <f t="shared" si="51"/>
        <v>PERCENTAGE</v>
      </c>
    </row>
    <row r="567" spans="1:16" x14ac:dyDescent="0.25">
      <c r="A567" s="6" t="str">
        <f t="shared" si="54"/>
        <v>2023 ALL D90</v>
      </c>
      <c r="B567" s="7">
        <f t="shared" si="52"/>
        <v>46114</v>
      </c>
      <c r="C567" s="7">
        <f t="shared" si="53"/>
        <v>46120</v>
      </c>
      <c r="D567" s="6">
        <v>3280</v>
      </c>
      <c r="E567" s="6">
        <v>337</v>
      </c>
      <c r="F567" s="6">
        <v>4</v>
      </c>
      <c r="G567" s="36">
        <v>2</v>
      </c>
      <c r="H567" s="36">
        <v>81622</v>
      </c>
      <c r="I567" s="36" t="s">
        <v>1505</v>
      </c>
      <c r="J567" s="36">
        <v>82585673</v>
      </c>
      <c r="K567" s="36" t="s">
        <v>3193</v>
      </c>
      <c r="L567" s="34" t="s">
        <v>3197</v>
      </c>
      <c r="M567" s="33">
        <v>239900</v>
      </c>
      <c r="N567" s="9">
        <f t="shared" si="49"/>
        <v>0.9</v>
      </c>
      <c r="O567" s="8">
        <f t="shared" si="50"/>
        <v>23990</v>
      </c>
      <c r="P567" s="9" t="str">
        <f t="shared" si="51"/>
        <v>PERCENTAGE</v>
      </c>
    </row>
    <row r="568" spans="1:16" x14ac:dyDescent="0.25">
      <c r="A568" s="6" t="str">
        <f t="shared" si="54"/>
        <v>2023 ALL D90</v>
      </c>
      <c r="B568" s="7">
        <f t="shared" si="52"/>
        <v>46114</v>
      </c>
      <c r="C568" s="7">
        <f t="shared" si="53"/>
        <v>46120</v>
      </c>
      <c r="D568" s="6">
        <v>3280</v>
      </c>
      <c r="E568" s="6">
        <v>337</v>
      </c>
      <c r="F568" s="6">
        <v>4</v>
      </c>
      <c r="G568" s="36">
        <v>2</v>
      </c>
      <c r="H568" s="36">
        <v>81622</v>
      </c>
      <c r="I568" s="36" t="s">
        <v>1505</v>
      </c>
      <c r="J568" s="36">
        <v>82585682</v>
      </c>
      <c r="K568" s="36" t="s">
        <v>3193</v>
      </c>
      <c r="L568" s="34" t="s">
        <v>3198</v>
      </c>
      <c r="M568" s="33">
        <v>239900</v>
      </c>
      <c r="N568" s="9">
        <f t="shared" si="49"/>
        <v>0.9</v>
      </c>
      <c r="O568" s="8">
        <f t="shared" si="50"/>
        <v>23990</v>
      </c>
      <c r="P568" s="9" t="str">
        <f t="shared" si="51"/>
        <v>PERCENTAGE</v>
      </c>
    </row>
    <row r="569" spans="1:16" x14ac:dyDescent="0.25">
      <c r="A569" s="6" t="str">
        <f t="shared" si="54"/>
        <v>2023 ALL D90</v>
      </c>
      <c r="B569" s="7">
        <f t="shared" si="52"/>
        <v>46114</v>
      </c>
      <c r="C569" s="7">
        <f t="shared" si="53"/>
        <v>46120</v>
      </c>
      <c r="D569" s="6">
        <v>3280</v>
      </c>
      <c r="E569" s="6">
        <v>337</v>
      </c>
      <c r="F569" s="6">
        <v>4</v>
      </c>
      <c r="G569" s="36">
        <v>2</v>
      </c>
      <c r="H569" s="36">
        <v>81622</v>
      </c>
      <c r="I569" s="36" t="s">
        <v>1505</v>
      </c>
      <c r="J569" s="36">
        <v>82585691</v>
      </c>
      <c r="K569" s="36" t="s">
        <v>3193</v>
      </c>
      <c r="L569" s="34" t="s">
        <v>3199</v>
      </c>
      <c r="M569" s="33">
        <v>239900</v>
      </c>
      <c r="N569" s="9">
        <f t="shared" si="49"/>
        <v>0.9</v>
      </c>
      <c r="O569" s="8">
        <f t="shared" si="50"/>
        <v>23990</v>
      </c>
      <c r="P569" s="9" t="str">
        <f t="shared" si="51"/>
        <v>PERCENTAGE</v>
      </c>
    </row>
    <row r="570" spans="1:16" x14ac:dyDescent="0.25">
      <c r="A570" s="6" t="str">
        <f t="shared" si="54"/>
        <v>2023 ALL D90</v>
      </c>
      <c r="B570" s="7">
        <f t="shared" si="52"/>
        <v>46114</v>
      </c>
      <c r="C570" s="7">
        <f t="shared" si="53"/>
        <v>46120</v>
      </c>
      <c r="D570" s="6">
        <v>3280</v>
      </c>
      <c r="E570" s="6">
        <v>337</v>
      </c>
      <c r="F570" s="6">
        <v>4</v>
      </c>
      <c r="G570" s="36">
        <v>2</v>
      </c>
      <c r="H570" s="36">
        <v>80942</v>
      </c>
      <c r="I570" s="36" t="s">
        <v>1505</v>
      </c>
      <c r="J570" s="36">
        <v>83474488</v>
      </c>
      <c r="K570" s="36" t="s">
        <v>3214</v>
      </c>
      <c r="L570" s="34" t="s">
        <v>3215</v>
      </c>
      <c r="M570" s="33">
        <v>239900</v>
      </c>
      <c r="N570" s="9">
        <f t="shared" si="49"/>
        <v>0.9</v>
      </c>
      <c r="O570" s="8">
        <f t="shared" si="50"/>
        <v>23990</v>
      </c>
      <c r="P570" s="9" t="str">
        <f t="shared" si="51"/>
        <v>PERCENTAGE</v>
      </c>
    </row>
    <row r="571" spans="1:16" x14ac:dyDescent="0.25">
      <c r="A571" s="6" t="str">
        <f t="shared" si="54"/>
        <v>2023 ALL D90</v>
      </c>
      <c r="B571" s="7">
        <f t="shared" si="52"/>
        <v>46114</v>
      </c>
      <c r="C571" s="7">
        <f t="shared" si="53"/>
        <v>46120</v>
      </c>
      <c r="D571" s="6">
        <v>3280</v>
      </c>
      <c r="E571" s="6">
        <v>337</v>
      </c>
      <c r="F571" s="6">
        <v>4</v>
      </c>
      <c r="G571" s="36">
        <v>2</v>
      </c>
      <c r="H571" s="36">
        <v>80942</v>
      </c>
      <c r="I571" s="36" t="s">
        <v>1505</v>
      </c>
      <c r="J571" s="36">
        <v>83474497</v>
      </c>
      <c r="K571" s="36" t="s">
        <v>3214</v>
      </c>
      <c r="L571" s="34" t="s">
        <v>3216</v>
      </c>
      <c r="M571" s="33">
        <v>239900</v>
      </c>
      <c r="N571" s="9">
        <f t="shared" si="49"/>
        <v>0.9</v>
      </c>
      <c r="O571" s="8">
        <f t="shared" si="50"/>
        <v>23990</v>
      </c>
      <c r="P571" s="9" t="str">
        <f t="shared" si="51"/>
        <v>PERCENTAGE</v>
      </c>
    </row>
    <row r="572" spans="1:16" x14ac:dyDescent="0.25">
      <c r="A572" s="6" t="str">
        <f t="shared" si="54"/>
        <v>2023 ALL D90</v>
      </c>
      <c r="B572" s="7">
        <f t="shared" si="52"/>
        <v>46114</v>
      </c>
      <c r="C572" s="7">
        <f t="shared" si="53"/>
        <v>46120</v>
      </c>
      <c r="D572" s="6">
        <v>3280</v>
      </c>
      <c r="E572" s="6">
        <v>337</v>
      </c>
      <c r="F572" s="6">
        <v>4</v>
      </c>
      <c r="G572" s="36">
        <v>2</v>
      </c>
      <c r="H572" s="36">
        <v>80942</v>
      </c>
      <c r="I572" s="36" t="s">
        <v>1505</v>
      </c>
      <c r="J572" s="36">
        <v>83474504</v>
      </c>
      <c r="K572" s="36" t="s">
        <v>3214</v>
      </c>
      <c r="L572" s="34" t="s">
        <v>3217</v>
      </c>
      <c r="M572" s="33">
        <v>239900</v>
      </c>
      <c r="N572" s="9">
        <f t="shared" si="49"/>
        <v>0.9</v>
      </c>
      <c r="O572" s="8">
        <f t="shared" si="50"/>
        <v>23990</v>
      </c>
      <c r="P572" s="9" t="str">
        <f t="shared" si="51"/>
        <v>PERCENTAGE</v>
      </c>
    </row>
    <row r="573" spans="1:16" x14ac:dyDescent="0.25">
      <c r="A573" s="6" t="str">
        <f t="shared" si="54"/>
        <v>2023 ALL D90</v>
      </c>
      <c r="B573" s="7">
        <f t="shared" si="52"/>
        <v>46114</v>
      </c>
      <c r="C573" s="7">
        <f t="shared" si="53"/>
        <v>46120</v>
      </c>
      <c r="D573" s="6">
        <v>3280</v>
      </c>
      <c r="E573" s="6">
        <v>337</v>
      </c>
      <c r="F573" s="6">
        <v>4</v>
      </c>
      <c r="G573" s="36">
        <v>2</v>
      </c>
      <c r="H573" s="36">
        <v>80942</v>
      </c>
      <c r="I573" s="36" t="s">
        <v>1505</v>
      </c>
      <c r="J573" s="36">
        <v>83474513</v>
      </c>
      <c r="K573" s="36" t="s">
        <v>3214</v>
      </c>
      <c r="L573" s="34" t="s">
        <v>3218</v>
      </c>
      <c r="M573" s="33">
        <v>249900</v>
      </c>
      <c r="N573" s="9">
        <f t="shared" si="49"/>
        <v>0.9</v>
      </c>
      <c r="O573" s="8">
        <f t="shared" si="50"/>
        <v>24990</v>
      </c>
      <c r="P573" s="9" t="str">
        <f t="shared" si="51"/>
        <v>PERCENTAGE</v>
      </c>
    </row>
    <row r="574" spans="1:16" x14ac:dyDescent="0.25">
      <c r="A574" s="6" t="str">
        <f t="shared" si="54"/>
        <v>2023 ALL D90</v>
      </c>
      <c r="B574" s="7">
        <f t="shared" si="52"/>
        <v>46114</v>
      </c>
      <c r="C574" s="7">
        <f t="shared" si="53"/>
        <v>46120</v>
      </c>
      <c r="D574" s="6">
        <v>3280</v>
      </c>
      <c r="E574" s="6">
        <v>337</v>
      </c>
      <c r="F574" s="6">
        <v>4</v>
      </c>
      <c r="G574" s="36">
        <v>2</v>
      </c>
      <c r="H574" s="36">
        <v>80942</v>
      </c>
      <c r="I574" s="36" t="s">
        <v>1505</v>
      </c>
      <c r="J574" s="36">
        <v>83474522</v>
      </c>
      <c r="K574" s="36" t="s">
        <v>3214</v>
      </c>
      <c r="L574" s="34" t="s">
        <v>3219</v>
      </c>
      <c r="M574" s="33">
        <v>249900</v>
      </c>
      <c r="N574" s="9">
        <f t="shared" si="49"/>
        <v>0.9</v>
      </c>
      <c r="O574" s="8">
        <f t="shared" si="50"/>
        <v>24990</v>
      </c>
      <c r="P574" s="9" t="str">
        <f t="shared" si="51"/>
        <v>PERCENTAGE</v>
      </c>
    </row>
    <row r="575" spans="1:16" x14ac:dyDescent="0.25">
      <c r="A575" s="6" t="str">
        <f t="shared" si="54"/>
        <v>2023 ALL D90</v>
      </c>
      <c r="B575" s="7">
        <f t="shared" si="52"/>
        <v>46114</v>
      </c>
      <c r="C575" s="7">
        <f t="shared" si="53"/>
        <v>46120</v>
      </c>
      <c r="D575" s="6">
        <v>3280</v>
      </c>
      <c r="E575" s="6">
        <v>337</v>
      </c>
      <c r="F575" s="6">
        <v>4</v>
      </c>
      <c r="G575" s="36">
        <v>2</v>
      </c>
      <c r="H575" s="36">
        <v>80942</v>
      </c>
      <c r="I575" s="36" t="s">
        <v>1505</v>
      </c>
      <c r="J575" s="36">
        <v>83474531</v>
      </c>
      <c r="K575" s="36" t="s">
        <v>3214</v>
      </c>
      <c r="L575" s="34" t="s">
        <v>3220</v>
      </c>
      <c r="M575" s="33">
        <v>249900</v>
      </c>
      <c r="N575" s="9">
        <f t="shared" si="49"/>
        <v>0.9</v>
      </c>
      <c r="O575" s="8">
        <f t="shared" si="50"/>
        <v>24990</v>
      </c>
      <c r="P575" s="9" t="str">
        <f t="shared" si="51"/>
        <v>PERCENTAGE</v>
      </c>
    </row>
    <row r="576" spans="1:16" x14ac:dyDescent="0.25">
      <c r="A576" s="6" t="str">
        <f t="shared" si="54"/>
        <v>2023 ALL D90</v>
      </c>
      <c r="B576" s="7">
        <f t="shared" si="52"/>
        <v>46114</v>
      </c>
      <c r="C576" s="7">
        <f t="shared" si="53"/>
        <v>46120</v>
      </c>
      <c r="D576" s="6">
        <v>3280</v>
      </c>
      <c r="E576" s="6">
        <v>337</v>
      </c>
      <c r="F576" s="6">
        <v>4</v>
      </c>
      <c r="G576" s="36">
        <v>2</v>
      </c>
      <c r="H576" s="36">
        <v>81622</v>
      </c>
      <c r="I576" s="36" t="s">
        <v>1505</v>
      </c>
      <c r="J576" s="36">
        <v>83473765</v>
      </c>
      <c r="K576" s="36" t="s">
        <v>3200</v>
      </c>
      <c r="L576" s="34" t="s">
        <v>3201</v>
      </c>
      <c r="M576" s="33">
        <v>239900</v>
      </c>
      <c r="N576" s="9">
        <f t="shared" si="49"/>
        <v>0.9</v>
      </c>
      <c r="O576" s="8">
        <f t="shared" si="50"/>
        <v>23990</v>
      </c>
      <c r="P576" s="9" t="str">
        <f t="shared" si="51"/>
        <v>PERCENTAGE</v>
      </c>
    </row>
    <row r="577" spans="1:16" x14ac:dyDescent="0.25">
      <c r="A577" s="6" t="str">
        <f t="shared" si="54"/>
        <v>2023 ALL D90</v>
      </c>
      <c r="B577" s="7">
        <f t="shared" si="52"/>
        <v>46114</v>
      </c>
      <c r="C577" s="7">
        <f t="shared" si="53"/>
        <v>46120</v>
      </c>
      <c r="D577" s="6">
        <v>3280</v>
      </c>
      <c r="E577" s="6">
        <v>337</v>
      </c>
      <c r="F577" s="6">
        <v>4</v>
      </c>
      <c r="G577" s="36">
        <v>2</v>
      </c>
      <c r="H577" s="36">
        <v>81622</v>
      </c>
      <c r="I577" s="36" t="s">
        <v>1505</v>
      </c>
      <c r="J577" s="36">
        <v>83473774</v>
      </c>
      <c r="K577" s="36" t="s">
        <v>3200</v>
      </c>
      <c r="L577" s="34" t="s">
        <v>3202</v>
      </c>
      <c r="M577" s="33">
        <v>239900</v>
      </c>
      <c r="N577" s="9">
        <f t="shared" si="49"/>
        <v>0.9</v>
      </c>
      <c r="O577" s="8">
        <f t="shared" si="50"/>
        <v>23990</v>
      </c>
      <c r="P577" s="9" t="str">
        <f t="shared" si="51"/>
        <v>PERCENTAGE</v>
      </c>
    </row>
    <row r="578" spans="1:16" x14ac:dyDescent="0.25">
      <c r="A578" s="6" t="str">
        <f t="shared" si="54"/>
        <v>2023 ALL D90</v>
      </c>
      <c r="B578" s="7">
        <f t="shared" si="52"/>
        <v>46114</v>
      </c>
      <c r="C578" s="7">
        <f t="shared" si="53"/>
        <v>46120</v>
      </c>
      <c r="D578" s="6">
        <v>3280</v>
      </c>
      <c r="E578" s="6">
        <v>337</v>
      </c>
      <c r="F578" s="6">
        <v>4</v>
      </c>
      <c r="G578" s="36">
        <v>2</v>
      </c>
      <c r="H578" s="36">
        <v>81622</v>
      </c>
      <c r="I578" s="36" t="s">
        <v>1505</v>
      </c>
      <c r="J578" s="36">
        <v>83473783</v>
      </c>
      <c r="K578" s="36" t="s">
        <v>3200</v>
      </c>
      <c r="L578" s="34" t="s">
        <v>3203</v>
      </c>
      <c r="M578" s="33">
        <v>239900</v>
      </c>
      <c r="N578" s="9">
        <f t="shared" si="49"/>
        <v>0.9</v>
      </c>
      <c r="O578" s="8">
        <f t="shared" si="50"/>
        <v>23990</v>
      </c>
      <c r="P578" s="9" t="str">
        <f t="shared" si="51"/>
        <v>PERCENTAGE</v>
      </c>
    </row>
    <row r="579" spans="1:16" x14ac:dyDescent="0.25">
      <c r="A579" s="6" t="str">
        <f t="shared" si="54"/>
        <v>2023 ALL D90</v>
      </c>
      <c r="B579" s="7">
        <f t="shared" si="52"/>
        <v>46114</v>
      </c>
      <c r="C579" s="7">
        <f t="shared" si="53"/>
        <v>46120</v>
      </c>
      <c r="D579" s="6">
        <v>3280</v>
      </c>
      <c r="E579" s="6">
        <v>337</v>
      </c>
      <c r="F579" s="6">
        <v>4</v>
      </c>
      <c r="G579" s="36">
        <v>2</v>
      </c>
      <c r="H579" s="36">
        <v>81622</v>
      </c>
      <c r="I579" s="36" t="s">
        <v>1505</v>
      </c>
      <c r="J579" s="36">
        <v>83473792</v>
      </c>
      <c r="K579" s="36" t="s">
        <v>3200</v>
      </c>
      <c r="L579" s="34" t="s">
        <v>3204</v>
      </c>
      <c r="M579" s="33">
        <v>249900</v>
      </c>
      <c r="N579" s="9">
        <f t="shared" ref="N579:N642" si="55">N578</f>
        <v>0.9</v>
      </c>
      <c r="O579" s="8">
        <f t="shared" ref="O579:O642" si="56">M579-((90*M579)/100)</f>
        <v>24990</v>
      </c>
      <c r="P579" s="9" t="str">
        <f t="shared" ref="P579:P642" si="57">P578</f>
        <v>PERCENTAGE</v>
      </c>
    </row>
    <row r="580" spans="1:16" x14ac:dyDescent="0.25">
      <c r="A580" s="6" t="str">
        <f t="shared" si="54"/>
        <v>2023 ALL D90</v>
      </c>
      <c r="B580" s="7">
        <f t="shared" si="52"/>
        <v>46114</v>
      </c>
      <c r="C580" s="7">
        <f t="shared" si="53"/>
        <v>46120</v>
      </c>
      <c r="D580" s="6">
        <v>3280</v>
      </c>
      <c r="E580" s="6">
        <v>337</v>
      </c>
      <c r="F580" s="6">
        <v>4</v>
      </c>
      <c r="G580" s="36">
        <v>2</v>
      </c>
      <c r="H580" s="36">
        <v>81622</v>
      </c>
      <c r="I580" s="36" t="s">
        <v>1505</v>
      </c>
      <c r="J580" s="36">
        <v>83473809</v>
      </c>
      <c r="K580" s="36" t="s">
        <v>3200</v>
      </c>
      <c r="L580" s="34" t="s">
        <v>3205</v>
      </c>
      <c r="M580" s="33">
        <v>249900</v>
      </c>
      <c r="N580" s="9">
        <f t="shared" si="55"/>
        <v>0.9</v>
      </c>
      <c r="O580" s="8">
        <f t="shared" si="56"/>
        <v>24990</v>
      </c>
      <c r="P580" s="9" t="str">
        <f t="shared" si="57"/>
        <v>PERCENTAGE</v>
      </c>
    </row>
    <row r="581" spans="1:16" x14ac:dyDescent="0.25">
      <c r="A581" s="6" t="str">
        <f t="shared" si="54"/>
        <v>2023 ALL D90</v>
      </c>
      <c r="B581" s="7">
        <f t="shared" si="52"/>
        <v>46114</v>
      </c>
      <c r="C581" s="7">
        <f t="shared" si="53"/>
        <v>46120</v>
      </c>
      <c r="D581" s="6">
        <v>3280</v>
      </c>
      <c r="E581" s="6">
        <v>337</v>
      </c>
      <c r="F581" s="6">
        <v>4</v>
      </c>
      <c r="G581" s="36">
        <v>2</v>
      </c>
      <c r="H581" s="36">
        <v>81622</v>
      </c>
      <c r="I581" s="36" t="s">
        <v>1505</v>
      </c>
      <c r="J581" s="36">
        <v>83473818</v>
      </c>
      <c r="K581" s="36" t="s">
        <v>3200</v>
      </c>
      <c r="L581" s="34" t="s">
        <v>3206</v>
      </c>
      <c r="M581" s="33">
        <v>249900</v>
      </c>
      <c r="N581" s="9">
        <f t="shared" si="55"/>
        <v>0.9</v>
      </c>
      <c r="O581" s="8">
        <f t="shared" si="56"/>
        <v>24990</v>
      </c>
      <c r="P581" s="9" t="str">
        <f t="shared" si="57"/>
        <v>PERCENTAGE</v>
      </c>
    </row>
    <row r="582" spans="1:16" x14ac:dyDescent="0.25">
      <c r="A582" s="6" t="str">
        <f t="shared" si="54"/>
        <v>2023 ALL D90</v>
      </c>
      <c r="B582" s="7">
        <f t="shared" si="52"/>
        <v>46114</v>
      </c>
      <c r="C582" s="7">
        <f t="shared" si="53"/>
        <v>46120</v>
      </c>
      <c r="D582" s="6">
        <v>3280</v>
      </c>
      <c r="E582" s="6">
        <v>337</v>
      </c>
      <c r="F582" s="6">
        <v>4</v>
      </c>
      <c r="G582" s="36">
        <v>2</v>
      </c>
      <c r="H582" s="36">
        <v>81306</v>
      </c>
      <c r="I582" s="36" t="s">
        <v>1505</v>
      </c>
      <c r="J582" s="36">
        <v>82585342</v>
      </c>
      <c r="K582" s="36" t="s">
        <v>3186</v>
      </c>
      <c r="L582" s="34" t="s">
        <v>3187</v>
      </c>
      <c r="M582" s="33">
        <v>239900</v>
      </c>
      <c r="N582" s="9">
        <f t="shared" si="55"/>
        <v>0.9</v>
      </c>
      <c r="O582" s="8">
        <f t="shared" si="56"/>
        <v>23990</v>
      </c>
      <c r="P582" s="9" t="str">
        <f t="shared" si="57"/>
        <v>PERCENTAGE</v>
      </c>
    </row>
    <row r="583" spans="1:16" x14ac:dyDescent="0.25">
      <c r="A583" s="6" t="str">
        <f t="shared" si="54"/>
        <v>2023 ALL D90</v>
      </c>
      <c r="B583" s="7">
        <f t="shared" si="52"/>
        <v>46114</v>
      </c>
      <c r="C583" s="7">
        <f t="shared" si="53"/>
        <v>46120</v>
      </c>
      <c r="D583" s="6">
        <v>3280</v>
      </c>
      <c r="E583" s="6">
        <v>337</v>
      </c>
      <c r="F583" s="6">
        <v>4</v>
      </c>
      <c r="G583" s="36">
        <v>2</v>
      </c>
      <c r="H583" s="36">
        <v>81306</v>
      </c>
      <c r="I583" s="36" t="s">
        <v>1505</v>
      </c>
      <c r="J583" s="36">
        <v>82585351</v>
      </c>
      <c r="K583" s="36" t="s">
        <v>3186</v>
      </c>
      <c r="L583" s="34" t="s">
        <v>3188</v>
      </c>
      <c r="M583" s="33">
        <v>239900</v>
      </c>
      <c r="N583" s="9">
        <f t="shared" si="55"/>
        <v>0.9</v>
      </c>
      <c r="O583" s="8">
        <f t="shared" si="56"/>
        <v>23990</v>
      </c>
      <c r="P583" s="9" t="str">
        <f t="shared" si="57"/>
        <v>PERCENTAGE</v>
      </c>
    </row>
    <row r="584" spans="1:16" x14ac:dyDescent="0.25">
      <c r="A584" s="6" t="str">
        <f t="shared" si="54"/>
        <v>2023 ALL D90</v>
      </c>
      <c r="B584" s="7">
        <f t="shared" si="52"/>
        <v>46114</v>
      </c>
      <c r="C584" s="7">
        <f t="shared" si="53"/>
        <v>46120</v>
      </c>
      <c r="D584" s="6">
        <v>3280</v>
      </c>
      <c r="E584" s="6">
        <v>337</v>
      </c>
      <c r="F584" s="6">
        <v>4</v>
      </c>
      <c r="G584" s="36">
        <v>2</v>
      </c>
      <c r="H584" s="36">
        <v>81306</v>
      </c>
      <c r="I584" s="36" t="s">
        <v>1505</v>
      </c>
      <c r="J584" s="36">
        <v>82585360</v>
      </c>
      <c r="K584" s="36" t="s">
        <v>3186</v>
      </c>
      <c r="L584" s="34" t="s">
        <v>3189</v>
      </c>
      <c r="M584" s="33">
        <v>239900</v>
      </c>
      <c r="N584" s="9">
        <f t="shared" si="55"/>
        <v>0.9</v>
      </c>
      <c r="O584" s="8">
        <f t="shared" si="56"/>
        <v>23990</v>
      </c>
      <c r="P584" s="9" t="str">
        <f t="shared" si="57"/>
        <v>PERCENTAGE</v>
      </c>
    </row>
    <row r="585" spans="1:16" x14ac:dyDescent="0.25">
      <c r="A585" s="6" t="str">
        <f t="shared" si="54"/>
        <v>2023 ALL D90</v>
      </c>
      <c r="B585" s="7">
        <f t="shared" si="52"/>
        <v>46114</v>
      </c>
      <c r="C585" s="7">
        <f t="shared" si="53"/>
        <v>46120</v>
      </c>
      <c r="D585" s="6">
        <v>3280</v>
      </c>
      <c r="E585" s="6">
        <v>337</v>
      </c>
      <c r="F585" s="6">
        <v>4</v>
      </c>
      <c r="G585" s="36">
        <v>2</v>
      </c>
      <c r="H585" s="36">
        <v>81306</v>
      </c>
      <c r="I585" s="36" t="s">
        <v>1505</v>
      </c>
      <c r="J585" s="36">
        <v>82585379</v>
      </c>
      <c r="K585" s="36" t="s">
        <v>3186</v>
      </c>
      <c r="L585" s="34" t="s">
        <v>3190</v>
      </c>
      <c r="M585" s="33">
        <v>249900</v>
      </c>
      <c r="N585" s="9">
        <f t="shared" si="55"/>
        <v>0.9</v>
      </c>
      <c r="O585" s="8">
        <f t="shared" si="56"/>
        <v>24990</v>
      </c>
      <c r="P585" s="9" t="str">
        <f t="shared" si="57"/>
        <v>PERCENTAGE</v>
      </c>
    </row>
    <row r="586" spans="1:16" x14ac:dyDescent="0.25">
      <c r="A586" s="6" t="str">
        <f t="shared" si="54"/>
        <v>2023 ALL D90</v>
      </c>
      <c r="B586" s="7">
        <f t="shared" si="52"/>
        <v>46114</v>
      </c>
      <c r="C586" s="7">
        <f t="shared" si="53"/>
        <v>46120</v>
      </c>
      <c r="D586" s="6">
        <v>3280</v>
      </c>
      <c r="E586" s="6">
        <v>337</v>
      </c>
      <c r="F586" s="6">
        <v>4</v>
      </c>
      <c r="G586" s="36">
        <v>2</v>
      </c>
      <c r="H586" s="36">
        <v>81306</v>
      </c>
      <c r="I586" s="36" t="s">
        <v>1505</v>
      </c>
      <c r="J586" s="36">
        <v>82585388</v>
      </c>
      <c r="K586" s="36" t="s">
        <v>3186</v>
      </c>
      <c r="L586" s="34" t="s">
        <v>3191</v>
      </c>
      <c r="M586" s="33">
        <v>249900</v>
      </c>
      <c r="N586" s="9">
        <f t="shared" si="55"/>
        <v>0.9</v>
      </c>
      <c r="O586" s="8">
        <f t="shared" si="56"/>
        <v>24990</v>
      </c>
      <c r="P586" s="9" t="str">
        <f t="shared" si="57"/>
        <v>PERCENTAGE</v>
      </c>
    </row>
    <row r="587" spans="1:16" x14ac:dyDescent="0.25">
      <c r="A587" s="6" t="str">
        <f t="shared" si="54"/>
        <v>2023 ALL D90</v>
      </c>
      <c r="B587" s="7">
        <f t="shared" si="52"/>
        <v>46114</v>
      </c>
      <c r="C587" s="7">
        <f t="shared" si="53"/>
        <v>46120</v>
      </c>
      <c r="D587" s="6">
        <v>3280</v>
      </c>
      <c r="E587" s="6">
        <v>337</v>
      </c>
      <c r="F587" s="6">
        <v>4</v>
      </c>
      <c r="G587" s="36">
        <v>2</v>
      </c>
      <c r="H587" s="36">
        <v>81306</v>
      </c>
      <c r="I587" s="36" t="s">
        <v>1505</v>
      </c>
      <c r="J587" s="36">
        <v>82585397</v>
      </c>
      <c r="K587" s="36" t="s">
        <v>3186</v>
      </c>
      <c r="L587" s="34" t="s">
        <v>3192</v>
      </c>
      <c r="M587" s="33">
        <v>249900</v>
      </c>
      <c r="N587" s="9">
        <f t="shared" si="55"/>
        <v>0.9</v>
      </c>
      <c r="O587" s="8">
        <f t="shared" si="56"/>
        <v>24990</v>
      </c>
      <c r="P587" s="9" t="str">
        <f t="shared" si="57"/>
        <v>PERCENTAGE</v>
      </c>
    </row>
    <row r="588" spans="1:16" x14ac:dyDescent="0.25">
      <c r="A588" s="6" t="str">
        <f t="shared" si="54"/>
        <v>2023 ALL D90</v>
      </c>
      <c r="B588" s="7">
        <f t="shared" ref="B588:B651" si="58">B587</f>
        <v>46114</v>
      </c>
      <c r="C588" s="7">
        <f t="shared" ref="C588:C651" si="59">C587</f>
        <v>46120</v>
      </c>
      <c r="D588" s="6">
        <v>3280</v>
      </c>
      <c r="E588" s="6">
        <v>337</v>
      </c>
      <c r="F588" s="6">
        <v>4</v>
      </c>
      <c r="G588" s="36">
        <v>2</v>
      </c>
      <c r="H588" s="36">
        <v>81622</v>
      </c>
      <c r="I588" s="36" t="s">
        <v>1505</v>
      </c>
      <c r="J588" s="36">
        <v>82585100</v>
      </c>
      <c r="K588" s="36" t="s">
        <v>3172</v>
      </c>
      <c r="L588" s="34" t="s">
        <v>3173</v>
      </c>
      <c r="M588" s="33">
        <v>229900</v>
      </c>
      <c r="N588" s="9">
        <f t="shared" si="55"/>
        <v>0.9</v>
      </c>
      <c r="O588" s="8">
        <f t="shared" si="56"/>
        <v>22990</v>
      </c>
      <c r="P588" s="9" t="str">
        <f t="shared" si="57"/>
        <v>PERCENTAGE</v>
      </c>
    </row>
    <row r="589" spans="1:16" x14ac:dyDescent="0.25">
      <c r="A589" s="6" t="str">
        <f t="shared" ref="A589:A652" si="60">A588</f>
        <v>2023 ALL D90</v>
      </c>
      <c r="B589" s="7">
        <f t="shared" si="58"/>
        <v>46114</v>
      </c>
      <c r="C589" s="7">
        <f t="shared" si="59"/>
        <v>46120</v>
      </c>
      <c r="D589" s="6">
        <v>3280</v>
      </c>
      <c r="E589" s="6">
        <v>337</v>
      </c>
      <c r="F589" s="6">
        <v>4</v>
      </c>
      <c r="G589" s="36">
        <v>2</v>
      </c>
      <c r="H589" s="36">
        <v>81622</v>
      </c>
      <c r="I589" s="36" t="s">
        <v>1505</v>
      </c>
      <c r="J589" s="36">
        <v>82585119</v>
      </c>
      <c r="K589" s="36" t="s">
        <v>3172</v>
      </c>
      <c r="L589" s="34" t="s">
        <v>3174</v>
      </c>
      <c r="M589" s="33">
        <v>229900</v>
      </c>
      <c r="N589" s="9">
        <f t="shared" si="55"/>
        <v>0.9</v>
      </c>
      <c r="O589" s="8">
        <f t="shared" si="56"/>
        <v>22990</v>
      </c>
      <c r="P589" s="9" t="str">
        <f t="shared" si="57"/>
        <v>PERCENTAGE</v>
      </c>
    </row>
    <row r="590" spans="1:16" x14ac:dyDescent="0.25">
      <c r="A590" s="6" t="str">
        <f t="shared" si="60"/>
        <v>2023 ALL D90</v>
      </c>
      <c r="B590" s="7">
        <f t="shared" si="58"/>
        <v>46114</v>
      </c>
      <c r="C590" s="7">
        <f t="shared" si="59"/>
        <v>46120</v>
      </c>
      <c r="D590" s="6">
        <v>3280</v>
      </c>
      <c r="E590" s="6">
        <v>337</v>
      </c>
      <c r="F590" s="6">
        <v>4</v>
      </c>
      <c r="G590" s="36">
        <v>2</v>
      </c>
      <c r="H590" s="36">
        <v>81622</v>
      </c>
      <c r="I590" s="36" t="s">
        <v>1505</v>
      </c>
      <c r="J590" s="36">
        <v>82585128</v>
      </c>
      <c r="K590" s="36" t="s">
        <v>3172</v>
      </c>
      <c r="L590" s="34" t="s">
        <v>3175</v>
      </c>
      <c r="M590" s="33">
        <v>229900</v>
      </c>
      <c r="N590" s="9">
        <f t="shared" si="55"/>
        <v>0.9</v>
      </c>
      <c r="O590" s="8">
        <f t="shared" si="56"/>
        <v>22990</v>
      </c>
      <c r="P590" s="9" t="str">
        <f t="shared" si="57"/>
        <v>PERCENTAGE</v>
      </c>
    </row>
    <row r="591" spans="1:16" x14ac:dyDescent="0.25">
      <c r="A591" s="6" t="str">
        <f t="shared" si="60"/>
        <v>2023 ALL D90</v>
      </c>
      <c r="B591" s="7">
        <f t="shared" si="58"/>
        <v>46114</v>
      </c>
      <c r="C591" s="7">
        <f t="shared" si="59"/>
        <v>46120</v>
      </c>
      <c r="D591" s="6">
        <v>3280</v>
      </c>
      <c r="E591" s="6">
        <v>337</v>
      </c>
      <c r="F591" s="6">
        <v>4</v>
      </c>
      <c r="G591" s="36">
        <v>2</v>
      </c>
      <c r="H591" s="36">
        <v>81622</v>
      </c>
      <c r="I591" s="36" t="s">
        <v>1505</v>
      </c>
      <c r="J591" s="36">
        <v>82585137</v>
      </c>
      <c r="K591" s="36" t="s">
        <v>3172</v>
      </c>
      <c r="L591" s="34" t="s">
        <v>3176</v>
      </c>
      <c r="M591" s="33">
        <v>239900</v>
      </c>
      <c r="N591" s="9">
        <f t="shared" si="55"/>
        <v>0.9</v>
      </c>
      <c r="O591" s="8">
        <f t="shared" si="56"/>
        <v>23990</v>
      </c>
      <c r="P591" s="9" t="str">
        <f t="shared" si="57"/>
        <v>PERCENTAGE</v>
      </c>
    </row>
    <row r="592" spans="1:16" x14ac:dyDescent="0.25">
      <c r="A592" s="6" t="str">
        <f t="shared" si="60"/>
        <v>2023 ALL D90</v>
      </c>
      <c r="B592" s="7">
        <f t="shared" si="58"/>
        <v>46114</v>
      </c>
      <c r="C592" s="7">
        <f t="shared" si="59"/>
        <v>46120</v>
      </c>
      <c r="D592" s="6">
        <v>3280</v>
      </c>
      <c r="E592" s="6">
        <v>337</v>
      </c>
      <c r="F592" s="6">
        <v>4</v>
      </c>
      <c r="G592" s="36">
        <v>2</v>
      </c>
      <c r="H592" s="36">
        <v>81622</v>
      </c>
      <c r="I592" s="36" t="s">
        <v>1505</v>
      </c>
      <c r="J592" s="36">
        <v>82585146</v>
      </c>
      <c r="K592" s="36" t="s">
        <v>3172</v>
      </c>
      <c r="L592" s="34" t="s">
        <v>3177</v>
      </c>
      <c r="M592" s="33">
        <v>239900</v>
      </c>
      <c r="N592" s="9">
        <f t="shared" si="55"/>
        <v>0.9</v>
      </c>
      <c r="O592" s="8">
        <f t="shared" si="56"/>
        <v>23990</v>
      </c>
      <c r="P592" s="9" t="str">
        <f t="shared" si="57"/>
        <v>PERCENTAGE</v>
      </c>
    </row>
    <row r="593" spans="1:16" x14ac:dyDescent="0.25">
      <c r="A593" s="6" t="str">
        <f t="shared" si="60"/>
        <v>2023 ALL D90</v>
      </c>
      <c r="B593" s="7">
        <f t="shared" si="58"/>
        <v>46114</v>
      </c>
      <c r="C593" s="7">
        <f t="shared" si="59"/>
        <v>46120</v>
      </c>
      <c r="D593" s="6">
        <v>3280</v>
      </c>
      <c r="E593" s="6">
        <v>337</v>
      </c>
      <c r="F593" s="6">
        <v>4</v>
      </c>
      <c r="G593" s="36">
        <v>2</v>
      </c>
      <c r="H593" s="36">
        <v>81622</v>
      </c>
      <c r="I593" s="36" t="s">
        <v>1505</v>
      </c>
      <c r="J593" s="36">
        <v>82585155</v>
      </c>
      <c r="K593" s="36" t="s">
        <v>3172</v>
      </c>
      <c r="L593" s="34" t="s">
        <v>3178</v>
      </c>
      <c r="M593" s="33">
        <v>239900</v>
      </c>
      <c r="N593" s="9">
        <f t="shared" si="55"/>
        <v>0.9</v>
      </c>
      <c r="O593" s="8">
        <f t="shared" si="56"/>
        <v>23990</v>
      </c>
      <c r="P593" s="9" t="str">
        <f t="shared" si="57"/>
        <v>PERCENTAGE</v>
      </c>
    </row>
    <row r="594" spans="1:16" x14ac:dyDescent="0.25">
      <c r="A594" s="6" t="str">
        <f t="shared" si="60"/>
        <v>2023 ALL D90</v>
      </c>
      <c r="B594" s="7">
        <f t="shared" si="58"/>
        <v>46114</v>
      </c>
      <c r="C594" s="7">
        <f t="shared" si="59"/>
        <v>46120</v>
      </c>
      <c r="D594" s="6">
        <v>3280</v>
      </c>
      <c r="E594" s="6">
        <v>337</v>
      </c>
      <c r="F594" s="6">
        <v>4</v>
      </c>
      <c r="G594" s="36">
        <v>2</v>
      </c>
      <c r="H594" s="36">
        <v>81698</v>
      </c>
      <c r="I594" s="36" t="s">
        <v>1505</v>
      </c>
      <c r="J594" s="36">
        <v>83473827</v>
      </c>
      <c r="K594" s="36" t="s">
        <v>3207</v>
      </c>
      <c r="L594" s="34" t="s">
        <v>3208</v>
      </c>
      <c r="M594" s="33">
        <v>239900</v>
      </c>
      <c r="N594" s="9">
        <f t="shared" si="55"/>
        <v>0.9</v>
      </c>
      <c r="O594" s="8">
        <f t="shared" si="56"/>
        <v>23990</v>
      </c>
      <c r="P594" s="9" t="str">
        <f t="shared" si="57"/>
        <v>PERCENTAGE</v>
      </c>
    </row>
    <row r="595" spans="1:16" x14ac:dyDescent="0.25">
      <c r="A595" s="6" t="str">
        <f t="shared" si="60"/>
        <v>2023 ALL D90</v>
      </c>
      <c r="B595" s="7">
        <f t="shared" si="58"/>
        <v>46114</v>
      </c>
      <c r="C595" s="7">
        <f t="shared" si="59"/>
        <v>46120</v>
      </c>
      <c r="D595" s="6">
        <v>3280</v>
      </c>
      <c r="E595" s="6">
        <v>337</v>
      </c>
      <c r="F595" s="6">
        <v>4</v>
      </c>
      <c r="G595" s="36">
        <v>2</v>
      </c>
      <c r="H595" s="36">
        <v>81698</v>
      </c>
      <c r="I595" s="36" t="s">
        <v>1505</v>
      </c>
      <c r="J595" s="36">
        <v>83473836</v>
      </c>
      <c r="K595" s="36" t="s">
        <v>3207</v>
      </c>
      <c r="L595" s="34" t="s">
        <v>3209</v>
      </c>
      <c r="M595" s="33">
        <v>239900</v>
      </c>
      <c r="N595" s="9">
        <f t="shared" si="55"/>
        <v>0.9</v>
      </c>
      <c r="O595" s="8">
        <f t="shared" si="56"/>
        <v>23990</v>
      </c>
      <c r="P595" s="9" t="str">
        <f t="shared" si="57"/>
        <v>PERCENTAGE</v>
      </c>
    </row>
    <row r="596" spans="1:16" x14ac:dyDescent="0.25">
      <c r="A596" s="6" t="str">
        <f t="shared" si="60"/>
        <v>2023 ALL D90</v>
      </c>
      <c r="B596" s="7">
        <f t="shared" si="58"/>
        <v>46114</v>
      </c>
      <c r="C596" s="7">
        <f t="shared" si="59"/>
        <v>46120</v>
      </c>
      <c r="D596" s="6">
        <v>3280</v>
      </c>
      <c r="E596" s="6">
        <v>337</v>
      </c>
      <c r="F596" s="6">
        <v>4</v>
      </c>
      <c r="G596" s="36">
        <v>2</v>
      </c>
      <c r="H596" s="36">
        <v>81698</v>
      </c>
      <c r="I596" s="36" t="s">
        <v>1505</v>
      </c>
      <c r="J596" s="36">
        <v>83473845</v>
      </c>
      <c r="K596" s="36" t="s">
        <v>3207</v>
      </c>
      <c r="L596" s="34" t="s">
        <v>3210</v>
      </c>
      <c r="M596" s="33">
        <v>239900</v>
      </c>
      <c r="N596" s="9">
        <f t="shared" si="55"/>
        <v>0.9</v>
      </c>
      <c r="O596" s="8">
        <f t="shared" si="56"/>
        <v>23990</v>
      </c>
      <c r="P596" s="9" t="str">
        <f t="shared" si="57"/>
        <v>PERCENTAGE</v>
      </c>
    </row>
    <row r="597" spans="1:16" x14ac:dyDescent="0.25">
      <c r="A597" s="6" t="str">
        <f t="shared" si="60"/>
        <v>2023 ALL D90</v>
      </c>
      <c r="B597" s="7">
        <f t="shared" si="58"/>
        <v>46114</v>
      </c>
      <c r="C597" s="7">
        <f t="shared" si="59"/>
        <v>46120</v>
      </c>
      <c r="D597" s="6">
        <v>3280</v>
      </c>
      <c r="E597" s="6">
        <v>337</v>
      </c>
      <c r="F597" s="6">
        <v>4</v>
      </c>
      <c r="G597" s="36">
        <v>2</v>
      </c>
      <c r="H597" s="36">
        <v>81698</v>
      </c>
      <c r="I597" s="36" t="s">
        <v>1505</v>
      </c>
      <c r="J597" s="36">
        <v>83473854</v>
      </c>
      <c r="K597" s="36" t="s">
        <v>3207</v>
      </c>
      <c r="L597" s="34" t="s">
        <v>3211</v>
      </c>
      <c r="M597" s="33">
        <v>249900</v>
      </c>
      <c r="N597" s="9">
        <f t="shared" si="55"/>
        <v>0.9</v>
      </c>
      <c r="O597" s="8">
        <f t="shared" si="56"/>
        <v>24990</v>
      </c>
      <c r="P597" s="9" t="str">
        <f t="shared" si="57"/>
        <v>PERCENTAGE</v>
      </c>
    </row>
    <row r="598" spans="1:16" x14ac:dyDescent="0.25">
      <c r="A598" s="6" t="str">
        <f t="shared" si="60"/>
        <v>2023 ALL D90</v>
      </c>
      <c r="B598" s="7">
        <f t="shared" si="58"/>
        <v>46114</v>
      </c>
      <c r="C598" s="7">
        <f t="shared" si="59"/>
        <v>46120</v>
      </c>
      <c r="D598" s="6">
        <v>3280</v>
      </c>
      <c r="E598" s="6">
        <v>337</v>
      </c>
      <c r="F598" s="6">
        <v>4</v>
      </c>
      <c r="G598" s="36">
        <v>2</v>
      </c>
      <c r="H598" s="36">
        <v>81698</v>
      </c>
      <c r="I598" s="36" t="s">
        <v>1505</v>
      </c>
      <c r="J598" s="36">
        <v>83473863</v>
      </c>
      <c r="K598" s="36" t="s">
        <v>3207</v>
      </c>
      <c r="L598" s="34" t="s">
        <v>3212</v>
      </c>
      <c r="M598" s="33">
        <v>249900</v>
      </c>
      <c r="N598" s="9">
        <f t="shared" si="55"/>
        <v>0.9</v>
      </c>
      <c r="O598" s="8">
        <f t="shared" si="56"/>
        <v>24990</v>
      </c>
      <c r="P598" s="9" t="str">
        <f t="shared" si="57"/>
        <v>PERCENTAGE</v>
      </c>
    </row>
    <row r="599" spans="1:16" x14ac:dyDescent="0.25">
      <c r="A599" s="6" t="str">
        <f t="shared" si="60"/>
        <v>2023 ALL D90</v>
      </c>
      <c r="B599" s="7">
        <f t="shared" si="58"/>
        <v>46114</v>
      </c>
      <c r="C599" s="7">
        <f t="shared" si="59"/>
        <v>46120</v>
      </c>
      <c r="D599" s="6">
        <v>3280</v>
      </c>
      <c r="E599" s="6">
        <v>337</v>
      </c>
      <c r="F599" s="6">
        <v>4</v>
      </c>
      <c r="G599" s="36">
        <v>2</v>
      </c>
      <c r="H599" s="36">
        <v>81698</v>
      </c>
      <c r="I599" s="36" t="s">
        <v>1505</v>
      </c>
      <c r="J599" s="36">
        <v>83473872</v>
      </c>
      <c r="K599" s="36" t="s">
        <v>3207</v>
      </c>
      <c r="L599" s="34" t="s">
        <v>3213</v>
      </c>
      <c r="M599" s="33">
        <v>249900</v>
      </c>
      <c r="N599" s="9">
        <f t="shared" si="55"/>
        <v>0.9</v>
      </c>
      <c r="O599" s="8">
        <f t="shared" si="56"/>
        <v>24990</v>
      </c>
      <c r="P599" s="9" t="str">
        <f t="shared" si="57"/>
        <v>PERCENTAGE</v>
      </c>
    </row>
    <row r="600" spans="1:16" x14ac:dyDescent="0.25">
      <c r="A600" s="6" t="str">
        <f t="shared" si="60"/>
        <v>2023 ALL D90</v>
      </c>
      <c r="B600" s="7">
        <f t="shared" si="58"/>
        <v>46114</v>
      </c>
      <c r="C600" s="7">
        <f t="shared" si="59"/>
        <v>46120</v>
      </c>
      <c r="D600" s="6">
        <v>3280</v>
      </c>
      <c r="E600" s="6">
        <v>337</v>
      </c>
      <c r="F600" s="6">
        <v>4</v>
      </c>
      <c r="G600" s="36">
        <v>2</v>
      </c>
      <c r="H600" s="36">
        <v>81306</v>
      </c>
      <c r="I600" s="36" t="s">
        <v>1505</v>
      </c>
      <c r="J600" s="36">
        <v>85954527</v>
      </c>
      <c r="K600" s="36" t="s">
        <v>3249</v>
      </c>
      <c r="L600" s="34" t="s">
        <v>3250</v>
      </c>
      <c r="M600" s="33">
        <v>239900</v>
      </c>
      <c r="N600" s="9">
        <f t="shared" si="55"/>
        <v>0.9</v>
      </c>
      <c r="O600" s="8">
        <f t="shared" si="56"/>
        <v>23990</v>
      </c>
      <c r="P600" s="9" t="str">
        <f t="shared" si="57"/>
        <v>PERCENTAGE</v>
      </c>
    </row>
    <row r="601" spans="1:16" x14ac:dyDescent="0.25">
      <c r="A601" s="6" t="str">
        <f t="shared" si="60"/>
        <v>2023 ALL D90</v>
      </c>
      <c r="B601" s="7">
        <f t="shared" si="58"/>
        <v>46114</v>
      </c>
      <c r="C601" s="7">
        <f t="shared" si="59"/>
        <v>46120</v>
      </c>
      <c r="D601" s="6">
        <v>3280</v>
      </c>
      <c r="E601" s="6">
        <v>337</v>
      </c>
      <c r="F601" s="6">
        <v>4</v>
      </c>
      <c r="G601" s="36">
        <v>2</v>
      </c>
      <c r="H601" s="36">
        <v>81306</v>
      </c>
      <c r="I601" s="36" t="s">
        <v>1505</v>
      </c>
      <c r="J601" s="36">
        <v>85954536</v>
      </c>
      <c r="K601" s="36" t="s">
        <v>3249</v>
      </c>
      <c r="L601" s="34" t="s">
        <v>3251</v>
      </c>
      <c r="M601" s="33">
        <v>239900</v>
      </c>
      <c r="N601" s="9">
        <f t="shared" si="55"/>
        <v>0.9</v>
      </c>
      <c r="O601" s="8">
        <f t="shared" si="56"/>
        <v>23990</v>
      </c>
      <c r="P601" s="9" t="str">
        <f t="shared" si="57"/>
        <v>PERCENTAGE</v>
      </c>
    </row>
    <row r="602" spans="1:16" x14ac:dyDescent="0.25">
      <c r="A602" s="6" t="str">
        <f t="shared" si="60"/>
        <v>2023 ALL D90</v>
      </c>
      <c r="B602" s="7">
        <f t="shared" si="58"/>
        <v>46114</v>
      </c>
      <c r="C602" s="7">
        <f t="shared" si="59"/>
        <v>46120</v>
      </c>
      <c r="D602" s="6">
        <v>3280</v>
      </c>
      <c r="E602" s="6">
        <v>337</v>
      </c>
      <c r="F602" s="6">
        <v>4</v>
      </c>
      <c r="G602" s="36">
        <v>2</v>
      </c>
      <c r="H602" s="36">
        <v>81306</v>
      </c>
      <c r="I602" s="36" t="s">
        <v>1505</v>
      </c>
      <c r="J602" s="36">
        <v>85954545</v>
      </c>
      <c r="K602" s="36" t="s">
        <v>3249</v>
      </c>
      <c r="L602" s="34" t="s">
        <v>3252</v>
      </c>
      <c r="M602" s="33">
        <v>239900</v>
      </c>
      <c r="N602" s="9">
        <f t="shared" si="55"/>
        <v>0.9</v>
      </c>
      <c r="O602" s="8">
        <f t="shared" si="56"/>
        <v>23990</v>
      </c>
      <c r="P602" s="9" t="str">
        <f t="shared" si="57"/>
        <v>PERCENTAGE</v>
      </c>
    </row>
    <row r="603" spans="1:16" x14ac:dyDescent="0.25">
      <c r="A603" s="6" t="str">
        <f t="shared" si="60"/>
        <v>2023 ALL D90</v>
      </c>
      <c r="B603" s="7">
        <f t="shared" si="58"/>
        <v>46114</v>
      </c>
      <c r="C603" s="7">
        <f t="shared" si="59"/>
        <v>46120</v>
      </c>
      <c r="D603" s="6">
        <v>3280</v>
      </c>
      <c r="E603" s="6">
        <v>337</v>
      </c>
      <c r="F603" s="6">
        <v>4</v>
      </c>
      <c r="G603" s="36">
        <v>2</v>
      </c>
      <c r="H603" s="36">
        <v>81306</v>
      </c>
      <c r="I603" s="36" t="s">
        <v>1505</v>
      </c>
      <c r="J603" s="36">
        <v>85954554</v>
      </c>
      <c r="K603" s="36" t="s">
        <v>3249</v>
      </c>
      <c r="L603" s="34" t="s">
        <v>3253</v>
      </c>
      <c r="M603" s="33">
        <v>249900</v>
      </c>
      <c r="N603" s="9">
        <f t="shared" si="55"/>
        <v>0.9</v>
      </c>
      <c r="O603" s="8">
        <f t="shared" si="56"/>
        <v>24990</v>
      </c>
      <c r="P603" s="9" t="str">
        <f t="shared" si="57"/>
        <v>PERCENTAGE</v>
      </c>
    </row>
    <row r="604" spans="1:16" x14ac:dyDescent="0.25">
      <c r="A604" s="6" t="str">
        <f t="shared" si="60"/>
        <v>2023 ALL D90</v>
      </c>
      <c r="B604" s="7">
        <f t="shared" si="58"/>
        <v>46114</v>
      </c>
      <c r="C604" s="7">
        <f t="shared" si="59"/>
        <v>46120</v>
      </c>
      <c r="D604" s="6">
        <v>3280</v>
      </c>
      <c r="E604" s="6">
        <v>337</v>
      </c>
      <c r="F604" s="6">
        <v>4</v>
      </c>
      <c r="G604" s="36">
        <v>2</v>
      </c>
      <c r="H604" s="36">
        <v>81306</v>
      </c>
      <c r="I604" s="36" t="s">
        <v>1505</v>
      </c>
      <c r="J604" s="36">
        <v>85954563</v>
      </c>
      <c r="K604" s="36" t="s">
        <v>3249</v>
      </c>
      <c r="L604" s="34" t="s">
        <v>3254</v>
      </c>
      <c r="M604" s="33">
        <v>249900</v>
      </c>
      <c r="N604" s="9">
        <f t="shared" si="55"/>
        <v>0.9</v>
      </c>
      <c r="O604" s="8">
        <f t="shared" si="56"/>
        <v>24990</v>
      </c>
      <c r="P604" s="9" t="str">
        <f t="shared" si="57"/>
        <v>PERCENTAGE</v>
      </c>
    </row>
    <row r="605" spans="1:16" x14ac:dyDescent="0.25">
      <c r="A605" s="6" t="str">
        <f t="shared" si="60"/>
        <v>2023 ALL D90</v>
      </c>
      <c r="B605" s="7">
        <f t="shared" si="58"/>
        <v>46114</v>
      </c>
      <c r="C605" s="7">
        <f t="shared" si="59"/>
        <v>46120</v>
      </c>
      <c r="D605" s="6">
        <v>3280</v>
      </c>
      <c r="E605" s="6">
        <v>337</v>
      </c>
      <c r="F605" s="6">
        <v>4</v>
      </c>
      <c r="G605" s="36">
        <v>2</v>
      </c>
      <c r="H605" s="36">
        <v>81306</v>
      </c>
      <c r="I605" s="36" t="s">
        <v>1505</v>
      </c>
      <c r="J605" s="36">
        <v>85954572</v>
      </c>
      <c r="K605" s="36" t="s">
        <v>3249</v>
      </c>
      <c r="L605" s="34" t="s">
        <v>3255</v>
      </c>
      <c r="M605" s="33">
        <v>249900</v>
      </c>
      <c r="N605" s="9">
        <f t="shared" si="55"/>
        <v>0.9</v>
      </c>
      <c r="O605" s="8">
        <f t="shared" si="56"/>
        <v>24990</v>
      </c>
      <c r="P605" s="9" t="str">
        <f t="shared" si="57"/>
        <v>PERCENTAGE</v>
      </c>
    </row>
    <row r="606" spans="1:16" x14ac:dyDescent="0.25">
      <c r="A606" s="6" t="str">
        <f t="shared" si="60"/>
        <v>2023 ALL D90</v>
      </c>
      <c r="B606" s="7">
        <f t="shared" si="58"/>
        <v>46114</v>
      </c>
      <c r="C606" s="7">
        <f t="shared" si="59"/>
        <v>46120</v>
      </c>
      <c r="D606" s="6">
        <v>3280</v>
      </c>
      <c r="E606" s="6">
        <v>337</v>
      </c>
      <c r="F606" s="6">
        <v>4</v>
      </c>
      <c r="G606" s="36">
        <v>2</v>
      </c>
      <c r="H606" s="36">
        <v>81622</v>
      </c>
      <c r="I606" s="36" t="s">
        <v>1505</v>
      </c>
      <c r="J606" s="36">
        <v>85955606</v>
      </c>
      <c r="K606" s="36" t="s">
        <v>3263</v>
      </c>
      <c r="L606" s="34" t="s">
        <v>3264</v>
      </c>
      <c r="M606" s="33">
        <v>249900</v>
      </c>
      <c r="N606" s="9">
        <f t="shared" si="55"/>
        <v>0.9</v>
      </c>
      <c r="O606" s="8">
        <f t="shared" si="56"/>
        <v>24990</v>
      </c>
      <c r="P606" s="9" t="str">
        <f t="shared" si="57"/>
        <v>PERCENTAGE</v>
      </c>
    </row>
    <row r="607" spans="1:16" x14ac:dyDescent="0.25">
      <c r="A607" s="6" t="str">
        <f t="shared" si="60"/>
        <v>2023 ALL D90</v>
      </c>
      <c r="B607" s="7">
        <f t="shared" si="58"/>
        <v>46114</v>
      </c>
      <c r="C607" s="7">
        <f t="shared" si="59"/>
        <v>46120</v>
      </c>
      <c r="D607" s="6">
        <v>3280</v>
      </c>
      <c r="E607" s="6">
        <v>337</v>
      </c>
      <c r="F607" s="6">
        <v>4</v>
      </c>
      <c r="G607" s="36">
        <v>2</v>
      </c>
      <c r="H607" s="36">
        <v>81622</v>
      </c>
      <c r="I607" s="36" t="s">
        <v>1505</v>
      </c>
      <c r="J607" s="36">
        <v>85955615</v>
      </c>
      <c r="K607" s="36" t="s">
        <v>3263</v>
      </c>
      <c r="L607" s="34" t="s">
        <v>3265</v>
      </c>
      <c r="M607" s="33">
        <v>249900</v>
      </c>
      <c r="N607" s="9">
        <f t="shared" si="55"/>
        <v>0.9</v>
      </c>
      <c r="O607" s="8">
        <f t="shared" si="56"/>
        <v>24990</v>
      </c>
      <c r="P607" s="9" t="str">
        <f t="shared" si="57"/>
        <v>PERCENTAGE</v>
      </c>
    </row>
    <row r="608" spans="1:16" x14ac:dyDescent="0.25">
      <c r="A608" s="6" t="str">
        <f t="shared" si="60"/>
        <v>2023 ALL D90</v>
      </c>
      <c r="B608" s="7">
        <f t="shared" si="58"/>
        <v>46114</v>
      </c>
      <c r="C608" s="7">
        <f t="shared" si="59"/>
        <v>46120</v>
      </c>
      <c r="D608" s="6">
        <v>3280</v>
      </c>
      <c r="E608" s="6">
        <v>337</v>
      </c>
      <c r="F608" s="6">
        <v>4</v>
      </c>
      <c r="G608" s="36">
        <v>2</v>
      </c>
      <c r="H608" s="36">
        <v>81622</v>
      </c>
      <c r="I608" s="36" t="s">
        <v>1505</v>
      </c>
      <c r="J608" s="36">
        <v>85955624</v>
      </c>
      <c r="K608" s="36" t="s">
        <v>3263</v>
      </c>
      <c r="L608" s="34" t="s">
        <v>3266</v>
      </c>
      <c r="M608" s="33">
        <v>249900</v>
      </c>
      <c r="N608" s="9">
        <f t="shared" si="55"/>
        <v>0.9</v>
      </c>
      <c r="O608" s="8">
        <f t="shared" si="56"/>
        <v>24990</v>
      </c>
      <c r="P608" s="9" t="str">
        <f t="shared" si="57"/>
        <v>PERCENTAGE</v>
      </c>
    </row>
    <row r="609" spans="1:16" x14ac:dyDescent="0.25">
      <c r="A609" s="6" t="str">
        <f t="shared" si="60"/>
        <v>2023 ALL D90</v>
      </c>
      <c r="B609" s="7">
        <f t="shared" si="58"/>
        <v>46114</v>
      </c>
      <c r="C609" s="7">
        <f t="shared" si="59"/>
        <v>46120</v>
      </c>
      <c r="D609" s="6">
        <v>3280</v>
      </c>
      <c r="E609" s="6">
        <v>337</v>
      </c>
      <c r="F609" s="6">
        <v>4</v>
      </c>
      <c r="G609" s="36">
        <v>2</v>
      </c>
      <c r="H609" s="36">
        <v>81622</v>
      </c>
      <c r="I609" s="36" t="s">
        <v>1505</v>
      </c>
      <c r="J609" s="36">
        <v>85955633</v>
      </c>
      <c r="K609" s="36" t="s">
        <v>3263</v>
      </c>
      <c r="L609" s="34" t="s">
        <v>3267</v>
      </c>
      <c r="M609" s="33">
        <v>259900</v>
      </c>
      <c r="N609" s="9">
        <f t="shared" si="55"/>
        <v>0.9</v>
      </c>
      <c r="O609" s="8">
        <f t="shared" si="56"/>
        <v>25990</v>
      </c>
      <c r="P609" s="9" t="str">
        <f t="shared" si="57"/>
        <v>PERCENTAGE</v>
      </c>
    </row>
    <row r="610" spans="1:16" x14ac:dyDescent="0.25">
      <c r="A610" s="6" t="str">
        <f t="shared" si="60"/>
        <v>2023 ALL D90</v>
      </c>
      <c r="B610" s="7">
        <f t="shared" si="58"/>
        <v>46114</v>
      </c>
      <c r="C610" s="7">
        <f t="shared" si="59"/>
        <v>46120</v>
      </c>
      <c r="D610" s="6">
        <v>3280</v>
      </c>
      <c r="E610" s="6">
        <v>337</v>
      </c>
      <c r="F610" s="6">
        <v>4</v>
      </c>
      <c r="G610" s="36">
        <v>2</v>
      </c>
      <c r="H610" s="36">
        <v>81622</v>
      </c>
      <c r="I610" s="36" t="s">
        <v>1505</v>
      </c>
      <c r="J610" s="36">
        <v>85955642</v>
      </c>
      <c r="K610" s="36" t="s">
        <v>3263</v>
      </c>
      <c r="L610" s="34" t="s">
        <v>3268</v>
      </c>
      <c r="M610" s="33">
        <v>259900</v>
      </c>
      <c r="N610" s="9">
        <f t="shared" si="55"/>
        <v>0.9</v>
      </c>
      <c r="O610" s="8">
        <f t="shared" si="56"/>
        <v>25990</v>
      </c>
      <c r="P610" s="9" t="str">
        <f t="shared" si="57"/>
        <v>PERCENTAGE</v>
      </c>
    </row>
    <row r="611" spans="1:16" x14ac:dyDescent="0.25">
      <c r="A611" s="6" t="str">
        <f t="shared" si="60"/>
        <v>2023 ALL D90</v>
      </c>
      <c r="B611" s="7">
        <f t="shared" si="58"/>
        <v>46114</v>
      </c>
      <c r="C611" s="7">
        <f t="shared" si="59"/>
        <v>46120</v>
      </c>
      <c r="D611" s="6">
        <v>3280</v>
      </c>
      <c r="E611" s="6">
        <v>337</v>
      </c>
      <c r="F611" s="6">
        <v>4</v>
      </c>
      <c r="G611" s="36">
        <v>2</v>
      </c>
      <c r="H611" s="36">
        <v>81622</v>
      </c>
      <c r="I611" s="36" t="s">
        <v>1505</v>
      </c>
      <c r="J611" s="36">
        <v>85955651</v>
      </c>
      <c r="K611" s="36" t="s">
        <v>3263</v>
      </c>
      <c r="L611" s="34" t="s">
        <v>3269</v>
      </c>
      <c r="M611" s="33">
        <v>259900</v>
      </c>
      <c r="N611" s="9">
        <f t="shared" si="55"/>
        <v>0.9</v>
      </c>
      <c r="O611" s="8">
        <f t="shared" si="56"/>
        <v>25990</v>
      </c>
      <c r="P611" s="9" t="str">
        <f t="shared" si="57"/>
        <v>PERCENTAGE</v>
      </c>
    </row>
    <row r="612" spans="1:16" x14ac:dyDescent="0.25">
      <c r="A612" s="6" t="str">
        <f t="shared" si="60"/>
        <v>2023 ALL D90</v>
      </c>
      <c r="B612" s="7">
        <f t="shared" si="58"/>
        <v>46114</v>
      </c>
      <c r="C612" s="7">
        <f t="shared" si="59"/>
        <v>46120</v>
      </c>
      <c r="D612" s="6">
        <v>3280</v>
      </c>
      <c r="E612" s="6">
        <v>337</v>
      </c>
      <c r="F612" s="6">
        <v>4</v>
      </c>
      <c r="G612" s="36">
        <v>2</v>
      </c>
      <c r="H612" s="36">
        <v>81490</v>
      </c>
      <c r="I612" s="36" t="s">
        <v>1505</v>
      </c>
      <c r="J612" s="36">
        <v>13824865</v>
      </c>
      <c r="K612" s="36" t="s">
        <v>3158</v>
      </c>
      <c r="L612" s="34" t="s">
        <v>3159</v>
      </c>
      <c r="M612" s="33">
        <v>239900</v>
      </c>
      <c r="N612" s="9">
        <f t="shared" si="55"/>
        <v>0.9</v>
      </c>
      <c r="O612" s="8">
        <f t="shared" si="56"/>
        <v>23990</v>
      </c>
      <c r="P612" s="9" t="str">
        <f t="shared" si="57"/>
        <v>PERCENTAGE</v>
      </c>
    </row>
    <row r="613" spans="1:16" x14ac:dyDescent="0.25">
      <c r="A613" s="6" t="str">
        <f t="shared" si="60"/>
        <v>2023 ALL D90</v>
      </c>
      <c r="B613" s="7">
        <f t="shared" si="58"/>
        <v>46114</v>
      </c>
      <c r="C613" s="7">
        <f t="shared" si="59"/>
        <v>46120</v>
      </c>
      <c r="D613" s="6">
        <v>3280</v>
      </c>
      <c r="E613" s="6">
        <v>337</v>
      </c>
      <c r="F613" s="6">
        <v>4</v>
      </c>
      <c r="G613" s="36">
        <v>2</v>
      </c>
      <c r="H613" s="36">
        <v>81490</v>
      </c>
      <c r="I613" s="36" t="s">
        <v>1505</v>
      </c>
      <c r="J613" s="36">
        <v>13824874</v>
      </c>
      <c r="K613" s="36" t="s">
        <v>3158</v>
      </c>
      <c r="L613" s="34" t="s">
        <v>3160</v>
      </c>
      <c r="M613" s="33">
        <v>239900</v>
      </c>
      <c r="N613" s="9">
        <f t="shared" si="55"/>
        <v>0.9</v>
      </c>
      <c r="O613" s="8">
        <f t="shared" si="56"/>
        <v>23990</v>
      </c>
      <c r="P613" s="9" t="str">
        <f t="shared" si="57"/>
        <v>PERCENTAGE</v>
      </c>
    </row>
    <row r="614" spans="1:16" x14ac:dyDescent="0.25">
      <c r="A614" s="6" t="str">
        <f t="shared" si="60"/>
        <v>2023 ALL D90</v>
      </c>
      <c r="B614" s="7">
        <f t="shared" si="58"/>
        <v>46114</v>
      </c>
      <c r="C614" s="7">
        <f t="shared" si="59"/>
        <v>46120</v>
      </c>
      <c r="D614" s="6">
        <v>3280</v>
      </c>
      <c r="E614" s="6">
        <v>337</v>
      </c>
      <c r="F614" s="6">
        <v>4</v>
      </c>
      <c r="G614" s="36">
        <v>2</v>
      </c>
      <c r="H614" s="36">
        <v>81490</v>
      </c>
      <c r="I614" s="36" t="s">
        <v>1505</v>
      </c>
      <c r="J614" s="36">
        <v>13824883</v>
      </c>
      <c r="K614" s="36" t="s">
        <v>3158</v>
      </c>
      <c r="L614" s="34" t="s">
        <v>3161</v>
      </c>
      <c r="M614" s="33">
        <v>239900</v>
      </c>
      <c r="N614" s="9">
        <f t="shared" si="55"/>
        <v>0.9</v>
      </c>
      <c r="O614" s="8">
        <f t="shared" si="56"/>
        <v>23990</v>
      </c>
      <c r="P614" s="9" t="str">
        <f t="shared" si="57"/>
        <v>PERCENTAGE</v>
      </c>
    </row>
    <row r="615" spans="1:16" x14ac:dyDescent="0.25">
      <c r="A615" s="6" t="str">
        <f t="shared" si="60"/>
        <v>2023 ALL D90</v>
      </c>
      <c r="B615" s="7">
        <f t="shared" si="58"/>
        <v>46114</v>
      </c>
      <c r="C615" s="7">
        <f t="shared" si="59"/>
        <v>46120</v>
      </c>
      <c r="D615" s="6">
        <v>3280</v>
      </c>
      <c r="E615" s="6">
        <v>337</v>
      </c>
      <c r="F615" s="6">
        <v>4</v>
      </c>
      <c r="G615" s="36">
        <v>2</v>
      </c>
      <c r="H615" s="36">
        <v>81490</v>
      </c>
      <c r="I615" s="36" t="s">
        <v>1505</v>
      </c>
      <c r="J615" s="36">
        <v>13824892</v>
      </c>
      <c r="K615" s="36" t="s">
        <v>3158</v>
      </c>
      <c r="L615" s="34" t="s">
        <v>3162</v>
      </c>
      <c r="M615" s="33">
        <v>249900</v>
      </c>
      <c r="N615" s="9">
        <f t="shared" si="55"/>
        <v>0.9</v>
      </c>
      <c r="O615" s="8">
        <f t="shared" si="56"/>
        <v>24990</v>
      </c>
      <c r="P615" s="9" t="str">
        <f t="shared" si="57"/>
        <v>PERCENTAGE</v>
      </c>
    </row>
    <row r="616" spans="1:16" x14ac:dyDescent="0.25">
      <c r="A616" s="6" t="str">
        <f t="shared" si="60"/>
        <v>2023 ALL D90</v>
      </c>
      <c r="B616" s="7">
        <f t="shared" si="58"/>
        <v>46114</v>
      </c>
      <c r="C616" s="7">
        <f t="shared" si="59"/>
        <v>46120</v>
      </c>
      <c r="D616" s="6">
        <v>3280</v>
      </c>
      <c r="E616" s="6">
        <v>337</v>
      </c>
      <c r="F616" s="6">
        <v>4</v>
      </c>
      <c r="G616" s="36">
        <v>2</v>
      </c>
      <c r="H616" s="36">
        <v>81490</v>
      </c>
      <c r="I616" s="36" t="s">
        <v>1505</v>
      </c>
      <c r="J616" s="36">
        <v>13824909</v>
      </c>
      <c r="K616" s="36" t="s">
        <v>3158</v>
      </c>
      <c r="L616" s="34" t="s">
        <v>3163</v>
      </c>
      <c r="M616" s="33">
        <v>249900</v>
      </c>
      <c r="N616" s="9">
        <f t="shared" si="55"/>
        <v>0.9</v>
      </c>
      <c r="O616" s="8">
        <f t="shared" si="56"/>
        <v>24990</v>
      </c>
      <c r="P616" s="9" t="str">
        <f t="shared" si="57"/>
        <v>PERCENTAGE</v>
      </c>
    </row>
    <row r="617" spans="1:16" x14ac:dyDescent="0.25">
      <c r="A617" s="6" t="str">
        <f t="shared" si="60"/>
        <v>2023 ALL D90</v>
      </c>
      <c r="B617" s="7">
        <f t="shared" si="58"/>
        <v>46114</v>
      </c>
      <c r="C617" s="7">
        <f t="shared" si="59"/>
        <v>46120</v>
      </c>
      <c r="D617" s="6">
        <v>3280</v>
      </c>
      <c r="E617" s="6">
        <v>337</v>
      </c>
      <c r="F617" s="6">
        <v>4</v>
      </c>
      <c r="G617" s="36">
        <v>2</v>
      </c>
      <c r="H617" s="36">
        <v>81490</v>
      </c>
      <c r="I617" s="36" t="s">
        <v>1505</v>
      </c>
      <c r="J617" s="36">
        <v>13824918</v>
      </c>
      <c r="K617" s="36" t="s">
        <v>3158</v>
      </c>
      <c r="L617" s="34" t="s">
        <v>3164</v>
      </c>
      <c r="M617" s="33">
        <v>249900</v>
      </c>
      <c r="N617" s="9">
        <f t="shared" si="55"/>
        <v>0.9</v>
      </c>
      <c r="O617" s="8">
        <f t="shared" si="56"/>
        <v>24990</v>
      </c>
      <c r="P617" s="9" t="str">
        <f t="shared" si="57"/>
        <v>PERCENTAGE</v>
      </c>
    </row>
    <row r="618" spans="1:16" x14ac:dyDescent="0.25">
      <c r="A618" s="6" t="str">
        <f t="shared" si="60"/>
        <v>2023 ALL D90</v>
      </c>
      <c r="B618" s="7">
        <f t="shared" si="58"/>
        <v>46114</v>
      </c>
      <c r="C618" s="7">
        <f t="shared" si="59"/>
        <v>46120</v>
      </c>
      <c r="D618" s="6">
        <v>3280</v>
      </c>
      <c r="E618" s="6">
        <v>337</v>
      </c>
      <c r="F618" s="6">
        <v>4</v>
      </c>
      <c r="G618" s="36">
        <v>2</v>
      </c>
      <c r="H618" s="36">
        <v>80942</v>
      </c>
      <c r="I618" s="36" t="s">
        <v>1505</v>
      </c>
      <c r="J618" s="36">
        <v>85954643</v>
      </c>
      <c r="K618" s="36" t="s">
        <v>3270</v>
      </c>
      <c r="L618" s="34" t="s">
        <v>3271</v>
      </c>
      <c r="M618" s="33">
        <v>269900</v>
      </c>
      <c r="N618" s="9">
        <f t="shared" si="55"/>
        <v>0.9</v>
      </c>
      <c r="O618" s="8">
        <f t="shared" si="56"/>
        <v>26990</v>
      </c>
      <c r="P618" s="9" t="str">
        <f t="shared" si="57"/>
        <v>PERCENTAGE</v>
      </c>
    </row>
    <row r="619" spans="1:16" x14ac:dyDescent="0.25">
      <c r="A619" s="6" t="str">
        <f t="shared" si="60"/>
        <v>2023 ALL D90</v>
      </c>
      <c r="B619" s="7">
        <f t="shared" si="58"/>
        <v>46114</v>
      </c>
      <c r="C619" s="7">
        <f t="shared" si="59"/>
        <v>46120</v>
      </c>
      <c r="D619" s="6">
        <v>3280</v>
      </c>
      <c r="E619" s="6">
        <v>337</v>
      </c>
      <c r="F619" s="6">
        <v>4</v>
      </c>
      <c r="G619" s="36">
        <v>2</v>
      </c>
      <c r="H619" s="36">
        <v>80942</v>
      </c>
      <c r="I619" s="36" t="s">
        <v>1505</v>
      </c>
      <c r="J619" s="36">
        <v>85954652</v>
      </c>
      <c r="K619" s="36" t="s">
        <v>3270</v>
      </c>
      <c r="L619" s="34" t="s">
        <v>3272</v>
      </c>
      <c r="M619" s="33">
        <v>269900</v>
      </c>
      <c r="N619" s="9">
        <f t="shared" si="55"/>
        <v>0.9</v>
      </c>
      <c r="O619" s="8">
        <f t="shared" si="56"/>
        <v>26990</v>
      </c>
      <c r="P619" s="9" t="str">
        <f t="shared" si="57"/>
        <v>PERCENTAGE</v>
      </c>
    </row>
    <row r="620" spans="1:16" x14ac:dyDescent="0.25">
      <c r="A620" s="6" t="str">
        <f t="shared" si="60"/>
        <v>2023 ALL D90</v>
      </c>
      <c r="B620" s="7">
        <f t="shared" si="58"/>
        <v>46114</v>
      </c>
      <c r="C620" s="7">
        <f t="shared" si="59"/>
        <v>46120</v>
      </c>
      <c r="D620" s="6">
        <v>3280</v>
      </c>
      <c r="E620" s="6">
        <v>337</v>
      </c>
      <c r="F620" s="6">
        <v>4</v>
      </c>
      <c r="G620" s="36">
        <v>2</v>
      </c>
      <c r="H620" s="36">
        <v>80942</v>
      </c>
      <c r="I620" s="36" t="s">
        <v>1505</v>
      </c>
      <c r="J620" s="36">
        <v>85954661</v>
      </c>
      <c r="K620" s="36" t="s">
        <v>3270</v>
      </c>
      <c r="L620" s="34" t="s">
        <v>3273</v>
      </c>
      <c r="M620" s="33">
        <v>269900</v>
      </c>
      <c r="N620" s="9">
        <f t="shared" si="55"/>
        <v>0.9</v>
      </c>
      <c r="O620" s="8">
        <f t="shared" si="56"/>
        <v>26990</v>
      </c>
      <c r="P620" s="9" t="str">
        <f t="shared" si="57"/>
        <v>PERCENTAGE</v>
      </c>
    </row>
    <row r="621" spans="1:16" x14ac:dyDescent="0.25">
      <c r="A621" s="6" t="str">
        <f t="shared" si="60"/>
        <v>2023 ALL D90</v>
      </c>
      <c r="B621" s="7">
        <f t="shared" si="58"/>
        <v>46114</v>
      </c>
      <c r="C621" s="7">
        <f t="shared" si="59"/>
        <v>46120</v>
      </c>
      <c r="D621" s="6">
        <v>3280</v>
      </c>
      <c r="E621" s="6">
        <v>337</v>
      </c>
      <c r="F621" s="6">
        <v>4</v>
      </c>
      <c r="G621" s="36">
        <v>2</v>
      </c>
      <c r="H621" s="36">
        <v>80942</v>
      </c>
      <c r="I621" s="36" t="s">
        <v>1505</v>
      </c>
      <c r="J621" s="36">
        <v>85954670</v>
      </c>
      <c r="K621" s="36" t="s">
        <v>3270</v>
      </c>
      <c r="L621" s="34" t="s">
        <v>3274</v>
      </c>
      <c r="M621" s="33">
        <v>279900</v>
      </c>
      <c r="N621" s="9">
        <f t="shared" si="55"/>
        <v>0.9</v>
      </c>
      <c r="O621" s="8">
        <f t="shared" si="56"/>
        <v>27990</v>
      </c>
      <c r="P621" s="9" t="str">
        <f t="shared" si="57"/>
        <v>PERCENTAGE</v>
      </c>
    </row>
    <row r="622" spans="1:16" x14ac:dyDescent="0.25">
      <c r="A622" s="6" t="str">
        <f t="shared" si="60"/>
        <v>2023 ALL D90</v>
      </c>
      <c r="B622" s="7">
        <f t="shared" si="58"/>
        <v>46114</v>
      </c>
      <c r="C622" s="7">
        <f t="shared" si="59"/>
        <v>46120</v>
      </c>
      <c r="D622" s="6">
        <v>3280</v>
      </c>
      <c r="E622" s="6">
        <v>337</v>
      </c>
      <c r="F622" s="6">
        <v>4</v>
      </c>
      <c r="G622" s="36">
        <v>2</v>
      </c>
      <c r="H622" s="36">
        <v>80942</v>
      </c>
      <c r="I622" s="36" t="s">
        <v>1505</v>
      </c>
      <c r="J622" s="36">
        <v>85954689</v>
      </c>
      <c r="K622" s="36" t="s">
        <v>3270</v>
      </c>
      <c r="L622" s="34" t="s">
        <v>3275</v>
      </c>
      <c r="M622" s="33">
        <v>279900</v>
      </c>
      <c r="N622" s="9">
        <f t="shared" si="55"/>
        <v>0.9</v>
      </c>
      <c r="O622" s="8">
        <f t="shared" si="56"/>
        <v>27990</v>
      </c>
      <c r="P622" s="9" t="str">
        <f t="shared" si="57"/>
        <v>PERCENTAGE</v>
      </c>
    </row>
    <row r="623" spans="1:16" x14ac:dyDescent="0.25">
      <c r="A623" s="6" t="str">
        <f t="shared" si="60"/>
        <v>2023 ALL D90</v>
      </c>
      <c r="B623" s="7">
        <f t="shared" si="58"/>
        <v>46114</v>
      </c>
      <c r="C623" s="7">
        <f t="shared" si="59"/>
        <v>46120</v>
      </c>
      <c r="D623" s="6">
        <v>3280</v>
      </c>
      <c r="E623" s="6">
        <v>337</v>
      </c>
      <c r="F623" s="6">
        <v>4</v>
      </c>
      <c r="G623" s="36">
        <v>2</v>
      </c>
      <c r="H623" s="36">
        <v>80942</v>
      </c>
      <c r="I623" s="36" t="s">
        <v>1505</v>
      </c>
      <c r="J623" s="36">
        <v>85954698</v>
      </c>
      <c r="K623" s="36" t="s">
        <v>3270</v>
      </c>
      <c r="L623" s="34" t="s">
        <v>3276</v>
      </c>
      <c r="M623" s="33">
        <v>279900</v>
      </c>
      <c r="N623" s="9">
        <f t="shared" si="55"/>
        <v>0.9</v>
      </c>
      <c r="O623" s="8">
        <f t="shared" si="56"/>
        <v>27990</v>
      </c>
      <c r="P623" s="9" t="str">
        <f t="shared" si="57"/>
        <v>PERCENTAGE</v>
      </c>
    </row>
    <row r="624" spans="1:16" x14ac:dyDescent="0.25">
      <c r="A624" s="6" t="str">
        <f t="shared" si="60"/>
        <v>2023 ALL D90</v>
      </c>
      <c r="B624" s="7">
        <f t="shared" si="58"/>
        <v>46114</v>
      </c>
      <c r="C624" s="7">
        <f t="shared" si="59"/>
        <v>46120</v>
      </c>
      <c r="D624" s="6">
        <v>3280</v>
      </c>
      <c r="E624" s="6">
        <v>337</v>
      </c>
      <c r="F624" s="6">
        <v>4</v>
      </c>
      <c r="G624" s="36">
        <v>1</v>
      </c>
      <c r="H624" s="36">
        <v>81698</v>
      </c>
      <c r="I624" s="36" t="s">
        <v>1505</v>
      </c>
      <c r="J624" s="36">
        <v>85954401</v>
      </c>
      <c r="K624" s="36" t="s">
        <v>3277</v>
      </c>
      <c r="L624" s="34" t="s">
        <v>3278</v>
      </c>
      <c r="M624" s="33">
        <v>259900</v>
      </c>
      <c r="N624" s="9">
        <f t="shared" si="55"/>
        <v>0.9</v>
      </c>
      <c r="O624" s="8">
        <f t="shared" si="56"/>
        <v>25990</v>
      </c>
      <c r="P624" s="9" t="str">
        <f t="shared" si="57"/>
        <v>PERCENTAGE</v>
      </c>
    </row>
    <row r="625" spans="1:16" x14ac:dyDescent="0.25">
      <c r="A625" s="6" t="str">
        <f t="shared" si="60"/>
        <v>2023 ALL D90</v>
      </c>
      <c r="B625" s="7">
        <f t="shared" si="58"/>
        <v>46114</v>
      </c>
      <c r="C625" s="7">
        <f t="shared" si="59"/>
        <v>46120</v>
      </c>
      <c r="D625" s="6">
        <v>3280</v>
      </c>
      <c r="E625" s="6">
        <v>337</v>
      </c>
      <c r="F625" s="6">
        <v>4</v>
      </c>
      <c r="G625" s="36">
        <v>1</v>
      </c>
      <c r="H625" s="36">
        <v>81698</v>
      </c>
      <c r="I625" s="36" t="s">
        <v>1505</v>
      </c>
      <c r="J625" s="36">
        <v>85954410</v>
      </c>
      <c r="K625" s="36" t="s">
        <v>3277</v>
      </c>
      <c r="L625" s="34" t="s">
        <v>3279</v>
      </c>
      <c r="M625" s="33">
        <v>259900</v>
      </c>
      <c r="N625" s="9">
        <f t="shared" si="55"/>
        <v>0.9</v>
      </c>
      <c r="O625" s="8">
        <f t="shared" si="56"/>
        <v>25990</v>
      </c>
      <c r="P625" s="9" t="str">
        <f t="shared" si="57"/>
        <v>PERCENTAGE</v>
      </c>
    </row>
    <row r="626" spans="1:16" x14ac:dyDescent="0.25">
      <c r="A626" s="6" t="str">
        <f t="shared" si="60"/>
        <v>2023 ALL D90</v>
      </c>
      <c r="B626" s="7">
        <f t="shared" si="58"/>
        <v>46114</v>
      </c>
      <c r="C626" s="7">
        <f t="shared" si="59"/>
        <v>46120</v>
      </c>
      <c r="D626" s="6">
        <v>3280</v>
      </c>
      <c r="E626" s="6">
        <v>337</v>
      </c>
      <c r="F626" s="6">
        <v>4</v>
      </c>
      <c r="G626" s="36">
        <v>1</v>
      </c>
      <c r="H626" s="36">
        <v>81698</v>
      </c>
      <c r="I626" s="36" t="s">
        <v>1505</v>
      </c>
      <c r="J626" s="36">
        <v>85954429</v>
      </c>
      <c r="K626" s="36" t="s">
        <v>3277</v>
      </c>
      <c r="L626" s="34" t="s">
        <v>3280</v>
      </c>
      <c r="M626" s="33">
        <v>259900</v>
      </c>
      <c r="N626" s="9">
        <f t="shared" si="55"/>
        <v>0.9</v>
      </c>
      <c r="O626" s="8">
        <f t="shared" si="56"/>
        <v>25990</v>
      </c>
      <c r="P626" s="9" t="str">
        <f t="shared" si="57"/>
        <v>PERCENTAGE</v>
      </c>
    </row>
    <row r="627" spans="1:16" x14ac:dyDescent="0.25">
      <c r="A627" s="6" t="str">
        <f t="shared" si="60"/>
        <v>2023 ALL D90</v>
      </c>
      <c r="B627" s="7">
        <f t="shared" si="58"/>
        <v>46114</v>
      </c>
      <c r="C627" s="7">
        <f t="shared" si="59"/>
        <v>46120</v>
      </c>
      <c r="D627" s="6">
        <v>3280</v>
      </c>
      <c r="E627" s="6">
        <v>337</v>
      </c>
      <c r="F627" s="6">
        <v>4</v>
      </c>
      <c r="G627" s="36">
        <v>1</v>
      </c>
      <c r="H627" s="36">
        <v>81698</v>
      </c>
      <c r="I627" s="36" t="s">
        <v>1505</v>
      </c>
      <c r="J627" s="36">
        <v>85954438</v>
      </c>
      <c r="K627" s="36" t="s">
        <v>3277</v>
      </c>
      <c r="L627" s="34" t="s">
        <v>3281</v>
      </c>
      <c r="M627" s="33">
        <v>269900</v>
      </c>
      <c r="N627" s="9">
        <f t="shared" si="55"/>
        <v>0.9</v>
      </c>
      <c r="O627" s="8">
        <f t="shared" si="56"/>
        <v>26990</v>
      </c>
      <c r="P627" s="9" t="str">
        <f t="shared" si="57"/>
        <v>PERCENTAGE</v>
      </c>
    </row>
    <row r="628" spans="1:16" x14ac:dyDescent="0.25">
      <c r="A628" s="6" t="str">
        <f t="shared" si="60"/>
        <v>2023 ALL D90</v>
      </c>
      <c r="B628" s="7">
        <f t="shared" si="58"/>
        <v>46114</v>
      </c>
      <c r="C628" s="7">
        <f t="shared" si="59"/>
        <v>46120</v>
      </c>
      <c r="D628" s="6">
        <v>3280</v>
      </c>
      <c r="E628" s="6">
        <v>337</v>
      </c>
      <c r="F628" s="6">
        <v>4</v>
      </c>
      <c r="G628" s="36">
        <v>1</v>
      </c>
      <c r="H628" s="36">
        <v>81698</v>
      </c>
      <c r="I628" s="36" t="s">
        <v>1505</v>
      </c>
      <c r="J628" s="36">
        <v>85954447</v>
      </c>
      <c r="K628" s="36" t="s">
        <v>3277</v>
      </c>
      <c r="L628" s="34" t="s">
        <v>3282</v>
      </c>
      <c r="M628" s="33">
        <v>269900</v>
      </c>
      <c r="N628" s="9">
        <f t="shared" si="55"/>
        <v>0.9</v>
      </c>
      <c r="O628" s="8">
        <f t="shared" si="56"/>
        <v>26990</v>
      </c>
      <c r="P628" s="9" t="str">
        <f t="shared" si="57"/>
        <v>PERCENTAGE</v>
      </c>
    </row>
    <row r="629" spans="1:16" x14ac:dyDescent="0.25">
      <c r="A629" s="6" t="str">
        <f t="shared" si="60"/>
        <v>2023 ALL D90</v>
      </c>
      <c r="B629" s="7">
        <f t="shared" si="58"/>
        <v>46114</v>
      </c>
      <c r="C629" s="7">
        <f t="shared" si="59"/>
        <v>46120</v>
      </c>
      <c r="D629" s="6">
        <v>3280</v>
      </c>
      <c r="E629" s="6">
        <v>337</v>
      </c>
      <c r="F629" s="6">
        <v>4</v>
      </c>
      <c r="G629" s="36">
        <v>1</v>
      </c>
      <c r="H629" s="36">
        <v>81698</v>
      </c>
      <c r="I629" s="36" t="s">
        <v>1505</v>
      </c>
      <c r="J629" s="36">
        <v>85954456</v>
      </c>
      <c r="K629" s="36" t="s">
        <v>3277</v>
      </c>
      <c r="L629" s="34" t="s">
        <v>3283</v>
      </c>
      <c r="M629" s="33">
        <v>269900</v>
      </c>
      <c r="N629" s="9">
        <f t="shared" si="55"/>
        <v>0.9</v>
      </c>
      <c r="O629" s="8">
        <f t="shared" si="56"/>
        <v>26990</v>
      </c>
      <c r="P629" s="9" t="str">
        <f t="shared" si="57"/>
        <v>PERCENTAGE</v>
      </c>
    </row>
    <row r="630" spans="1:16" x14ac:dyDescent="0.25">
      <c r="A630" s="6" t="str">
        <f t="shared" si="60"/>
        <v>2023 ALL D90</v>
      </c>
      <c r="B630" s="7">
        <f t="shared" si="58"/>
        <v>46114</v>
      </c>
      <c r="C630" s="7">
        <f t="shared" si="59"/>
        <v>46120</v>
      </c>
      <c r="D630" s="6">
        <v>3280</v>
      </c>
      <c r="E630" s="6">
        <v>337</v>
      </c>
      <c r="F630" s="6">
        <v>4</v>
      </c>
      <c r="G630" s="36">
        <v>1</v>
      </c>
      <c r="H630" s="36">
        <v>81698</v>
      </c>
      <c r="I630" s="36" t="s">
        <v>1505</v>
      </c>
      <c r="J630" s="36">
        <v>13846378</v>
      </c>
      <c r="K630" s="36" t="s">
        <v>3284</v>
      </c>
      <c r="L630" s="34" t="s">
        <v>3285</v>
      </c>
      <c r="M630" s="33">
        <v>269900</v>
      </c>
      <c r="N630" s="9">
        <f t="shared" si="55"/>
        <v>0.9</v>
      </c>
      <c r="O630" s="8">
        <f t="shared" si="56"/>
        <v>26990</v>
      </c>
      <c r="P630" s="9" t="str">
        <f t="shared" si="57"/>
        <v>PERCENTAGE</v>
      </c>
    </row>
    <row r="631" spans="1:16" x14ac:dyDescent="0.25">
      <c r="A631" s="6" t="str">
        <f t="shared" si="60"/>
        <v>2023 ALL D90</v>
      </c>
      <c r="B631" s="7">
        <f t="shared" si="58"/>
        <v>46114</v>
      </c>
      <c r="C631" s="7">
        <f t="shared" si="59"/>
        <v>46120</v>
      </c>
      <c r="D631" s="6">
        <v>3280</v>
      </c>
      <c r="E631" s="6">
        <v>337</v>
      </c>
      <c r="F631" s="6">
        <v>4</v>
      </c>
      <c r="G631" s="36">
        <v>1</v>
      </c>
      <c r="H631" s="36">
        <v>81698</v>
      </c>
      <c r="I631" s="36" t="s">
        <v>1505</v>
      </c>
      <c r="J631" s="36">
        <v>13846387</v>
      </c>
      <c r="K631" s="36" t="s">
        <v>3284</v>
      </c>
      <c r="L631" s="34" t="s">
        <v>3286</v>
      </c>
      <c r="M631" s="33">
        <v>269900</v>
      </c>
      <c r="N631" s="9">
        <f t="shared" si="55"/>
        <v>0.9</v>
      </c>
      <c r="O631" s="8">
        <f t="shared" si="56"/>
        <v>26990</v>
      </c>
      <c r="P631" s="9" t="str">
        <f t="shared" si="57"/>
        <v>PERCENTAGE</v>
      </c>
    </row>
    <row r="632" spans="1:16" x14ac:dyDescent="0.25">
      <c r="A632" s="6" t="str">
        <f t="shared" si="60"/>
        <v>2023 ALL D90</v>
      </c>
      <c r="B632" s="7">
        <f t="shared" si="58"/>
        <v>46114</v>
      </c>
      <c r="C632" s="7">
        <f t="shared" si="59"/>
        <v>46120</v>
      </c>
      <c r="D632" s="6">
        <v>3280</v>
      </c>
      <c r="E632" s="6">
        <v>337</v>
      </c>
      <c r="F632" s="6">
        <v>4</v>
      </c>
      <c r="G632" s="36">
        <v>1</v>
      </c>
      <c r="H632" s="36">
        <v>81698</v>
      </c>
      <c r="I632" s="36" t="s">
        <v>1505</v>
      </c>
      <c r="J632" s="36">
        <v>13846396</v>
      </c>
      <c r="K632" s="36" t="s">
        <v>3284</v>
      </c>
      <c r="L632" s="34" t="s">
        <v>3287</v>
      </c>
      <c r="M632" s="33">
        <v>269900</v>
      </c>
      <c r="N632" s="9">
        <f t="shared" si="55"/>
        <v>0.9</v>
      </c>
      <c r="O632" s="8">
        <f t="shared" si="56"/>
        <v>26990</v>
      </c>
      <c r="P632" s="9" t="str">
        <f t="shared" si="57"/>
        <v>PERCENTAGE</v>
      </c>
    </row>
    <row r="633" spans="1:16" x14ac:dyDescent="0.25">
      <c r="A633" s="6" t="str">
        <f t="shared" si="60"/>
        <v>2023 ALL D90</v>
      </c>
      <c r="B633" s="7">
        <f t="shared" si="58"/>
        <v>46114</v>
      </c>
      <c r="C633" s="7">
        <f t="shared" si="59"/>
        <v>46120</v>
      </c>
      <c r="D633" s="6">
        <v>3280</v>
      </c>
      <c r="E633" s="6">
        <v>337</v>
      </c>
      <c r="F633" s="6">
        <v>4</v>
      </c>
      <c r="G633" s="36">
        <v>1</v>
      </c>
      <c r="H633" s="36">
        <v>81698</v>
      </c>
      <c r="I633" s="36" t="s">
        <v>1505</v>
      </c>
      <c r="J633" s="36">
        <v>13846403</v>
      </c>
      <c r="K633" s="36" t="s">
        <v>3284</v>
      </c>
      <c r="L633" s="34" t="s">
        <v>3288</v>
      </c>
      <c r="M633" s="33">
        <v>279900</v>
      </c>
      <c r="N633" s="9">
        <f t="shared" si="55"/>
        <v>0.9</v>
      </c>
      <c r="O633" s="8">
        <f t="shared" si="56"/>
        <v>27990</v>
      </c>
      <c r="P633" s="9" t="str">
        <f t="shared" si="57"/>
        <v>PERCENTAGE</v>
      </c>
    </row>
    <row r="634" spans="1:16" x14ac:dyDescent="0.25">
      <c r="A634" s="6" t="str">
        <f t="shared" si="60"/>
        <v>2023 ALL D90</v>
      </c>
      <c r="B634" s="7">
        <f t="shared" si="58"/>
        <v>46114</v>
      </c>
      <c r="C634" s="7">
        <f t="shared" si="59"/>
        <v>46120</v>
      </c>
      <c r="D634" s="6">
        <v>3280</v>
      </c>
      <c r="E634" s="6">
        <v>337</v>
      </c>
      <c r="F634" s="6">
        <v>4</v>
      </c>
      <c r="G634" s="36">
        <v>1</v>
      </c>
      <c r="H634" s="36">
        <v>81698</v>
      </c>
      <c r="I634" s="36" t="s">
        <v>1505</v>
      </c>
      <c r="J634" s="36">
        <v>13846412</v>
      </c>
      <c r="K634" s="36" t="s">
        <v>3284</v>
      </c>
      <c r="L634" s="34" t="s">
        <v>3289</v>
      </c>
      <c r="M634" s="33">
        <v>279900</v>
      </c>
      <c r="N634" s="9">
        <f t="shared" si="55"/>
        <v>0.9</v>
      </c>
      <c r="O634" s="8">
        <f t="shared" si="56"/>
        <v>27990</v>
      </c>
      <c r="P634" s="9" t="str">
        <f t="shared" si="57"/>
        <v>PERCENTAGE</v>
      </c>
    </row>
    <row r="635" spans="1:16" x14ac:dyDescent="0.25">
      <c r="A635" s="6" t="str">
        <f t="shared" si="60"/>
        <v>2023 ALL D90</v>
      </c>
      <c r="B635" s="7">
        <f t="shared" si="58"/>
        <v>46114</v>
      </c>
      <c r="C635" s="7">
        <f t="shared" si="59"/>
        <v>46120</v>
      </c>
      <c r="D635" s="6">
        <v>3280</v>
      </c>
      <c r="E635" s="6">
        <v>337</v>
      </c>
      <c r="F635" s="6">
        <v>4</v>
      </c>
      <c r="G635" s="36">
        <v>1</v>
      </c>
      <c r="H635" s="36">
        <v>81698</v>
      </c>
      <c r="I635" s="36" t="s">
        <v>1505</v>
      </c>
      <c r="J635" s="36">
        <v>13846421</v>
      </c>
      <c r="K635" s="36" t="s">
        <v>3284</v>
      </c>
      <c r="L635" s="34" t="s">
        <v>3290</v>
      </c>
      <c r="M635" s="33">
        <v>279900</v>
      </c>
      <c r="N635" s="9">
        <f t="shared" si="55"/>
        <v>0.9</v>
      </c>
      <c r="O635" s="8">
        <f t="shared" si="56"/>
        <v>27990</v>
      </c>
      <c r="P635" s="9" t="str">
        <f t="shared" si="57"/>
        <v>PERCENTAGE</v>
      </c>
    </row>
    <row r="636" spans="1:16" x14ac:dyDescent="0.25">
      <c r="A636" s="6" t="str">
        <f t="shared" si="60"/>
        <v>2023 ALL D90</v>
      </c>
      <c r="B636" s="7">
        <f t="shared" si="58"/>
        <v>46114</v>
      </c>
      <c r="C636" s="7">
        <f t="shared" si="59"/>
        <v>46120</v>
      </c>
      <c r="D636" s="6">
        <v>3280</v>
      </c>
      <c r="E636" s="6">
        <v>337</v>
      </c>
      <c r="F636" s="6">
        <v>4</v>
      </c>
      <c r="G636" s="36">
        <v>1</v>
      </c>
      <c r="H636" s="36">
        <v>81698</v>
      </c>
      <c r="I636" s="36" t="s">
        <v>1505</v>
      </c>
      <c r="J636" s="36">
        <v>13846252</v>
      </c>
      <c r="K636" s="36" t="s">
        <v>3291</v>
      </c>
      <c r="L636" s="34" t="s">
        <v>3292</v>
      </c>
      <c r="M636" s="33">
        <v>269900</v>
      </c>
      <c r="N636" s="9">
        <f t="shared" si="55"/>
        <v>0.9</v>
      </c>
      <c r="O636" s="8">
        <f t="shared" si="56"/>
        <v>26990</v>
      </c>
      <c r="P636" s="9" t="str">
        <f t="shared" si="57"/>
        <v>PERCENTAGE</v>
      </c>
    </row>
    <row r="637" spans="1:16" x14ac:dyDescent="0.25">
      <c r="A637" s="6" t="str">
        <f t="shared" si="60"/>
        <v>2023 ALL D90</v>
      </c>
      <c r="B637" s="7">
        <f t="shared" si="58"/>
        <v>46114</v>
      </c>
      <c r="C637" s="7">
        <f t="shared" si="59"/>
        <v>46120</v>
      </c>
      <c r="D637" s="6">
        <v>3280</v>
      </c>
      <c r="E637" s="6">
        <v>337</v>
      </c>
      <c r="F637" s="6">
        <v>4</v>
      </c>
      <c r="G637" s="36">
        <v>1</v>
      </c>
      <c r="H637" s="36">
        <v>81698</v>
      </c>
      <c r="I637" s="36" t="s">
        <v>1505</v>
      </c>
      <c r="J637" s="36">
        <v>13846261</v>
      </c>
      <c r="K637" s="36" t="s">
        <v>3291</v>
      </c>
      <c r="L637" s="34" t="s">
        <v>3293</v>
      </c>
      <c r="M637" s="33">
        <v>269900</v>
      </c>
      <c r="N637" s="9">
        <f t="shared" si="55"/>
        <v>0.9</v>
      </c>
      <c r="O637" s="8">
        <f t="shared" si="56"/>
        <v>26990</v>
      </c>
      <c r="P637" s="9" t="str">
        <f t="shared" si="57"/>
        <v>PERCENTAGE</v>
      </c>
    </row>
    <row r="638" spans="1:16" x14ac:dyDescent="0.25">
      <c r="A638" s="6" t="str">
        <f t="shared" si="60"/>
        <v>2023 ALL D90</v>
      </c>
      <c r="B638" s="7">
        <f t="shared" si="58"/>
        <v>46114</v>
      </c>
      <c r="C638" s="7">
        <f t="shared" si="59"/>
        <v>46120</v>
      </c>
      <c r="D638" s="6">
        <v>3280</v>
      </c>
      <c r="E638" s="6">
        <v>337</v>
      </c>
      <c r="F638" s="6">
        <v>4</v>
      </c>
      <c r="G638" s="36">
        <v>1</v>
      </c>
      <c r="H638" s="36">
        <v>81698</v>
      </c>
      <c r="I638" s="36" t="s">
        <v>1505</v>
      </c>
      <c r="J638" s="36">
        <v>13846270</v>
      </c>
      <c r="K638" s="36" t="s">
        <v>3291</v>
      </c>
      <c r="L638" s="34" t="s">
        <v>3294</v>
      </c>
      <c r="M638" s="33">
        <v>269900</v>
      </c>
      <c r="N638" s="9">
        <f t="shared" si="55"/>
        <v>0.9</v>
      </c>
      <c r="O638" s="8">
        <f t="shared" si="56"/>
        <v>26990</v>
      </c>
      <c r="P638" s="9" t="str">
        <f t="shared" si="57"/>
        <v>PERCENTAGE</v>
      </c>
    </row>
    <row r="639" spans="1:16" x14ac:dyDescent="0.25">
      <c r="A639" s="6" t="str">
        <f t="shared" si="60"/>
        <v>2023 ALL D90</v>
      </c>
      <c r="B639" s="7">
        <f t="shared" si="58"/>
        <v>46114</v>
      </c>
      <c r="C639" s="7">
        <f t="shared" si="59"/>
        <v>46120</v>
      </c>
      <c r="D639" s="6">
        <v>3280</v>
      </c>
      <c r="E639" s="6">
        <v>337</v>
      </c>
      <c r="F639" s="6">
        <v>4</v>
      </c>
      <c r="G639" s="36">
        <v>1</v>
      </c>
      <c r="H639" s="36">
        <v>81698</v>
      </c>
      <c r="I639" s="36" t="s">
        <v>1505</v>
      </c>
      <c r="J639" s="36">
        <v>13846289</v>
      </c>
      <c r="K639" s="36" t="s">
        <v>3291</v>
      </c>
      <c r="L639" s="34" t="s">
        <v>3295</v>
      </c>
      <c r="M639" s="33">
        <v>279900</v>
      </c>
      <c r="N639" s="9">
        <f t="shared" si="55"/>
        <v>0.9</v>
      </c>
      <c r="O639" s="8">
        <f t="shared" si="56"/>
        <v>27990</v>
      </c>
      <c r="P639" s="9" t="str">
        <f t="shared" si="57"/>
        <v>PERCENTAGE</v>
      </c>
    </row>
    <row r="640" spans="1:16" x14ac:dyDescent="0.25">
      <c r="A640" s="6" t="str">
        <f t="shared" si="60"/>
        <v>2023 ALL D90</v>
      </c>
      <c r="B640" s="7">
        <f t="shared" si="58"/>
        <v>46114</v>
      </c>
      <c r="C640" s="7">
        <f t="shared" si="59"/>
        <v>46120</v>
      </c>
      <c r="D640" s="6">
        <v>3280</v>
      </c>
      <c r="E640" s="6">
        <v>337</v>
      </c>
      <c r="F640" s="6">
        <v>4</v>
      </c>
      <c r="G640" s="36">
        <v>1</v>
      </c>
      <c r="H640" s="36">
        <v>81698</v>
      </c>
      <c r="I640" s="36" t="s">
        <v>1505</v>
      </c>
      <c r="J640" s="36">
        <v>13846298</v>
      </c>
      <c r="K640" s="36" t="s">
        <v>3291</v>
      </c>
      <c r="L640" s="34" t="s">
        <v>3296</v>
      </c>
      <c r="M640" s="33">
        <v>279900</v>
      </c>
      <c r="N640" s="9">
        <f t="shared" si="55"/>
        <v>0.9</v>
      </c>
      <c r="O640" s="8">
        <f t="shared" si="56"/>
        <v>27990</v>
      </c>
      <c r="P640" s="9" t="str">
        <f t="shared" si="57"/>
        <v>PERCENTAGE</v>
      </c>
    </row>
    <row r="641" spans="1:16" x14ac:dyDescent="0.25">
      <c r="A641" s="6" t="str">
        <f t="shared" si="60"/>
        <v>2023 ALL D90</v>
      </c>
      <c r="B641" s="7">
        <f t="shared" si="58"/>
        <v>46114</v>
      </c>
      <c r="C641" s="7">
        <f t="shared" si="59"/>
        <v>46120</v>
      </c>
      <c r="D641" s="6">
        <v>3280</v>
      </c>
      <c r="E641" s="6">
        <v>337</v>
      </c>
      <c r="F641" s="6">
        <v>4</v>
      </c>
      <c r="G641" s="36">
        <v>1</v>
      </c>
      <c r="H641" s="36">
        <v>81698</v>
      </c>
      <c r="I641" s="36" t="s">
        <v>1505</v>
      </c>
      <c r="J641" s="36">
        <v>13846305</v>
      </c>
      <c r="K641" s="36" t="s">
        <v>3291</v>
      </c>
      <c r="L641" s="34" t="s">
        <v>3297</v>
      </c>
      <c r="M641" s="33">
        <v>279900</v>
      </c>
      <c r="N641" s="9">
        <f t="shared" si="55"/>
        <v>0.9</v>
      </c>
      <c r="O641" s="8">
        <f t="shared" si="56"/>
        <v>27990</v>
      </c>
      <c r="P641" s="9" t="str">
        <f t="shared" si="57"/>
        <v>PERCENTAGE</v>
      </c>
    </row>
    <row r="642" spans="1:16" x14ac:dyDescent="0.25">
      <c r="A642" s="6" t="str">
        <f t="shared" si="60"/>
        <v>2023 ALL D90</v>
      </c>
      <c r="B642" s="7">
        <f t="shared" si="58"/>
        <v>46114</v>
      </c>
      <c r="C642" s="7">
        <f t="shared" si="59"/>
        <v>46120</v>
      </c>
      <c r="D642" s="6">
        <v>3280</v>
      </c>
      <c r="E642" s="6">
        <v>337</v>
      </c>
      <c r="F642" s="6">
        <v>4</v>
      </c>
      <c r="G642" s="36">
        <v>1</v>
      </c>
      <c r="H642" s="36">
        <v>81698</v>
      </c>
      <c r="I642" s="36" t="s">
        <v>1505</v>
      </c>
      <c r="J642" s="36">
        <v>13846314</v>
      </c>
      <c r="K642" s="36" t="s">
        <v>3298</v>
      </c>
      <c r="L642" s="34" t="s">
        <v>3299</v>
      </c>
      <c r="M642" s="33">
        <v>269900</v>
      </c>
      <c r="N642" s="9">
        <f t="shared" si="55"/>
        <v>0.9</v>
      </c>
      <c r="O642" s="8">
        <f t="shared" si="56"/>
        <v>26990</v>
      </c>
      <c r="P642" s="9" t="str">
        <f t="shared" si="57"/>
        <v>PERCENTAGE</v>
      </c>
    </row>
    <row r="643" spans="1:16" x14ac:dyDescent="0.25">
      <c r="A643" s="6" t="str">
        <f t="shared" si="60"/>
        <v>2023 ALL D90</v>
      </c>
      <c r="B643" s="7">
        <f t="shared" si="58"/>
        <v>46114</v>
      </c>
      <c r="C643" s="7">
        <f t="shared" si="59"/>
        <v>46120</v>
      </c>
      <c r="D643" s="6">
        <v>3280</v>
      </c>
      <c r="E643" s="6">
        <v>337</v>
      </c>
      <c r="F643" s="6">
        <v>4</v>
      </c>
      <c r="G643" s="36">
        <v>1</v>
      </c>
      <c r="H643" s="36">
        <v>81698</v>
      </c>
      <c r="I643" s="36" t="s">
        <v>1505</v>
      </c>
      <c r="J643" s="36">
        <v>13846323</v>
      </c>
      <c r="K643" s="36" t="s">
        <v>3298</v>
      </c>
      <c r="L643" s="34" t="s">
        <v>3300</v>
      </c>
      <c r="M643" s="33">
        <v>269900</v>
      </c>
      <c r="N643" s="9">
        <f t="shared" ref="N643:N701" si="61">N642</f>
        <v>0.9</v>
      </c>
      <c r="O643" s="8">
        <f t="shared" ref="O643:O701" si="62">M643-((90*M643)/100)</f>
        <v>26990</v>
      </c>
      <c r="P643" s="9" t="str">
        <f t="shared" ref="P643:P701" si="63">P642</f>
        <v>PERCENTAGE</v>
      </c>
    </row>
    <row r="644" spans="1:16" x14ac:dyDescent="0.25">
      <c r="A644" s="6" t="str">
        <f t="shared" si="60"/>
        <v>2023 ALL D90</v>
      </c>
      <c r="B644" s="7">
        <f t="shared" si="58"/>
        <v>46114</v>
      </c>
      <c r="C644" s="7">
        <f t="shared" si="59"/>
        <v>46120</v>
      </c>
      <c r="D644" s="6">
        <v>3280</v>
      </c>
      <c r="E644" s="6">
        <v>337</v>
      </c>
      <c r="F644" s="6">
        <v>4</v>
      </c>
      <c r="G644" s="36">
        <v>1</v>
      </c>
      <c r="H644" s="36">
        <v>81698</v>
      </c>
      <c r="I644" s="36" t="s">
        <v>1505</v>
      </c>
      <c r="J644" s="36">
        <v>13846332</v>
      </c>
      <c r="K644" s="36" t="s">
        <v>3298</v>
      </c>
      <c r="L644" s="34" t="s">
        <v>3301</v>
      </c>
      <c r="M644" s="33">
        <v>269900</v>
      </c>
      <c r="N644" s="9">
        <f t="shared" si="61"/>
        <v>0.9</v>
      </c>
      <c r="O644" s="8">
        <f t="shared" si="62"/>
        <v>26990</v>
      </c>
      <c r="P644" s="9" t="str">
        <f t="shared" si="63"/>
        <v>PERCENTAGE</v>
      </c>
    </row>
    <row r="645" spans="1:16" x14ac:dyDescent="0.25">
      <c r="A645" s="6" t="str">
        <f t="shared" si="60"/>
        <v>2023 ALL D90</v>
      </c>
      <c r="B645" s="7">
        <f t="shared" si="58"/>
        <v>46114</v>
      </c>
      <c r="C645" s="7">
        <f t="shared" si="59"/>
        <v>46120</v>
      </c>
      <c r="D645" s="6">
        <v>3280</v>
      </c>
      <c r="E645" s="6">
        <v>337</v>
      </c>
      <c r="F645" s="6">
        <v>4</v>
      </c>
      <c r="G645" s="36">
        <v>1</v>
      </c>
      <c r="H645" s="36">
        <v>81698</v>
      </c>
      <c r="I645" s="36" t="s">
        <v>1505</v>
      </c>
      <c r="J645" s="36">
        <v>13846341</v>
      </c>
      <c r="K645" s="36" t="s">
        <v>3298</v>
      </c>
      <c r="L645" s="34" t="s">
        <v>3302</v>
      </c>
      <c r="M645" s="33">
        <v>279900</v>
      </c>
      <c r="N645" s="9">
        <f t="shared" si="61"/>
        <v>0.9</v>
      </c>
      <c r="O645" s="8">
        <f t="shared" si="62"/>
        <v>27990</v>
      </c>
      <c r="P645" s="9" t="str">
        <f t="shared" si="63"/>
        <v>PERCENTAGE</v>
      </c>
    </row>
    <row r="646" spans="1:16" x14ac:dyDescent="0.25">
      <c r="A646" s="6" t="str">
        <f t="shared" si="60"/>
        <v>2023 ALL D90</v>
      </c>
      <c r="B646" s="7">
        <f t="shared" si="58"/>
        <v>46114</v>
      </c>
      <c r="C646" s="7">
        <f t="shared" si="59"/>
        <v>46120</v>
      </c>
      <c r="D646" s="6">
        <v>3280</v>
      </c>
      <c r="E646" s="6">
        <v>337</v>
      </c>
      <c r="F646" s="6">
        <v>4</v>
      </c>
      <c r="G646" s="36">
        <v>1</v>
      </c>
      <c r="H646" s="36">
        <v>81698</v>
      </c>
      <c r="I646" s="36" t="s">
        <v>1505</v>
      </c>
      <c r="J646" s="36">
        <v>13846350</v>
      </c>
      <c r="K646" s="36" t="s">
        <v>3298</v>
      </c>
      <c r="L646" s="34" t="s">
        <v>3303</v>
      </c>
      <c r="M646" s="33">
        <v>279900</v>
      </c>
      <c r="N646" s="9">
        <f t="shared" si="61"/>
        <v>0.9</v>
      </c>
      <c r="O646" s="8">
        <f t="shared" si="62"/>
        <v>27990</v>
      </c>
      <c r="P646" s="9" t="str">
        <f t="shared" si="63"/>
        <v>PERCENTAGE</v>
      </c>
    </row>
    <row r="647" spans="1:16" x14ac:dyDescent="0.25">
      <c r="A647" s="6" t="str">
        <f t="shared" si="60"/>
        <v>2023 ALL D90</v>
      </c>
      <c r="B647" s="7">
        <f t="shared" si="58"/>
        <v>46114</v>
      </c>
      <c r="C647" s="7">
        <f t="shared" si="59"/>
        <v>46120</v>
      </c>
      <c r="D647" s="6">
        <v>3280</v>
      </c>
      <c r="E647" s="6">
        <v>337</v>
      </c>
      <c r="F647" s="6">
        <v>4</v>
      </c>
      <c r="G647" s="36">
        <v>1</v>
      </c>
      <c r="H647" s="36">
        <v>81698</v>
      </c>
      <c r="I647" s="36" t="s">
        <v>1505</v>
      </c>
      <c r="J647" s="36">
        <v>13846369</v>
      </c>
      <c r="K647" s="36" t="s">
        <v>3298</v>
      </c>
      <c r="L647" s="34" t="s">
        <v>3304</v>
      </c>
      <c r="M647" s="33">
        <v>279900</v>
      </c>
      <c r="N647" s="9">
        <f t="shared" si="61"/>
        <v>0.9</v>
      </c>
      <c r="O647" s="8">
        <f t="shared" si="62"/>
        <v>27990</v>
      </c>
      <c r="P647" s="9" t="str">
        <f t="shared" si="63"/>
        <v>PERCENTAGE</v>
      </c>
    </row>
    <row r="648" spans="1:16" x14ac:dyDescent="0.25">
      <c r="A648" s="6" t="str">
        <f t="shared" si="60"/>
        <v>2023 ALL D90</v>
      </c>
      <c r="B648" s="7">
        <f t="shared" si="58"/>
        <v>46114</v>
      </c>
      <c r="C648" s="7">
        <f t="shared" si="59"/>
        <v>46120</v>
      </c>
      <c r="D648" s="6">
        <v>3280</v>
      </c>
      <c r="E648" s="6">
        <v>337</v>
      </c>
      <c r="F648" s="6">
        <v>4</v>
      </c>
      <c r="G648" s="36">
        <v>1</v>
      </c>
      <c r="H648" s="36">
        <v>81698</v>
      </c>
      <c r="I648" s="36" t="s">
        <v>1505</v>
      </c>
      <c r="J648" s="36">
        <v>14253382</v>
      </c>
      <c r="K648" s="36" t="s">
        <v>3305</v>
      </c>
      <c r="L648" s="34" t="s">
        <v>3306</v>
      </c>
      <c r="M648" s="33">
        <v>259900</v>
      </c>
      <c r="N648" s="9">
        <f t="shared" si="61"/>
        <v>0.9</v>
      </c>
      <c r="O648" s="8">
        <f t="shared" si="62"/>
        <v>25990</v>
      </c>
      <c r="P648" s="9" t="str">
        <f t="shared" si="63"/>
        <v>PERCENTAGE</v>
      </c>
    </row>
    <row r="649" spans="1:16" x14ac:dyDescent="0.25">
      <c r="A649" s="6" t="str">
        <f t="shared" si="60"/>
        <v>2023 ALL D90</v>
      </c>
      <c r="B649" s="7">
        <f t="shared" si="58"/>
        <v>46114</v>
      </c>
      <c r="C649" s="7">
        <f t="shared" si="59"/>
        <v>46120</v>
      </c>
      <c r="D649" s="6">
        <v>3280</v>
      </c>
      <c r="E649" s="6">
        <v>337</v>
      </c>
      <c r="F649" s="6">
        <v>4</v>
      </c>
      <c r="G649" s="36">
        <v>1</v>
      </c>
      <c r="H649" s="36">
        <v>81698</v>
      </c>
      <c r="I649" s="36" t="s">
        <v>1505</v>
      </c>
      <c r="J649" s="36">
        <v>14253391</v>
      </c>
      <c r="K649" s="36" t="s">
        <v>3305</v>
      </c>
      <c r="L649" s="34" t="s">
        <v>3307</v>
      </c>
      <c r="M649" s="33">
        <v>259900</v>
      </c>
      <c r="N649" s="9">
        <f t="shared" si="61"/>
        <v>0.9</v>
      </c>
      <c r="O649" s="8">
        <f t="shared" si="62"/>
        <v>25990</v>
      </c>
      <c r="P649" s="9" t="str">
        <f t="shared" si="63"/>
        <v>PERCENTAGE</v>
      </c>
    </row>
    <row r="650" spans="1:16" x14ac:dyDescent="0.25">
      <c r="A650" s="6" t="str">
        <f t="shared" si="60"/>
        <v>2023 ALL D90</v>
      </c>
      <c r="B650" s="7">
        <f t="shared" si="58"/>
        <v>46114</v>
      </c>
      <c r="C650" s="7">
        <f t="shared" si="59"/>
        <v>46120</v>
      </c>
      <c r="D650" s="6">
        <v>3280</v>
      </c>
      <c r="E650" s="6">
        <v>337</v>
      </c>
      <c r="F650" s="6">
        <v>4</v>
      </c>
      <c r="G650" s="36">
        <v>1</v>
      </c>
      <c r="H650" s="36">
        <v>81698</v>
      </c>
      <c r="I650" s="36" t="s">
        <v>1505</v>
      </c>
      <c r="J650" s="36">
        <v>14253408</v>
      </c>
      <c r="K650" s="36" t="s">
        <v>3305</v>
      </c>
      <c r="L650" s="34" t="s">
        <v>3308</v>
      </c>
      <c r="M650" s="33">
        <v>259900</v>
      </c>
      <c r="N650" s="9">
        <f t="shared" si="61"/>
        <v>0.9</v>
      </c>
      <c r="O650" s="8">
        <f t="shared" si="62"/>
        <v>25990</v>
      </c>
      <c r="P650" s="9" t="str">
        <f t="shared" si="63"/>
        <v>PERCENTAGE</v>
      </c>
    </row>
    <row r="651" spans="1:16" x14ac:dyDescent="0.25">
      <c r="A651" s="6" t="str">
        <f t="shared" si="60"/>
        <v>2023 ALL D90</v>
      </c>
      <c r="B651" s="7">
        <f t="shared" si="58"/>
        <v>46114</v>
      </c>
      <c r="C651" s="7">
        <f t="shared" si="59"/>
        <v>46120</v>
      </c>
      <c r="D651" s="6">
        <v>3280</v>
      </c>
      <c r="E651" s="6">
        <v>337</v>
      </c>
      <c r="F651" s="6">
        <v>4</v>
      </c>
      <c r="G651" s="36">
        <v>1</v>
      </c>
      <c r="H651" s="36">
        <v>81698</v>
      </c>
      <c r="I651" s="36" t="s">
        <v>1505</v>
      </c>
      <c r="J651" s="36">
        <v>14253417</v>
      </c>
      <c r="K651" s="36" t="s">
        <v>3305</v>
      </c>
      <c r="L651" s="34" t="s">
        <v>3309</v>
      </c>
      <c r="M651" s="33">
        <v>269900</v>
      </c>
      <c r="N651" s="9">
        <f t="shared" si="61"/>
        <v>0.9</v>
      </c>
      <c r="O651" s="8">
        <f t="shared" si="62"/>
        <v>26990</v>
      </c>
      <c r="P651" s="9" t="str">
        <f t="shared" si="63"/>
        <v>PERCENTAGE</v>
      </c>
    </row>
    <row r="652" spans="1:16" x14ac:dyDescent="0.25">
      <c r="A652" s="6" t="str">
        <f t="shared" si="60"/>
        <v>2023 ALL D90</v>
      </c>
      <c r="B652" s="7">
        <f t="shared" ref="B652:B701" si="64">B651</f>
        <v>46114</v>
      </c>
      <c r="C652" s="7">
        <f t="shared" ref="C652:C701" si="65">C651</f>
        <v>46120</v>
      </c>
      <c r="D652" s="6">
        <v>3280</v>
      </c>
      <c r="E652" s="6">
        <v>337</v>
      </c>
      <c r="F652" s="6">
        <v>4</v>
      </c>
      <c r="G652" s="36">
        <v>1</v>
      </c>
      <c r="H652" s="36">
        <v>81698</v>
      </c>
      <c r="I652" s="36" t="s">
        <v>1505</v>
      </c>
      <c r="J652" s="36">
        <v>14253426</v>
      </c>
      <c r="K652" s="36" t="s">
        <v>3305</v>
      </c>
      <c r="L652" s="34" t="s">
        <v>3310</v>
      </c>
      <c r="M652" s="33">
        <v>269900</v>
      </c>
      <c r="N652" s="9">
        <f t="shared" si="61"/>
        <v>0.9</v>
      </c>
      <c r="O652" s="8">
        <f t="shared" si="62"/>
        <v>26990</v>
      </c>
      <c r="P652" s="9" t="str">
        <f t="shared" si="63"/>
        <v>PERCENTAGE</v>
      </c>
    </row>
    <row r="653" spans="1:16" x14ac:dyDescent="0.25">
      <c r="A653" s="6" t="str">
        <f t="shared" ref="A653:A701" si="66">A652</f>
        <v>2023 ALL D90</v>
      </c>
      <c r="B653" s="7">
        <f t="shared" si="64"/>
        <v>46114</v>
      </c>
      <c r="C653" s="7">
        <f t="shared" si="65"/>
        <v>46120</v>
      </c>
      <c r="D653" s="6">
        <v>3280</v>
      </c>
      <c r="E653" s="6">
        <v>337</v>
      </c>
      <c r="F653" s="6">
        <v>4</v>
      </c>
      <c r="G653" s="36">
        <v>1</v>
      </c>
      <c r="H653" s="36">
        <v>81698</v>
      </c>
      <c r="I653" s="36" t="s">
        <v>1505</v>
      </c>
      <c r="J653" s="36">
        <v>14253435</v>
      </c>
      <c r="K653" s="36" t="s">
        <v>3305</v>
      </c>
      <c r="L653" s="34" t="s">
        <v>3311</v>
      </c>
      <c r="M653" s="33">
        <v>269900</v>
      </c>
      <c r="N653" s="9">
        <f t="shared" si="61"/>
        <v>0.9</v>
      </c>
      <c r="O653" s="8">
        <f t="shared" si="62"/>
        <v>26990</v>
      </c>
      <c r="P653" s="9" t="str">
        <f t="shared" si="63"/>
        <v>PERCENTAGE</v>
      </c>
    </row>
    <row r="654" spans="1:16" x14ac:dyDescent="0.25">
      <c r="A654" s="6" t="str">
        <f t="shared" si="66"/>
        <v>2023 ALL D90</v>
      </c>
      <c r="B654" s="7">
        <f t="shared" si="64"/>
        <v>46114</v>
      </c>
      <c r="C654" s="7">
        <f t="shared" si="65"/>
        <v>46120</v>
      </c>
      <c r="D654" s="6">
        <v>3280</v>
      </c>
      <c r="E654" s="6">
        <v>337</v>
      </c>
      <c r="F654" s="14">
        <v>4</v>
      </c>
      <c r="G654" s="32">
        <v>1</v>
      </c>
      <c r="H654" s="36">
        <v>81306</v>
      </c>
      <c r="I654" s="32" t="s">
        <v>1505</v>
      </c>
      <c r="J654" s="36">
        <v>83474308</v>
      </c>
      <c r="K654" s="36" t="s">
        <v>3312</v>
      </c>
      <c r="L654" s="34" t="s">
        <v>3313</v>
      </c>
      <c r="M654" s="33">
        <v>239900</v>
      </c>
      <c r="N654" s="9">
        <f t="shared" si="61"/>
        <v>0.9</v>
      </c>
      <c r="O654" s="8">
        <f t="shared" si="62"/>
        <v>23990</v>
      </c>
      <c r="P654" s="9" t="str">
        <f t="shared" si="63"/>
        <v>PERCENTAGE</v>
      </c>
    </row>
    <row r="655" spans="1:16" x14ac:dyDescent="0.25">
      <c r="A655" s="6" t="str">
        <f t="shared" si="66"/>
        <v>2023 ALL D90</v>
      </c>
      <c r="B655" s="7">
        <f t="shared" si="64"/>
        <v>46114</v>
      </c>
      <c r="C655" s="7">
        <f t="shared" si="65"/>
        <v>46120</v>
      </c>
      <c r="D655" s="6">
        <v>3280</v>
      </c>
      <c r="E655" s="6">
        <v>337</v>
      </c>
      <c r="F655" s="14">
        <v>4</v>
      </c>
      <c r="G655" s="32">
        <v>1</v>
      </c>
      <c r="H655" s="36">
        <v>81306</v>
      </c>
      <c r="I655" s="32" t="s">
        <v>1505</v>
      </c>
      <c r="J655" s="36">
        <v>83474317</v>
      </c>
      <c r="K655" s="36" t="s">
        <v>3312</v>
      </c>
      <c r="L655" s="34" t="s">
        <v>3314</v>
      </c>
      <c r="M655" s="33">
        <v>239900</v>
      </c>
      <c r="N655" s="9">
        <f t="shared" si="61"/>
        <v>0.9</v>
      </c>
      <c r="O655" s="8">
        <f t="shared" si="62"/>
        <v>23990</v>
      </c>
      <c r="P655" s="9" t="str">
        <f t="shared" si="63"/>
        <v>PERCENTAGE</v>
      </c>
    </row>
    <row r="656" spans="1:16" x14ac:dyDescent="0.25">
      <c r="A656" s="6" t="str">
        <f t="shared" si="66"/>
        <v>2023 ALL D90</v>
      </c>
      <c r="B656" s="7">
        <f t="shared" si="64"/>
        <v>46114</v>
      </c>
      <c r="C656" s="7">
        <f t="shared" si="65"/>
        <v>46120</v>
      </c>
      <c r="D656" s="6">
        <v>3280</v>
      </c>
      <c r="E656" s="6">
        <v>337</v>
      </c>
      <c r="F656" s="14">
        <v>4</v>
      </c>
      <c r="G656" s="32">
        <v>1</v>
      </c>
      <c r="H656" s="36">
        <v>81306</v>
      </c>
      <c r="I656" s="32" t="s">
        <v>1505</v>
      </c>
      <c r="J656" s="36">
        <v>83474326</v>
      </c>
      <c r="K656" s="36" t="s">
        <v>3312</v>
      </c>
      <c r="L656" s="34" t="s">
        <v>3315</v>
      </c>
      <c r="M656" s="33">
        <v>239900</v>
      </c>
      <c r="N656" s="9">
        <f t="shared" si="61"/>
        <v>0.9</v>
      </c>
      <c r="O656" s="8">
        <f t="shared" si="62"/>
        <v>23990</v>
      </c>
      <c r="P656" s="9" t="str">
        <f t="shared" si="63"/>
        <v>PERCENTAGE</v>
      </c>
    </row>
    <row r="657" spans="1:16" x14ac:dyDescent="0.25">
      <c r="A657" s="6" t="str">
        <f t="shared" si="66"/>
        <v>2023 ALL D90</v>
      </c>
      <c r="B657" s="7">
        <f t="shared" si="64"/>
        <v>46114</v>
      </c>
      <c r="C657" s="7">
        <f t="shared" si="65"/>
        <v>46120</v>
      </c>
      <c r="D657" s="6">
        <v>3280</v>
      </c>
      <c r="E657" s="6">
        <v>337</v>
      </c>
      <c r="F657" s="14">
        <v>4</v>
      </c>
      <c r="G657" s="32">
        <v>1</v>
      </c>
      <c r="H657" s="36">
        <v>81306</v>
      </c>
      <c r="I657" s="32" t="s">
        <v>1505</v>
      </c>
      <c r="J657" s="36">
        <v>83474335</v>
      </c>
      <c r="K657" s="36" t="s">
        <v>3312</v>
      </c>
      <c r="L657" s="34" t="s">
        <v>3316</v>
      </c>
      <c r="M657" s="33">
        <v>249900</v>
      </c>
      <c r="N657" s="9">
        <f t="shared" si="61"/>
        <v>0.9</v>
      </c>
      <c r="O657" s="8">
        <f t="shared" si="62"/>
        <v>24990</v>
      </c>
      <c r="P657" s="9" t="str">
        <f t="shared" si="63"/>
        <v>PERCENTAGE</v>
      </c>
    </row>
    <row r="658" spans="1:16" x14ac:dyDescent="0.25">
      <c r="A658" s="6" t="str">
        <f t="shared" si="66"/>
        <v>2023 ALL D90</v>
      </c>
      <c r="B658" s="7">
        <f t="shared" si="64"/>
        <v>46114</v>
      </c>
      <c r="C658" s="7">
        <f t="shared" si="65"/>
        <v>46120</v>
      </c>
      <c r="D658" s="6">
        <v>3280</v>
      </c>
      <c r="E658" s="6">
        <v>337</v>
      </c>
      <c r="F658" s="14">
        <v>4</v>
      </c>
      <c r="G658" s="32">
        <v>1</v>
      </c>
      <c r="H658" s="36">
        <v>81306</v>
      </c>
      <c r="I658" s="32" t="s">
        <v>1505</v>
      </c>
      <c r="J658" s="36">
        <v>83474344</v>
      </c>
      <c r="K658" s="36" t="s">
        <v>3312</v>
      </c>
      <c r="L658" s="34" t="s">
        <v>3317</v>
      </c>
      <c r="M658" s="33">
        <v>249900</v>
      </c>
      <c r="N658" s="9">
        <f t="shared" si="61"/>
        <v>0.9</v>
      </c>
      <c r="O658" s="8">
        <f t="shared" si="62"/>
        <v>24990</v>
      </c>
      <c r="P658" s="9" t="str">
        <f t="shared" si="63"/>
        <v>PERCENTAGE</v>
      </c>
    </row>
    <row r="659" spans="1:16" x14ac:dyDescent="0.25">
      <c r="A659" s="6" t="str">
        <f t="shared" si="66"/>
        <v>2023 ALL D90</v>
      </c>
      <c r="B659" s="7">
        <f t="shared" si="64"/>
        <v>46114</v>
      </c>
      <c r="C659" s="7">
        <f t="shared" si="65"/>
        <v>46120</v>
      </c>
      <c r="D659" s="6">
        <v>3280</v>
      </c>
      <c r="E659" s="6">
        <v>337</v>
      </c>
      <c r="F659" s="14">
        <v>4</v>
      </c>
      <c r="G659" s="32">
        <v>1</v>
      </c>
      <c r="H659" s="36">
        <v>81306</v>
      </c>
      <c r="I659" s="32" t="s">
        <v>1505</v>
      </c>
      <c r="J659" s="36">
        <v>83474353</v>
      </c>
      <c r="K659" s="36" t="s">
        <v>3312</v>
      </c>
      <c r="L659" s="34" t="s">
        <v>3318</v>
      </c>
      <c r="M659" s="33">
        <v>249900</v>
      </c>
      <c r="N659" s="9">
        <f t="shared" si="61"/>
        <v>0.9</v>
      </c>
      <c r="O659" s="8">
        <f t="shared" si="62"/>
        <v>24990</v>
      </c>
      <c r="P659" s="9" t="str">
        <f t="shared" si="63"/>
        <v>PERCENTAGE</v>
      </c>
    </row>
    <row r="660" spans="1:16" x14ac:dyDescent="0.25">
      <c r="A660" s="6" t="str">
        <f t="shared" si="66"/>
        <v>2023 ALL D90</v>
      </c>
      <c r="B660" s="7">
        <f t="shared" si="64"/>
        <v>46114</v>
      </c>
      <c r="C660" s="7">
        <f t="shared" si="65"/>
        <v>46120</v>
      </c>
      <c r="D660" s="6">
        <v>3280</v>
      </c>
      <c r="E660" s="6">
        <v>337</v>
      </c>
      <c r="F660" s="14">
        <v>4</v>
      </c>
      <c r="G660" s="32">
        <v>2</v>
      </c>
      <c r="H660" s="36">
        <v>81622</v>
      </c>
      <c r="I660" s="32" t="s">
        <v>1505</v>
      </c>
      <c r="J660" s="36">
        <v>14253506</v>
      </c>
      <c r="K660" s="36" t="s">
        <v>3347</v>
      </c>
      <c r="L660" s="34" t="s">
        <v>3348</v>
      </c>
      <c r="M660" s="33">
        <v>249900</v>
      </c>
      <c r="N660" s="9">
        <f t="shared" si="61"/>
        <v>0.9</v>
      </c>
      <c r="O660" s="8">
        <f t="shared" si="62"/>
        <v>24990</v>
      </c>
      <c r="P660" s="9" t="str">
        <f t="shared" si="63"/>
        <v>PERCENTAGE</v>
      </c>
    </row>
    <row r="661" spans="1:16" x14ac:dyDescent="0.25">
      <c r="A661" s="6" t="str">
        <f t="shared" si="66"/>
        <v>2023 ALL D90</v>
      </c>
      <c r="B661" s="7">
        <f t="shared" si="64"/>
        <v>46114</v>
      </c>
      <c r="C661" s="7">
        <f t="shared" si="65"/>
        <v>46120</v>
      </c>
      <c r="D661" s="6">
        <v>3280</v>
      </c>
      <c r="E661" s="6">
        <v>337</v>
      </c>
      <c r="F661" s="14">
        <v>4</v>
      </c>
      <c r="G661" s="32">
        <v>2</v>
      </c>
      <c r="H661" s="36">
        <v>81622</v>
      </c>
      <c r="I661" s="32" t="s">
        <v>1505</v>
      </c>
      <c r="J661" s="36">
        <v>14253515</v>
      </c>
      <c r="K661" s="36" t="s">
        <v>3347</v>
      </c>
      <c r="L661" s="34" t="s">
        <v>3349</v>
      </c>
      <c r="M661" s="33">
        <v>249900</v>
      </c>
      <c r="N661" s="9">
        <f t="shared" si="61"/>
        <v>0.9</v>
      </c>
      <c r="O661" s="8">
        <f t="shared" si="62"/>
        <v>24990</v>
      </c>
      <c r="P661" s="9" t="str">
        <f t="shared" si="63"/>
        <v>PERCENTAGE</v>
      </c>
    </row>
    <row r="662" spans="1:16" x14ac:dyDescent="0.25">
      <c r="A662" s="6" t="str">
        <f t="shared" si="66"/>
        <v>2023 ALL D90</v>
      </c>
      <c r="B662" s="7">
        <f t="shared" si="64"/>
        <v>46114</v>
      </c>
      <c r="C662" s="7">
        <f t="shared" si="65"/>
        <v>46120</v>
      </c>
      <c r="D662" s="6">
        <v>3280</v>
      </c>
      <c r="E662" s="6">
        <v>337</v>
      </c>
      <c r="F662" s="14">
        <v>4</v>
      </c>
      <c r="G662" s="32">
        <v>2</v>
      </c>
      <c r="H662" s="36">
        <v>81622</v>
      </c>
      <c r="I662" s="32" t="s">
        <v>1505</v>
      </c>
      <c r="J662" s="36">
        <v>14253524</v>
      </c>
      <c r="K662" s="36" t="s">
        <v>3347</v>
      </c>
      <c r="L662" s="34" t="s">
        <v>3350</v>
      </c>
      <c r="M662" s="33">
        <v>249900</v>
      </c>
      <c r="N662" s="9">
        <f t="shared" si="61"/>
        <v>0.9</v>
      </c>
      <c r="O662" s="8">
        <f t="shared" si="62"/>
        <v>24990</v>
      </c>
      <c r="P662" s="9" t="str">
        <f t="shared" si="63"/>
        <v>PERCENTAGE</v>
      </c>
    </row>
    <row r="663" spans="1:16" x14ac:dyDescent="0.25">
      <c r="A663" s="6" t="str">
        <f t="shared" si="66"/>
        <v>2023 ALL D90</v>
      </c>
      <c r="B663" s="7">
        <f t="shared" si="64"/>
        <v>46114</v>
      </c>
      <c r="C663" s="7">
        <f t="shared" si="65"/>
        <v>46120</v>
      </c>
      <c r="D663" s="6">
        <v>3280</v>
      </c>
      <c r="E663" s="6">
        <v>337</v>
      </c>
      <c r="F663" s="14">
        <v>4</v>
      </c>
      <c r="G663" s="32">
        <v>2</v>
      </c>
      <c r="H663" s="36">
        <v>81622</v>
      </c>
      <c r="I663" s="32" t="s">
        <v>1505</v>
      </c>
      <c r="J663" s="36">
        <v>14253533</v>
      </c>
      <c r="K663" s="36" t="s">
        <v>3347</v>
      </c>
      <c r="L663" s="34" t="s">
        <v>3351</v>
      </c>
      <c r="M663" s="33">
        <v>259900</v>
      </c>
      <c r="N663" s="9">
        <f t="shared" si="61"/>
        <v>0.9</v>
      </c>
      <c r="O663" s="8">
        <f t="shared" si="62"/>
        <v>25990</v>
      </c>
      <c r="P663" s="9" t="str">
        <f t="shared" si="63"/>
        <v>PERCENTAGE</v>
      </c>
    </row>
    <row r="664" spans="1:16" x14ac:dyDescent="0.25">
      <c r="A664" s="6" t="str">
        <f t="shared" si="66"/>
        <v>2023 ALL D90</v>
      </c>
      <c r="B664" s="7">
        <f t="shared" si="64"/>
        <v>46114</v>
      </c>
      <c r="C664" s="7">
        <f t="shared" si="65"/>
        <v>46120</v>
      </c>
      <c r="D664" s="6">
        <v>3280</v>
      </c>
      <c r="E664" s="6">
        <v>337</v>
      </c>
      <c r="F664" s="14">
        <v>4</v>
      </c>
      <c r="G664" s="32">
        <v>2</v>
      </c>
      <c r="H664" s="36">
        <v>81622</v>
      </c>
      <c r="I664" s="32" t="s">
        <v>1505</v>
      </c>
      <c r="J664" s="36">
        <v>14253542</v>
      </c>
      <c r="K664" s="36" t="s">
        <v>3347</v>
      </c>
      <c r="L664" s="34" t="s">
        <v>3352</v>
      </c>
      <c r="M664" s="33">
        <v>259900</v>
      </c>
      <c r="N664" s="9">
        <f t="shared" si="61"/>
        <v>0.9</v>
      </c>
      <c r="O664" s="8">
        <f t="shared" si="62"/>
        <v>25990</v>
      </c>
      <c r="P664" s="9" t="str">
        <f t="shared" si="63"/>
        <v>PERCENTAGE</v>
      </c>
    </row>
    <row r="665" spans="1:16" x14ac:dyDescent="0.25">
      <c r="A665" s="6" t="str">
        <f t="shared" si="66"/>
        <v>2023 ALL D90</v>
      </c>
      <c r="B665" s="7">
        <f t="shared" si="64"/>
        <v>46114</v>
      </c>
      <c r="C665" s="7">
        <f t="shared" si="65"/>
        <v>46120</v>
      </c>
      <c r="D665" s="6">
        <v>3280</v>
      </c>
      <c r="E665" s="6">
        <v>337</v>
      </c>
      <c r="F665" s="14">
        <v>4</v>
      </c>
      <c r="G665" s="32">
        <v>2</v>
      </c>
      <c r="H665" s="36">
        <v>81622</v>
      </c>
      <c r="I665" s="32" t="s">
        <v>1505</v>
      </c>
      <c r="J665" s="36">
        <v>14253551</v>
      </c>
      <c r="K665" s="36" t="s">
        <v>3347</v>
      </c>
      <c r="L665" s="34" t="s">
        <v>3353</v>
      </c>
      <c r="M665" s="33">
        <v>259900</v>
      </c>
      <c r="N665" s="9">
        <f t="shared" si="61"/>
        <v>0.9</v>
      </c>
      <c r="O665" s="8">
        <f t="shared" si="62"/>
        <v>25990</v>
      </c>
      <c r="P665" s="9" t="str">
        <f t="shared" si="63"/>
        <v>PERCENTAGE</v>
      </c>
    </row>
    <row r="666" spans="1:16" x14ac:dyDescent="0.25">
      <c r="A666" s="6" t="str">
        <f t="shared" si="66"/>
        <v>2023 ALL D90</v>
      </c>
      <c r="B666" s="7">
        <f t="shared" si="64"/>
        <v>46114</v>
      </c>
      <c r="C666" s="7">
        <f t="shared" si="65"/>
        <v>46120</v>
      </c>
      <c r="D666" s="6">
        <v>3280</v>
      </c>
      <c r="E666" s="6">
        <v>337</v>
      </c>
      <c r="F666" s="14">
        <v>4</v>
      </c>
      <c r="G666" s="32">
        <v>2</v>
      </c>
      <c r="H666" s="36">
        <v>81622</v>
      </c>
      <c r="I666" s="32" t="s">
        <v>1505</v>
      </c>
      <c r="J666" s="36">
        <v>82585520</v>
      </c>
      <c r="K666" s="36" t="s">
        <v>3319</v>
      </c>
      <c r="L666" s="34" t="s">
        <v>3320</v>
      </c>
      <c r="M666" s="33">
        <v>239900</v>
      </c>
      <c r="N666" s="9">
        <f t="shared" si="61"/>
        <v>0.9</v>
      </c>
      <c r="O666" s="8">
        <f t="shared" si="62"/>
        <v>23990</v>
      </c>
      <c r="P666" s="9" t="str">
        <f t="shared" si="63"/>
        <v>PERCENTAGE</v>
      </c>
    </row>
    <row r="667" spans="1:16" x14ac:dyDescent="0.25">
      <c r="A667" s="6" t="str">
        <f t="shared" si="66"/>
        <v>2023 ALL D90</v>
      </c>
      <c r="B667" s="7">
        <f t="shared" si="64"/>
        <v>46114</v>
      </c>
      <c r="C667" s="7">
        <f t="shared" si="65"/>
        <v>46120</v>
      </c>
      <c r="D667" s="6">
        <v>3280</v>
      </c>
      <c r="E667" s="6">
        <v>337</v>
      </c>
      <c r="F667" s="14">
        <v>4</v>
      </c>
      <c r="G667" s="32">
        <v>2</v>
      </c>
      <c r="H667" s="36">
        <v>81622</v>
      </c>
      <c r="I667" s="32" t="s">
        <v>1505</v>
      </c>
      <c r="J667" s="36">
        <v>82585539</v>
      </c>
      <c r="K667" s="36" t="s">
        <v>3319</v>
      </c>
      <c r="L667" s="34" t="s">
        <v>3321</v>
      </c>
      <c r="M667" s="33">
        <v>239900</v>
      </c>
      <c r="N667" s="9">
        <f t="shared" si="61"/>
        <v>0.9</v>
      </c>
      <c r="O667" s="8">
        <f t="shared" si="62"/>
        <v>23990</v>
      </c>
      <c r="P667" s="9" t="str">
        <f t="shared" si="63"/>
        <v>PERCENTAGE</v>
      </c>
    </row>
    <row r="668" spans="1:16" x14ac:dyDescent="0.25">
      <c r="A668" s="6" t="str">
        <f t="shared" si="66"/>
        <v>2023 ALL D90</v>
      </c>
      <c r="B668" s="7">
        <f t="shared" si="64"/>
        <v>46114</v>
      </c>
      <c r="C668" s="7">
        <f t="shared" si="65"/>
        <v>46120</v>
      </c>
      <c r="D668" s="6">
        <v>3280</v>
      </c>
      <c r="E668" s="6">
        <v>337</v>
      </c>
      <c r="F668" s="14">
        <v>4</v>
      </c>
      <c r="G668" s="32">
        <v>2</v>
      </c>
      <c r="H668" s="36">
        <v>81622</v>
      </c>
      <c r="I668" s="32" t="s">
        <v>1505</v>
      </c>
      <c r="J668" s="36">
        <v>82585548</v>
      </c>
      <c r="K668" s="36" t="s">
        <v>3319</v>
      </c>
      <c r="L668" s="34" t="s">
        <v>3322</v>
      </c>
      <c r="M668" s="33">
        <v>239900</v>
      </c>
      <c r="N668" s="9">
        <f t="shared" si="61"/>
        <v>0.9</v>
      </c>
      <c r="O668" s="8">
        <f t="shared" si="62"/>
        <v>23990</v>
      </c>
      <c r="P668" s="9" t="str">
        <f t="shared" si="63"/>
        <v>PERCENTAGE</v>
      </c>
    </row>
    <row r="669" spans="1:16" x14ac:dyDescent="0.25">
      <c r="A669" s="6" t="str">
        <f t="shared" si="66"/>
        <v>2023 ALL D90</v>
      </c>
      <c r="B669" s="7">
        <f t="shared" si="64"/>
        <v>46114</v>
      </c>
      <c r="C669" s="7">
        <f t="shared" si="65"/>
        <v>46120</v>
      </c>
      <c r="D669" s="6">
        <v>3280</v>
      </c>
      <c r="E669" s="6">
        <v>337</v>
      </c>
      <c r="F669" s="14">
        <v>4</v>
      </c>
      <c r="G669" s="32">
        <v>2</v>
      </c>
      <c r="H669" s="36">
        <v>81622</v>
      </c>
      <c r="I669" s="32" t="s">
        <v>1505</v>
      </c>
      <c r="J669" s="36">
        <v>82585557</v>
      </c>
      <c r="K669" s="36" t="s">
        <v>3319</v>
      </c>
      <c r="L669" s="34" t="s">
        <v>3323</v>
      </c>
      <c r="M669" s="33">
        <v>249900</v>
      </c>
      <c r="N669" s="9">
        <f t="shared" si="61"/>
        <v>0.9</v>
      </c>
      <c r="O669" s="8">
        <f t="shared" si="62"/>
        <v>24990</v>
      </c>
      <c r="P669" s="9" t="str">
        <f t="shared" si="63"/>
        <v>PERCENTAGE</v>
      </c>
    </row>
    <row r="670" spans="1:16" x14ac:dyDescent="0.25">
      <c r="A670" s="6" t="str">
        <f t="shared" si="66"/>
        <v>2023 ALL D90</v>
      </c>
      <c r="B670" s="7">
        <f t="shared" si="64"/>
        <v>46114</v>
      </c>
      <c r="C670" s="7">
        <f t="shared" si="65"/>
        <v>46120</v>
      </c>
      <c r="D670" s="6">
        <v>3280</v>
      </c>
      <c r="E670" s="6">
        <v>337</v>
      </c>
      <c r="F670" s="14">
        <v>4</v>
      </c>
      <c r="G670" s="32">
        <v>2</v>
      </c>
      <c r="H670" s="36">
        <v>81622</v>
      </c>
      <c r="I670" s="32" t="s">
        <v>1505</v>
      </c>
      <c r="J670" s="36">
        <v>82585566</v>
      </c>
      <c r="K670" s="36" t="s">
        <v>3319</v>
      </c>
      <c r="L670" s="34" t="s">
        <v>3324</v>
      </c>
      <c r="M670" s="33">
        <v>249900</v>
      </c>
      <c r="N670" s="9">
        <f t="shared" si="61"/>
        <v>0.9</v>
      </c>
      <c r="O670" s="8">
        <f t="shared" si="62"/>
        <v>24990</v>
      </c>
      <c r="P670" s="9" t="str">
        <f t="shared" si="63"/>
        <v>PERCENTAGE</v>
      </c>
    </row>
    <row r="671" spans="1:16" x14ac:dyDescent="0.25">
      <c r="A671" s="6" t="str">
        <f t="shared" si="66"/>
        <v>2023 ALL D90</v>
      </c>
      <c r="B671" s="7">
        <f t="shared" si="64"/>
        <v>46114</v>
      </c>
      <c r="C671" s="7">
        <f t="shared" si="65"/>
        <v>46120</v>
      </c>
      <c r="D671" s="6">
        <v>3280</v>
      </c>
      <c r="E671" s="6">
        <v>337</v>
      </c>
      <c r="F671" s="14">
        <v>4</v>
      </c>
      <c r="G671" s="32">
        <v>2</v>
      </c>
      <c r="H671" s="36">
        <v>81622</v>
      </c>
      <c r="I671" s="32" t="s">
        <v>1505</v>
      </c>
      <c r="J671" s="36">
        <v>82585575</v>
      </c>
      <c r="K671" s="36" t="s">
        <v>3319</v>
      </c>
      <c r="L671" s="34" t="s">
        <v>3325</v>
      </c>
      <c r="M671" s="33">
        <v>249900</v>
      </c>
      <c r="N671" s="9">
        <f t="shared" si="61"/>
        <v>0.9</v>
      </c>
      <c r="O671" s="8">
        <f t="shared" si="62"/>
        <v>24990</v>
      </c>
      <c r="P671" s="9" t="str">
        <f t="shared" si="63"/>
        <v>PERCENTAGE</v>
      </c>
    </row>
    <row r="672" spans="1:16" x14ac:dyDescent="0.25">
      <c r="A672" s="6" t="str">
        <f t="shared" si="66"/>
        <v>2023 ALL D90</v>
      </c>
      <c r="B672" s="7">
        <f t="shared" si="64"/>
        <v>46114</v>
      </c>
      <c r="C672" s="7">
        <f t="shared" si="65"/>
        <v>46120</v>
      </c>
      <c r="D672" s="6">
        <v>3280</v>
      </c>
      <c r="E672" s="6">
        <v>337</v>
      </c>
      <c r="F672" s="14">
        <v>4</v>
      </c>
      <c r="G672" s="32">
        <v>2</v>
      </c>
      <c r="H672" s="36">
        <v>80942</v>
      </c>
      <c r="I672" s="32" t="s">
        <v>1505</v>
      </c>
      <c r="J672" s="36">
        <v>83473943</v>
      </c>
      <c r="K672" s="36" t="s">
        <v>3326</v>
      </c>
      <c r="L672" s="34" t="s">
        <v>3327</v>
      </c>
      <c r="M672" s="33">
        <v>239900</v>
      </c>
      <c r="N672" s="9">
        <f t="shared" si="61"/>
        <v>0.9</v>
      </c>
      <c r="O672" s="8">
        <f t="shared" si="62"/>
        <v>23990</v>
      </c>
      <c r="P672" s="9" t="str">
        <f t="shared" si="63"/>
        <v>PERCENTAGE</v>
      </c>
    </row>
    <row r="673" spans="1:16" x14ac:dyDescent="0.25">
      <c r="A673" s="6" t="str">
        <f t="shared" si="66"/>
        <v>2023 ALL D90</v>
      </c>
      <c r="B673" s="7">
        <f t="shared" si="64"/>
        <v>46114</v>
      </c>
      <c r="C673" s="7">
        <f t="shared" si="65"/>
        <v>46120</v>
      </c>
      <c r="D673" s="6">
        <v>3280</v>
      </c>
      <c r="E673" s="6">
        <v>337</v>
      </c>
      <c r="F673" s="14">
        <v>4</v>
      </c>
      <c r="G673" s="32">
        <v>2</v>
      </c>
      <c r="H673" s="36">
        <v>80942</v>
      </c>
      <c r="I673" s="32" t="s">
        <v>1505</v>
      </c>
      <c r="J673" s="36">
        <v>83473952</v>
      </c>
      <c r="K673" s="36" t="s">
        <v>3326</v>
      </c>
      <c r="L673" s="34" t="s">
        <v>3328</v>
      </c>
      <c r="M673" s="33">
        <v>239900</v>
      </c>
      <c r="N673" s="9">
        <f t="shared" si="61"/>
        <v>0.9</v>
      </c>
      <c r="O673" s="8">
        <f t="shared" si="62"/>
        <v>23990</v>
      </c>
      <c r="P673" s="9" t="str">
        <f t="shared" si="63"/>
        <v>PERCENTAGE</v>
      </c>
    </row>
    <row r="674" spans="1:16" x14ac:dyDescent="0.25">
      <c r="A674" s="6" t="str">
        <f t="shared" si="66"/>
        <v>2023 ALL D90</v>
      </c>
      <c r="B674" s="7">
        <f t="shared" si="64"/>
        <v>46114</v>
      </c>
      <c r="C674" s="7">
        <f t="shared" si="65"/>
        <v>46120</v>
      </c>
      <c r="D674" s="6">
        <v>3280</v>
      </c>
      <c r="E674" s="6">
        <v>337</v>
      </c>
      <c r="F674" s="14">
        <v>4</v>
      </c>
      <c r="G674" s="32">
        <v>2</v>
      </c>
      <c r="H674" s="36">
        <v>80942</v>
      </c>
      <c r="I674" s="32" t="s">
        <v>1505</v>
      </c>
      <c r="J674" s="36">
        <v>83473961</v>
      </c>
      <c r="K674" s="36" t="s">
        <v>3326</v>
      </c>
      <c r="L674" s="34" t="s">
        <v>3329</v>
      </c>
      <c r="M674" s="33">
        <v>239900</v>
      </c>
      <c r="N674" s="9">
        <f t="shared" si="61"/>
        <v>0.9</v>
      </c>
      <c r="O674" s="8">
        <f t="shared" si="62"/>
        <v>23990</v>
      </c>
      <c r="P674" s="9" t="str">
        <f t="shared" si="63"/>
        <v>PERCENTAGE</v>
      </c>
    </row>
    <row r="675" spans="1:16" x14ac:dyDescent="0.25">
      <c r="A675" s="6" t="str">
        <f t="shared" si="66"/>
        <v>2023 ALL D90</v>
      </c>
      <c r="B675" s="7">
        <f t="shared" si="64"/>
        <v>46114</v>
      </c>
      <c r="C675" s="7">
        <f t="shared" si="65"/>
        <v>46120</v>
      </c>
      <c r="D675" s="6">
        <v>3280</v>
      </c>
      <c r="E675" s="6">
        <v>337</v>
      </c>
      <c r="F675" s="14">
        <v>4</v>
      </c>
      <c r="G675" s="32">
        <v>2</v>
      </c>
      <c r="H675" s="36">
        <v>80942</v>
      </c>
      <c r="I675" s="32" t="s">
        <v>1505</v>
      </c>
      <c r="J675" s="36">
        <v>83473970</v>
      </c>
      <c r="K675" s="36" t="s">
        <v>3326</v>
      </c>
      <c r="L675" s="34" t="s">
        <v>3330</v>
      </c>
      <c r="M675" s="33">
        <v>249900</v>
      </c>
      <c r="N675" s="9">
        <f t="shared" si="61"/>
        <v>0.9</v>
      </c>
      <c r="O675" s="8">
        <f t="shared" si="62"/>
        <v>24990</v>
      </c>
      <c r="P675" s="9" t="str">
        <f t="shared" si="63"/>
        <v>PERCENTAGE</v>
      </c>
    </row>
    <row r="676" spans="1:16" x14ac:dyDescent="0.25">
      <c r="A676" s="6" t="str">
        <f t="shared" si="66"/>
        <v>2023 ALL D90</v>
      </c>
      <c r="B676" s="7">
        <f t="shared" si="64"/>
        <v>46114</v>
      </c>
      <c r="C676" s="7">
        <f t="shared" si="65"/>
        <v>46120</v>
      </c>
      <c r="D676" s="6">
        <v>3280</v>
      </c>
      <c r="E676" s="6">
        <v>337</v>
      </c>
      <c r="F676" s="14">
        <v>4</v>
      </c>
      <c r="G676" s="32">
        <v>2</v>
      </c>
      <c r="H676" s="36">
        <v>80942</v>
      </c>
      <c r="I676" s="32" t="s">
        <v>1505</v>
      </c>
      <c r="J676" s="36">
        <v>83473989</v>
      </c>
      <c r="K676" s="36" t="s">
        <v>3326</v>
      </c>
      <c r="L676" s="34" t="s">
        <v>3331</v>
      </c>
      <c r="M676" s="33">
        <v>249900</v>
      </c>
      <c r="N676" s="9">
        <f t="shared" si="61"/>
        <v>0.9</v>
      </c>
      <c r="O676" s="8">
        <f t="shared" si="62"/>
        <v>24990</v>
      </c>
      <c r="P676" s="9" t="str">
        <f t="shared" si="63"/>
        <v>PERCENTAGE</v>
      </c>
    </row>
    <row r="677" spans="1:16" x14ac:dyDescent="0.25">
      <c r="A677" s="6" t="str">
        <f t="shared" si="66"/>
        <v>2023 ALL D90</v>
      </c>
      <c r="B677" s="7">
        <f t="shared" si="64"/>
        <v>46114</v>
      </c>
      <c r="C677" s="7">
        <f t="shared" si="65"/>
        <v>46120</v>
      </c>
      <c r="D677" s="6">
        <v>3280</v>
      </c>
      <c r="E677" s="6">
        <v>337</v>
      </c>
      <c r="F677" s="14">
        <v>4</v>
      </c>
      <c r="G677" s="32">
        <v>2</v>
      </c>
      <c r="H677" s="36">
        <v>80942</v>
      </c>
      <c r="I677" s="32" t="s">
        <v>1505</v>
      </c>
      <c r="J677" s="36">
        <v>83473998</v>
      </c>
      <c r="K677" s="36" t="s">
        <v>3326</v>
      </c>
      <c r="L677" s="34" t="s">
        <v>3332</v>
      </c>
      <c r="M677" s="33">
        <v>249900</v>
      </c>
      <c r="N677" s="9">
        <f t="shared" si="61"/>
        <v>0.9</v>
      </c>
      <c r="O677" s="8">
        <f t="shared" si="62"/>
        <v>24990</v>
      </c>
      <c r="P677" s="9" t="str">
        <f t="shared" si="63"/>
        <v>PERCENTAGE</v>
      </c>
    </row>
    <row r="678" spans="1:16" x14ac:dyDescent="0.25">
      <c r="A678" s="6" t="str">
        <f t="shared" si="66"/>
        <v>2023 ALL D90</v>
      </c>
      <c r="B678" s="7">
        <f t="shared" si="64"/>
        <v>46114</v>
      </c>
      <c r="C678" s="7">
        <f t="shared" si="65"/>
        <v>46120</v>
      </c>
      <c r="D678" s="6">
        <v>3280</v>
      </c>
      <c r="E678" s="6">
        <v>337</v>
      </c>
      <c r="F678" s="14">
        <v>4</v>
      </c>
      <c r="G678" s="32">
        <v>2</v>
      </c>
      <c r="H678" s="36">
        <v>81306</v>
      </c>
      <c r="I678" s="32" t="s">
        <v>1505</v>
      </c>
      <c r="J678" s="36">
        <v>85954465</v>
      </c>
      <c r="K678" s="36" t="s">
        <v>3333</v>
      </c>
      <c r="L678" s="34" t="s">
        <v>3334</v>
      </c>
      <c r="M678" s="33">
        <v>239900</v>
      </c>
      <c r="N678" s="9">
        <f t="shared" si="61"/>
        <v>0.9</v>
      </c>
      <c r="O678" s="8">
        <f t="shared" si="62"/>
        <v>23990</v>
      </c>
      <c r="P678" s="9" t="str">
        <f t="shared" si="63"/>
        <v>PERCENTAGE</v>
      </c>
    </row>
    <row r="679" spans="1:16" x14ac:dyDescent="0.25">
      <c r="A679" s="6" t="str">
        <f t="shared" si="66"/>
        <v>2023 ALL D90</v>
      </c>
      <c r="B679" s="7">
        <f t="shared" si="64"/>
        <v>46114</v>
      </c>
      <c r="C679" s="7">
        <f t="shared" si="65"/>
        <v>46120</v>
      </c>
      <c r="D679" s="6">
        <v>3280</v>
      </c>
      <c r="E679" s="6">
        <v>337</v>
      </c>
      <c r="F679" s="14">
        <v>4</v>
      </c>
      <c r="G679" s="32">
        <v>2</v>
      </c>
      <c r="H679" s="36">
        <v>81306</v>
      </c>
      <c r="I679" s="32" t="s">
        <v>1505</v>
      </c>
      <c r="J679" s="36">
        <v>85954474</v>
      </c>
      <c r="K679" s="36" t="s">
        <v>3333</v>
      </c>
      <c r="L679" s="34" t="s">
        <v>3335</v>
      </c>
      <c r="M679" s="33">
        <v>239900</v>
      </c>
      <c r="N679" s="9">
        <f t="shared" si="61"/>
        <v>0.9</v>
      </c>
      <c r="O679" s="8">
        <f t="shared" si="62"/>
        <v>23990</v>
      </c>
      <c r="P679" s="9" t="str">
        <f t="shared" si="63"/>
        <v>PERCENTAGE</v>
      </c>
    </row>
    <row r="680" spans="1:16" x14ac:dyDescent="0.25">
      <c r="A680" s="6" t="str">
        <f t="shared" si="66"/>
        <v>2023 ALL D90</v>
      </c>
      <c r="B680" s="7">
        <f t="shared" si="64"/>
        <v>46114</v>
      </c>
      <c r="C680" s="7">
        <f t="shared" si="65"/>
        <v>46120</v>
      </c>
      <c r="D680" s="6">
        <v>3280</v>
      </c>
      <c r="E680" s="6">
        <v>337</v>
      </c>
      <c r="F680" s="14">
        <v>4</v>
      </c>
      <c r="G680" s="32">
        <v>2</v>
      </c>
      <c r="H680" s="36">
        <v>81306</v>
      </c>
      <c r="I680" s="32" t="s">
        <v>1505</v>
      </c>
      <c r="J680" s="36">
        <v>85954483</v>
      </c>
      <c r="K680" s="36" t="s">
        <v>3333</v>
      </c>
      <c r="L680" s="34" t="s">
        <v>3336</v>
      </c>
      <c r="M680" s="33">
        <v>239900</v>
      </c>
      <c r="N680" s="9">
        <f t="shared" si="61"/>
        <v>0.9</v>
      </c>
      <c r="O680" s="8">
        <f t="shared" si="62"/>
        <v>23990</v>
      </c>
      <c r="P680" s="9" t="str">
        <f t="shared" si="63"/>
        <v>PERCENTAGE</v>
      </c>
    </row>
    <row r="681" spans="1:16" x14ac:dyDescent="0.25">
      <c r="A681" s="6" t="str">
        <f t="shared" si="66"/>
        <v>2023 ALL D90</v>
      </c>
      <c r="B681" s="7">
        <f t="shared" si="64"/>
        <v>46114</v>
      </c>
      <c r="C681" s="7">
        <f t="shared" si="65"/>
        <v>46120</v>
      </c>
      <c r="D681" s="6">
        <v>3280</v>
      </c>
      <c r="E681" s="6">
        <v>337</v>
      </c>
      <c r="F681" s="6">
        <v>4</v>
      </c>
      <c r="G681" s="32">
        <v>2</v>
      </c>
      <c r="H681" s="36">
        <v>81306</v>
      </c>
      <c r="I681" s="32" t="s">
        <v>1505</v>
      </c>
      <c r="J681" s="36">
        <v>85954492</v>
      </c>
      <c r="K681" s="36" t="s">
        <v>3333</v>
      </c>
      <c r="L681" s="34" t="s">
        <v>3337</v>
      </c>
      <c r="M681" s="33">
        <v>249900</v>
      </c>
      <c r="N681" s="9">
        <f t="shared" si="61"/>
        <v>0.9</v>
      </c>
      <c r="O681" s="8">
        <f t="shared" si="62"/>
        <v>24990</v>
      </c>
      <c r="P681" s="9" t="str">
        <f t="shared" si="63"/>
        <v>PERCENTAGE</v>
      </c>
    </row>
    <row r="682" spans="1:16" x14ac:dyDescent="0.25">
      <c r="A682" s="6" t="str">
        <f t="shared" si="66"/>
        <v>2023 ALL D90</v>
      </c>
      <c r="B682" s="7">
        <f t="shared" si="64"/>
        <v>46114</v>
      </c>
      <c r="C682" s="7">
        <f t="shared" si="65"/>
        <v>46120</v>
      </c>
      <c r="D682" s="6">
        <v>3280</v>
      </c>
      <c r="E682" s="6">
        <v>337</v>
      </c>
      <c r="F682" s="6">
        <v>4</v>
      </c>
      <c r="G682" s="32">
        <v>2</v>
      </c>
      <c r="H682" s="36">
        <v>81306</v>
      </c>
      <c r="I682" s="32" t="s">
        <v>1505</v>
      </c>
      <c r="J682" s="36">
        <v>85954509</v>
      </c>
      <c r="K682" s="36" t="s">
        <v>3333</v>
      </c>
      <c r="L682" s="34" t="s">
        <v>3338</v>
      </c>
      <c r="M682" s="33">
        <v>249900</v>
      </c>
      <c r="N682" s="9">
        <f t="shared" si="61"/>
        <v>0.9</v>
      </c>
      <c r="O682" s="8">
        <f t="shared" si="62"/>
        <v>24990</v>
      </c>
      <c r="P682" s="9" t="str">
        <f t="shared" si="63"/>
        <v>PERCENTAGE</v>
      </c>
    </row>
    <row r="683" spans="1:16" x14ac:dyDescent="0.25">
      <c r="A683" s="6" t="str">
        <f t="shared" si="66"/>
        <v>2023 ALL D90</v>
      </c>
      <c r="B683" s="7">
        <f t="shared" si="64"/>
        <v>46114</v>
      </c>
      <c r="C683" s="7">
        <f t="shared" si="65"/>
        <v>46120</v>
      </c>
      <c r="D683" s="6">
        <v>3280</v>
      </c>
      <c r="E683" s="6">
        <v>337</v>
      </c>
      <c r="F683" s="6">
        <v>4</v>
      </c>
      <c r="G683" s="32">
        <v>2</v>
      </c>
      <c r="H683" s="36">
        <v>81306</v>
      </c>
      <c r="I683" s="32" t="s">
        <v>1505</v>
      </c>
      <c r="J683" s="36">
        <v>85954518</v>
      </c>
      <c r="K683" s="36" t="s">
        <v>3333</v>
      </c>
      <c r="L683" s="34" t="s">
        <v>3339</v>
      </c>
      <c r="M683" s="33">
        <v>249900</v>
      </c>
      <c r="N683" s="9">
        <f t="shared" si="61"/>
        <v>0.9</v>
      </c>
      <c r="O683" s="8">
        <f t="shared" si="62"/>
        <v>24990</v>
      </c>
      <c r="P683" s="9" t="str">
        <f t="shared" si="63"/>
        <v>PERCENTAGE</v>
      </c>
    </row>
    <row r="684" spans="1:16" x14ac:dyDescent="0.25">
      <c r="A684" s="6" t="str">
        <f t="shared" si="66"/>
        <v>2023 ALL D90</v>
      </c>
      <c r="B684" s="7">
        <f t="shared" si="64"/>
        <v>46114</v>
      </c>
      <c r="C684" s="7">
        <f t="shared" si="65"/>
        <v>46120</v>
      </c>
      <c r="D684" s="6">
        <v>3280</v>
      </c>
      <c r="E684" s="6">
        <v>337</v>
      </c>
      <c r="F684" s="6">
        <v>4</v>
      </c>
      <c r="G684" s="32">
        <v>2</v>
      </c>
      <c r="H684" s="32">
        <v>81306</v>
      </c>
      <c r="I684" s="32" t="s">
        <v>1505</v>
      </c>
      <c r="J684" s="32">
        <v>14253444</v>
      </c>
      <c r="K684" s="32" t="s">
        <v>3354</v>
      </c>
      <c r="L684" s="34" t="s">
        <v>3355</v>
      </c>
      <c r="M684" s="33">
        <v>249900</v>
      </c>
      <c r="N684" s="9">
        <f t="shared" si="61"/>
        <v>0.9</v>
      </c>
      <c r="O684" s="8">
        <f t="shared" si="62"/>
        <v>24990</v>
      </c>
      <c r="P684" s="9" t="str">
        <f t="shared" si="63"/>
        <v>PERCENTAGE</v>
      </c>
    </row>
    <row r="685" spans="1:16" x14ac:dyDescent="0.25">
      <c r="A685" s="6" t="str">
        <f t="shared" si="66"/>
        <v>2023 ALL D90</v>
      </c>
      <c r="B685" s="7">
        <f t="shared" si="64"/>
        <v>46114</v>
      </c>
      <c r="C685" s="7">
        <f t="shared" si="65"/>
        <v>46120</v>
      </c>
      <c r="D685" s="6">
        <v>3280</v>
      </c>
      <c r="E685" s="6">
        <v>337</v>
      </c>
      <c r="F685" s="6">
        <v>4</v>
      </c>
      <c r="G685" s="32">
        <v>2</v>
      </c>
      <c r="H685" s="32">
        <v>81306</v>
      </c>
      <c r="I685" s="32" t="s">
        <v>1505</v>
      </c>
      <c r="J685" s="32">
        <v>14253453</v>
      </c>
      <c r="K685" s="32" t="s">
        <v>3354</v>
      </c>
      <c r="L685" s="34" t="s">
        <v>3356</v>
      </c>
      <c r="M685" s="33">
        <v>249900</v>
      </c>
      <c r="N685" s="9">
        <f t="shared" si="61"/>
        <v>0.9</v>
      </c>
      <c r="O685" s="8">
        <f t="shared" si="62"/>
        <v>24990</v>
      </c>
      <c r="P685" s="9" t="str">
        <f t="shared" si="63"/>
        <v>PERCENTAGE</v>
      </c>
    </row>
    <row r="686" spans="1:16" x14ac:dyDescent="0.25">
      <c r="A686" s="6" t="str">
        <f t="shared" si="66"/>
        <v>2023 ALL D90</v>
      </c>
      <c r="B686" s="7">
        <f t="shared" si="64"/>
        <v>46114</v>
      </c>
      <c r="C686" s="7">
        <f t="shared" si="65"/>
        <v>46120</v>
      </c>
      <c r="D686" s="6">
        <v>3280</v>
      </c>
      <c r="E686" s="6">
        <v>337</v>
      </c>
      <c r="F686" s="6">
        <v>4</v>
      </c>
      <c r="G686" s="32">
        <v>2</v>
      </c>
      <c r="H686" s="32">
        <v>81306</v>
      </c>
      <c r="I686" s="32" t="s">
        <v>1505</v>
      </c>
      <c r="J686" s="32">
        <v>14253462</v>
      </c>
      <c r="K686" s="32" t="s">
        <v>3354</v>
      </c>
      <c r="L686" s="34" t="s">
        <v>3357</v>
      </c>
      <c r="M686" s="33">
        <v>249900</v>
      </c>
      <c r="N686" s="9">
        <f t="shared" si="61"/>
        <v>0.9</v>
      </c>
      <c r="O686" s="8">
        <f t="shared" si="62"/>
        <v>24990</v>
      </c>
      <c r="P686" s="9" t="str">
        <f t="shared" si="63"/>
        <v>PERCENTAGE</v>
      </c>
    </row>
    <row r="687" spans="1:16" x14ac:dyDescent="0.25">
      <c r="A687" s="6" t="str">
        <f t="shared" si="66"/>
        <v>2023 ALL D90</v>
      </c>
      <c r="B687" s="7">
        <f t="shared" si="64"/>
        <v>46114</v>
      </c>
      <c r="C687" s="7">
        <f t="shared" si="65"/>
        <v>46120</v>
      </c>
      <c r="D687" s="6">
        <v>3280</v>
      </c>
      <c r="E687" s="6">
        <v>337</v>
      </c>
      <c r="F687" s="6">
        <v>4</v>
      </c>
      <c r="G687" s="32">
        <v>2</v>
      </c>
      <c r="H687" s="32">
        <v>81306</v>
      </c>
      <c r="I687" s="32" t="s">
        <v>1505</v>
      </c>
      <c r="J687" s="32">
        <v>14253471</v>
      </c>
      <c r="K687" s="32" t="s">
        <v>3354</v>
      </c>
      <c r="L687" s="34" t="s">
        <v>3358</v>
      </c>
      <c r="M687" s="33">
        <v>259900</v>
      </c>
      <c r="N687" s="9">
        <f t="shared" si="61"/>
        <v>0.9</v>
      </c>
      <c r="O687" s="8">
        <f t="shared" si="62"/>
        <v>25990</v>
      </c>
      <c r="P687" s="9" t="str">
        <f t="shared" si="63"/>
        <v>PERCENTAGE</v>
      </c>
    </row>
    <row r="688" spans="1:16" x14ac:dyDescent="0.25">
      <c r="A688" s="6" t="str">
        <f t="shared" si="66"/>
        <v>2023 ALL D90</v>
      </c>
      <c r="B688" s="7">
        <f t="shared" si="64"/>
        <v>46114</v>
      </c>
      <c r="C688" s="7">
        <f t="shared" si="65"/>
        <v>46120</v>
      </c>
      <c r="D688" s="6">
        <v>3280</v>
      </c>
      <c r="E688" s="6">
        <v>337</v>
      </c>
      <c r="F688" s="6">
        <v>4</v>
      </c>
      <c r="G688" s="32">
        <v>2</v>
      </c>
      <c r="H688" s="32">
        <v>81306</v>
      </c>
      <c r="I688" s="32" t="s">
        <v>1505</v>
      </c>
      <c r="J688" s="32">
        <v>14253480</v>
      </c>
      <c r="K688" s="32" t="s">
        <v>3354</v>
      </c>
      <c r="L688" s="34" t="s">
        <v>3359</v>
      </c>
      <c r="M688" s="33">
        <v>259900</v>
      </c>
      <c r="N688" s="9">
        <f t="shared" si="61"/>
        <v>0.9</v>
      </c>
      <c r="O688" s="8">
        <f t="shared" si="62"/>
        <v>25990</v>
      </c>
      <c r="P688" s="9" t="str">
        <f t="shared" si="63"/>
        <v>PERCENTAGE</v>
      </c>
    </row>
    <row r="689" spans="1:16" x14ac:dyDescent="0.25">
      <c r="A689" s="6" t="str">
        <f t="shared" si="66"/>
        <v>2023 ALL D90</v>
      </c>
      <c r="B689" s="7">
        <f t="shared" si="64"/>
        <v>46114</v>
      </c>
      <c r="C689" s="7">
        <f t="shared" si="65"/>
        <v>46120</v>
      </c>
      <c r="D689" s="6">
        <v>3280</v>
      </c>
      <c r="E689" s="6">
        <v>337</v>
      </c>
      <c r="F689" s="6">
        <v>4</v>
      </c>
      <c r="G689" s="32">
        <v>2</v>
      </c>
      <c r="H689" s="32">
        <v>81306</v>
      </c>
      <c r="I689" s="32" t="s">
        <v>1505</v>
      </c>
      <c r="J689" s="32">
        <v>14253499</v>
      </c>
      <c r="K689" s="32" t="s">
        <v>3354</v>
      </c>
      <c r="L689" s="34" t="s">
        <v>3360</v>
      </c>
      <c r="M689" s="33">
        <v>259900</v>
      </c>
      <c r="N689" s="9">
        <f t="shared" si="61"/>
        <v>0.9</v>
      </c>
      <c r="O689" s="8">
        <f t="shared" si="62"/>
        <v>25990</v>
      </c>
      <c r="P689" s="9" t="str">
        <f t="shared" si="63"/>
        <v>PERCENTAGE</v>
      </c>
    </row>
    <row r="690" spans="1:16" x14ac:dyDescent="0.25">
      <c r="A690" s="6" t="str">
        <f t="shared" si="66"/>
        <v>2023 ALL D90</v>
      </c>
      <c r="B690" s="7">
        <f t="shared" si="64"/>
        <v>46114</v>
      </c>
      <c r="C690" s="7">
        <f t="shared" si="65"/>
        <v>46120</v>
      </c>
      <c r="D690" s="6">
        <v>3280</v>
      </c>
      <c r="E690" s="6">
        <v>337</v>
      </c>
      <c r="F690" s="6">
        <v>4</v>
      </c>
      <c r="G690" s="6">
        <v>2</v>
      </c>
      <c r="H690" s="6">
        <v>81306</v>
      </c>
      <c r="I690" s="32" t="s">
        <v>1505</v>
      </c>
      <c r="J690" s="6">
        <v>85955544</v>
      </c>
      <c r="K690" s="6" t="s">
        <v>3361</v>
      </c>
      <c r="L690" s="34" t="s">
        <v>3362</v>
      </c>
      <c r="M690" s="33">
        <v>249900</v>
      </c>
      <c r="N690" s="9">
        <f t="shared" si="61"/>
        <v>0.9</v>
      </c>
      <c r="O690" s="8">
        <f t="shared" si="62"/>
        <v>24990</v>
      </c>
      <c r="P690" s="9" t="str">
        <f t="shared" si="63"/>
        <v>PERCENTAGE</v>
      </c>
    </row>
    <row r="691" spans="1:16" x14ac:dyDescent="0.25">
      <c r="A691" s="6" t="str">
        <f t="shared" si="66"/>
        <v>2023 ALL D90</v>
      </c>
      <c r="B691" s="7">
        <f t="shared" si="64"/>
        <v>46114</v>
      </c>
      <c r="C691" s="7">
        <f t="shared" si="65"/>
        <v>46120</v>
      </c>
      <c r="D691" s="6">
        <v>3280</v>
      </c>
      <c r="E691" s="6">
        <v>337</v>
      </c>
      <c r="F691" s="6">
        <v>4</v>
      </c>
      <c r="G691" s="6">
        <v>2</v>
      </c>
      <c r="H691" s="6">
        <v>81306</v>
      </c>
      <c r="I691" s="32" t="s">
        <v>1505</v>
      </c>
      <c r="J691" s="6">
        <v>85955553</v>
      </c>
      <c r="K691" s="6" t="s">
        <v>3361</v>
      </c>
      <c r="L691" s="34" t="s">
        <v>3363</v>
      </c>
      <c r="M691" s="33">
        <v>249900</v>
      </c>
      <c r="N691" s="9">
        <f t="shared" si="61"/>
        <v>0.9</v>
      </c>
      <c r="O691" s="8">
        <f t="shared" si="62"/>
        <v>24990</v>
      </c>
      <c r="P691" s="9" t="str">
        <f t="shared" si="63"/>
        <v>PERCENTAGE</v>
      </c>
    </row>
    <row r="692" spans="1:16" x14ac:dyDescent="0.25">
      <c r="A692" s="6" t="str">
        <f t="shared" si="66"/>
        <v>2023 ALL D90</v>
      </c>
      <c r="B692" s="7">
        <f t="shared" si="64"/>
        <v>46114</v>
      </c>
      <c r="C692" s="7">
        <f t="shared" si="65"/>
        <v>46120</v>
      </c>
      <c r="D692" s="6">
        <v>3280</v>
      </c>
      <c r="E692" s="6">
        <v>337</v>
      </c>
      <c r="F692" s="6">
        <v>4</v>
      </c>
      <c r="G692" s="6">
        <v>2</v>
      </c>
      <c r="H692" s="6">
        <v>81306</v>
      </c>
      <c r="I692" s="32" t="s">
        <v>1505</v>
      </c>
      <c r="J692" s="6">
        <v>85955562</v>
      </c>
      <c r="K692" s="6" t="s">
        <v>3361</v>
      </c>
      <c r="L692" s="34" t="s">
        <v>3364</v>
      </c>
      <c r="M692" s="33">
        <v>249900</v>
      </c>
      <c r="N692" s="9">
        <f t="shared" si="61"/>
        <v>0.9</v>
      </c>
      <c r="O692" s="8">
        <f t="shared" si="62"/>
        <v>24990</v>
      </c>
      <c r="P692" s="9" t="str">
        <f t="shared" si="63"/>
        <v>PERCENTAGE</v>
      </c>
    </row>
    <row r="693" spans="1:16" x14ac:dyDescent="0.25">
      <c r="A693" s="6" t="str">
        <f t="shared" si="66"/>
        <v>2023 ALL D90</v>
      </c>
      <c r="B693" s="7">
        <f t="shared" si="64"/>
        <v>46114</v>
      </c>
      <c r="C693" s="7">
        <f t="shared" si="65"/>
        <v>46120</v>
      </c>
      <c r="D693" s="6">
        <v>3280</v>
      </c>
      <c r="E693" s="6">
        <v>337</v>
      </c>
      <c r="F693" s="6">
        <v>4</v>
      </c>
      <c r="G693" s="6">
        <v>2</v>
      </c>
      <c r="H693" s="6">
        <v>81306</v>
      </c>
      <c r="I693" s="32" t="s">
        <v>1505</v>
      </c>
      <c r="J693" s="6">
        <v>85955571</v>
      </c>
      <c r="K693" s="6" t="s">
        <v>3361</v>
      </c>
      <c r="L693" s="34" t="s">
        <v>3365</v>
      </c>
      <c r="M693" s="33">
        <v>259900</v>
      </c>
      <c r="N693" s="9">
        <f t="shared" si="61"/>
        <v>0.9</v>
      </c>
      <c r="O693" s="8">
        <f t="shared" si="62"/>
        <v>25990</v>
      </c>
      <c r="P693" s="9" t="str">
        <f t="shared" si="63"/>
        <v>PERCENTAGE</v>
      </c>
    </row>
    <row r="694" spans="1:16" x14ac:dyDescent="0.25">
      <c r="A694" s="6" t="str">
        <f t="shared" si="66"/>
        <v>2023 ALL D90</v>
      </c>
      <c r="B694" s="7">
        <f t="shared" si="64"/>
        <v>46114</v>
      </c>
      <c r="C694" s="7">
        <f t="shared" si="65"/>
        <v>46120</v>
      </c>
      <c r="D694" s="6">
        <v>3280</v>
      </c>
      <c r="E694" s="6">
        <v>337</v>
      </c>
      <c r="F694" s="6">
        <v>4</v>
      </c>
      <c r="G694" s="6">
        <v>2</v>
      </c>
      <c r="H694" s="6">
        <v>81306</v>
      </c>
      <c r="I694" s="32" t="s">
        <v>1505</v>
      </c>
      <c r="J694" s="6">
        <v>85955580</v>
      </c>
      <c r="K694" s="6" t="s">
        <v>3361</v>
      </c>
      <c r="L694" s="34" t="s">
        <v>3366</v>
      </c>
      <c r="M694" s="33">
        <v>259900</v>
      </c>
      <c r="N694" s="9">
        <f t="shared" si="61"/>
        <v>0.9</v>
      </c>
      <c r="O694" s="8">
        <f t="shared" si="62"/>
        <v>25990</v>
      </c>
      <c r="P694" s="9" t="str">
        <f t="shared" si="63"/>
        <v>PERCENTAGE</v>
      </c>
    </row>
    <row r="695" spans="1:16" x14ac:dyDescent="0.25">
      <c r="A695" s="6" t="str">
        <f t="shared" si="66"/>
        <v>2023 ALL D90</v>
      </c>
      <c r="B695" s="7">
        <f t="shared" si="64"/>
        <v>46114</v>
      </c>
      <c r="C695" s="7">
        <f t="shared" si="65"/>
        <v>46120</v>
      </c>
      <c r="D695" s="6">
        <v>3280</v>
      </c>
      <c r="E695" s="6">
        <v>337</v>
      </c>
      <c r="F695" s="6">
        <v>4</v>
      </c>
      <c r="G695" s="6">
        <v>2</v>
      </c>
      <c r="H695" s="6">
        <v>81306</v>
      </c>
      <c r="I695" s="32" t="s">
        <v>1505</v>
      </c>
      <c r="J695" s="6">
        <v>85955599</v>
      </c>
      <c r="K695" s="6" t="s">
        <v>3361</v>
      </c>
      <c r="L695" s="34" t="s">
        <v>3367</v>
      </c>
      <c r="M695" s="33">
        <v>259900</v>
      </c>
      <c r="N695" s="9">
        <f t="shared" si="61"/>
        <v>0.9</v>
      </c>
      <c r="O695" s="8">
        <f t="shared" si="62"/>
        <v>25990</v>
      </c>
      <c r="P695" s="9" t="str">
        <f t="shared" si="63"/>
        <v>PERCENTAGE</v>
      </c>
    </row>
    <row r="696" spans="1:16" x14ac:dyDescent="0.25">
      <c r="A696" s="6" t="str">
        <f t="shared" si="66"/>
        <v>2023 ALL D90</v>
      </c>
      <c r="B696" s="7">
        <f t="shared" si="64"/>
        <v>46114</v>
      </c>
      <c r="C696" s="7">
        <f t="shared" si="65"/>
        <v>46120</v>
      </c>
      <c r="D696" s="6">
        <v>3280</v>
      </c>
      <c r="E696" s="6">
        <v>337</v>
      </c>
      <c r="F696" s="6">
        <v>4</v>
      </c>
      <c r="G696" s="6">
        <v>2</v>
      </c>
      <c r="H696" s="6">
        <v>80942</v>
      </c>
      <c r="I696" s="32" t="s">
        <v>1505</v>
      </c>
      <c r="J696" s="6">
        <v>14840612</v>
      </c>
      <c r="K696" s="6" t="s">
        <v>3340</v>
      </c>
      <c r="L696" s="34" t="s">
        <v>3341</v>
      </c>
      <c r="M696" s="33">
        <v>239900</v>
      </c>
      <c r="N696" s="9">
        <f t="shared" si="61"/>
        <v>0.9</v>
      </c>
      <c r="O696" s="8">
        <f t="shared" si="62"/>
        <v>23990</v>
      </c>
      <c r="P696" s="9" t="str">
        <f t="shared" si="63"/>
        <v>PERCENTAGE</v>
      </c>
    </row>
    <row r="697" spans="1:16" x14ac:dyDescent="0.25">
      <c r="A697" s="6" t="str">
        <f t="shared" si="66"/>
        <v>2023 ALL D90</v>
      </c>
      <c r="B697" s="7">
        <f t="shared" si="64"/>
        <v>46114</v>
      </c>
      <c r="C697" s="7">
        <f t="shared" si="65"/>
        <v>46120</v>
      </c>
      <c r="D697" s="6">
        <v>3280</v>
      </c>
      <c r="E697" s="6">
        <v>337</v>
      </c>
      <c r="F697" s="6">
        <v>4</v>
      </c>
      <c r="G697" s="6">
        <v>2</v>
      </c>
      <c r="H697" s="6">
        <v>80942</v>
      </c>
      <c r="I697" s="32" t="s">
        <v>1505</v>
      </c>
      <c r="J697" s="6">
        <v>14840621</v>
      </c>
      <c r="K697" s="6" t="s">
        <v>3340</v>
      </c>
      <c r="L697" s="34" t="s">
        <v>3342</v>
      </c>
      <c r="M697" s="33">
        <v>239900</v>
      </c>
      <c r="N697" s="9">
        <f t="shared" si="61"/>
        <v>0.9</v>
      </c>
      <c r="O697" s="8">
        <f t="shared" si="62"/>
        <v>23990</v>
      </c>
      <c r="P697" s="9" t="str">
        <f t="shared" si="63"/>
        <v>PERCENTAGE</v>
      </c>
    </row>
    <row r="698" spans="1:16" x14ac:dyDescent="0.25">
      <c r="A698" s="6" t="str">
        <f t="shared" si="66"/>
        <v>2023 ALL D90</v>
      </c>
      <c r="B698" s="7">
        <f t="shared" si="64"/>
        <v>46114</v>
      </c>
      <c r="C698" s="7">
        <f t="shared" si="65"/>
        <v>46120</v>
      </c>
      <c r="D698" s="6">
        <v>3280</v>
      </c>
      <c r="E698" s="6">
        <v>337</v>
      </c>
      <c r="F698" s="6">
        <v>4</v>
      </c>
      <c r="G698" s="6">
        <v>2</v>
      </c>
      <c r="H698" s="6">
        <v>80942</v>
      </c>
      <c r="I698" s="32" t="s">
        <v>1505</v>
      </c>
      <c r="J698" s="6">
        <v>14840630</v>
      </c>
      <c r="K698" s="6" t="s">
        <v>3340</v>
      </c>
      <c r="L698" s="34" t="s">
        <v>3343</v>
      </c>
      <c r="M698" s="33">
        <v>239900</v>
      </c>
      <c r="N698" s="9">
        <f t="shared" si="61"/>
        <v>0.9</v>
      </c>
      <c r="O698" s="8">
        <f t="shared" si="62"/>
        <v>23990</v>
      </c>
      <c r="P698" s="9" t="str">
        <f t="shared" si="63"/>
        <v>PERCENTAGE</v>
      </c>
    </row>
    <row r="699" spans="1:16" x14ac:dyDescent="0.25">
      <c r="A699" s="6" t="str">
        <f t="shared" si="66"/>
        <v>2023 ALL D90</v>
      </c>
      <c r="B699" s="7">
        <f t="shared" si="64"/>
        <v>46114</v>
      </c>
      <c r="C699" s="7">
        <f t="shared" si="65"/>
        <v>46120</v>
      </c>
      <c r="D699" s="6">
        <v>3280</v>
      </c>
      <c r="E699" s="6">
        <v>337</v>
      </c>
      <c r="F699" s="6">
        <v>4</v>
      </c>
      <c r="G699" s="6">
        <v>2</v>
      </c>
      <c r="H699" s="6">
        <v>80942</v>
      </c>
      <c r="I699" s="32" t="s">
        <v>1505</v>
      </c>
      <c r="J699" s="6">
        <v>14840649</v>
      </c>
      <c r="K699" s="6" t="s">
        <v>3340</v>
      </c>
      <c r="L699" s="34" t="s">
        <v>3344</v>
      </c>
      <c r="M699" s="33">
        <v>249900</v>
      </c>
      <c r="N699" s="9">
        <f t="shared" si="61"/>
        <v>0.9</v>
      </c>
      <c r="O699" s="8">
        <f t="shared" si="62"/>
        <v>24990</v>
      </c>
      <c r="P699" s="9" t="str">
        <f t="shared" si="63"/>
        <v>PERCENTAGE</v>
      </c>
    </row>
    <row r="700" spans="1:16" x14ac:dyDescent="0.25">
      <c r="A700" s="6" t="str">
        <f t="shared" si="66"/>
        <v>2023 ALL D90</v>
      </c>
      <c r="B700" s="7">
        <f t="shared" si="64"/>
        <v>46114</v>
      </c>
      <c r="C700" s="7">
        <f t="shared" si="65"/>
        <v>46120</v>
      </c>
      <c r="D700" s="6">
        <v>3280</v>
      </c>
      <c r="E700" s="6">
        <v>337</v>
      </c>
      <c r="F700" s="6">
        <v>4</v>
      </c>
      <c r="G700" s="6">
        <v>2</v>
      </c>
      <c r="H700" s="6">
        <v>80942</v>
      </c>
      <c r="I700" s="32" t="s">
        <v>1505</v>
      </c>
      <c r="J700" s="6">
        <v>14840658</v>
      </c>
      <c r="K700" s="6" t="s">
        <v>3340</v>
      </c>
      <c r="L700" s="34" t="s">
        <v>3345</v>
      </c>
      <c r="M700" s="33">
        <v>249900</v>
      </c>
      <c r="N700" s="9">
        <f t="shared" si="61"/>
        <v>0.9</v>
      </c>
      <c r="O700" s="8">
        <f t="shared" si="62"/>
        <v>24990</v>
      </c>
      <c r="P700" s="9" t="str">
        <f t="shared" si="63"/>
        <v>PERCENTAGE</v>
      </c>
    </row>
    <row r="701" spans="1:16" x14ac:dyDescent="0.25">
      <c r="A701" s="6" t="str">
        <f t="shared" si="66"/>
        <v>2023 ALL D90</v>
      </c>
      <c r="B701" s="7">
        <f t="shared" si="64"/>
        <v>46114</v>
      </c>
      <c r="C701" s="7">
        <f t="shared" si="65"/>
        <v>46120</v>
      </c>
      <c r="D701" s="6">
        <v>3280</v>
      </c>
      <c r="E701" s="6">
        <v>337</v>
      </c>
      <c r="F701" s="6">
        <v>4</v>
      </c>
      <c r="G701" s="6">
        <v>2</v>
      </c>
      <c r="H701" s="6">
        <v>80942</v>
      </c>
      <c r="I701" s="32" t="s">
        <v>1505</v>
      </c>
      <c r="J701" s="6">
        <v>14840667</v>
      </c>
      <c r="K701" s="6" t="s">
        <v>3340</v>
      </c>
      <c r="L701" s="34" t="s">
        <v>3346</v>
      </c>
      <c r="M701" s="33">
        <v>249900</v>
      </c>
      <c r="N701" s="9">
        <f t="shared" si="61"/>
        <v>0.9</v>
      </c>
      <c r="O701" s="8">
        <f t="shared" si="62"/>
        <v>24990</v>
      </c>
      <c r="P701" s="9" t="str">
        <f t="shared" si="63"/>
        <v>PERCENTAGE</v>
      </c>
    </row>
  </sheetData>
  <autoFilter ref="A1:P1" xr:uid="{00000000-0009-0000-0000-000003000000}"/>
  <conditionalFormatting sqref="J1:J464 J702:J1048576">
    <cfRule type="duplicateValues" dxfId="22" priority="3"/>
    <cfRule type="duplicateValues" dxfId="21" priority="4"/>
  </conditionalFormatting>
  <conditionalFormatting sqref="J465:J701">
    <cfRule type="duplicateValues" dxfId="20" priority="1"/>
    <cfRule type="duplicateValues" dxfId="19" priority="2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BE58-D8CC-4BC2-A092-4BE42B47AA7F}">
  <dimension ref="A1:P331"/>
  <sheetViews>
    <sheetView zoomScale="70" zoomScaleNormal="70" workbookViewId="0">
      <selection activeCell="A15" sqref="A15"/>
    </sheetView>
  </sheetViews>
  <sheetFormatPr defaultColWidth="8.7109375" defaultRowHeight="15" x14ac:dyDescent="0.25"/>
  <cols>
    <col min="1" max="1" width="20" style="2" bestFit="1" customWidth="1"/>
    <col min="2" max="2" width="16.28515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7109375" style="2" bestFit="1" customWidth="1"/>
    <col min="8" max="8" width="13.7109375" style="27" bestFit="1" customWidth="1"/>
    <col min="9" max="9" width="16.5703125" style="2" bestFit="1" customWidth="1"/>
    <col min="10" max="10" width="20.140625" style="2" bestFit="1" customWidth="1"/>
    <col min="11" max="11" width="18.28515625" style="2" customWidth="1"/>
    <col min="12" max="12" width="127.7109375" style="2" bestFit="1" customWidth="1"/>
    <col min="13" max="13" width="20.7109375" style="4" bestFit="1" customWidth="1"/>
    <col min="14" max="14" width="12.42578125" style="5" bestFit="1" customWidth="1"/>
    <col min="15" max="15" width="8.7109375" style="4" customWidth="1"/>
    <col min="16" max="16" width="19.7109375" style="2" customWidth="1"/>
    <col min="17" max="16384" width="8.7109375" style="2"/>
  </cols>
  <sheetData>
    <row r="1" spans="1:16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26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s="31" customFormat="1" x14ac:dyDescent="0.25">
      <c r="A2" s="24" t="s">
        <v>4423</v>
      </c>
      <c r="B2" s="7">
        <f>'2019 ALL D95'!B2</f>
        <v>46114</v>
      </c>
      <c r="C2" s="7">
        <f>'2019 ALL D95'!C2</f>
        <v>46120</v>
      </c>
      <c r="D2" s="24">
        <v>3280</v>
      </c>
      <c r="E2" s="24">
        <v>337</v>
      </c>
      <c r="F2" s="24">
        <v>4</v>
      </c>
      <c r="G2" s="37">
        <v>2</v>
      </c>
      <c r="H2" s="37">
        <v>81698</v>
      </c>
      <c r="I2" s="38" t="s">
        <v>1505</v>
      </c>
      <c r="J2" s="24">
        <v>15394460</v>
      </c>
      <c r="K2" s="37" t="s">
        <v>3794</v>
      </c>
      <c r="L2" s="37" t="s">
        <v>3795</v>
      </c>
      <c r="M2" s="39">
        <v>239900</v>
      </c>
      <c r="N2" s="40">
        <v>0.75</v>
      </c>
      <c r="O2" s="42">
        <f>M2-((75*M2)/100)</f>
        <v>59975</v>
      </c>
      <c r="P2" s="24" t="s">
        <v>15</v>
      </c>
    </row>
    <row r="3" spans="1:16" s="31" customFormat="1" x14ac:dyDescent="0.25">
      <c r="A3" s="24" t="str">
        <f>A2</f>
        <v>2024 JAN-JUN D75</v>
      </c>
      <c r="B3" s="7">
        <f>B2</f>
        <v>46114</v>
      </c>
      <c r="C3" s="7">
        <f>C2</f>
        <v>46120</v>
      </c>
      <c r="D3" s="24">
        <v>3280</v>
      </c>
      <c r="E3" s="24">
        <v>337</v>
      </c>
      <c r="F3" s="24">
        <v>4</v>
      </c>
      <c r="G3" s="37">
        <v>2</v>
      </c>
      <c r="H3" s="37">
        <v>81698</v>
      </c>
      <c r="I3" s="38" t="s">
        <v>1505</v>
      </c>
      <c r="J3" s="24">
        <v>15394479</v>
      </c>
      <c r="K3" s="37" t="s">
        <v>3794</v>
      </c>
      <c r="L3" s="37" t="s">
        <v>3796</v>
      </c>
      <c r="M3" s="39">
        <v>239900</v>
      </c>
      <c r="N3" s="40">
        <f>N2</f>
        <v>0.75</v>
      </c>
      <c r="O3" s="42">
        <f t="shared" ref="O3:O66" si="0">M3-((75*M3)/100)</f>
        <v>59975</v>
      </c>
      <c r="P3" s="40" t="str">
        <f>P2</f>
        <v>PERCENTAGE</v>
      </c>
    </row>
    <row r="4" spans="1:16" s="31" customFormat="1" x14ac:dyDescent="0.25">
      <c r="A4" s="24" t="str">
        <f t="shared" ref="A4:C67" si="1">A3</f>
        <v>2024 JAN-JUN D75</v>
      </c>
      <c r="B4" s="7">
        <f t="shared" si="1"/>
        <v>46114</v>
      </c>
      <c r="C4" s="7">
        <f t="shared" si="1"/>
        <v>46120</v>
      </c>
      <c r="D4" s="24">
        <v>3280</v>
      </c>
      <c r="E4" s="24">
        <v>337</v>
      </c>
      <c r="F4" s="24">
        <v>4</v>
      </c>
      <c r="G4" s="37">
        <v>2</v>
      </c>
      <c r="H4" s="37">
        <v>81698</v>
      </c>
      <c r="I4" s="38" t="s">
        <v>1505</v>
      </c>
      <c r="J4" s="24">
        <v>15394488</v>
      </c>
      <c r="K4" s="37" t="s">
        <v>3794</v>
      </c>
      <c r="L4" s="37" t="s">
        <v>3797</v>
      </c>
      <c r="M4" s="39">
        <v>239900</v>
      </c>
      <c r="N4" s="40">
        <f t="shared" ref="N4:N67" si="2">N3</f>
        <v>0.75</v>
      </c>
      <c r="O4" s="42">
        <f t="shared" si="0"/>
        <v>59975</v>
      </c>
      <c r="P4" s="40" t="str">
        <f t="shared" ref="P4:P67" si="3">P3</f>
        <v>PERCENTAGE</v>
      </c>
    </row>
    <row r="5" spans="1:16" s="31" customFormat="1" x14ac:dyDescent="0.25">
      <c r="A5" s="24" t="str">
        <f t="shared" si="1"/>
        <v>2024 JAN-JUN D75</v>
      </c>
      <c r="B5" s="7">
        <f t="shared" si="1"/>
        <v>46114</v>
      </c>
      <c r="C5" s="7">
        <f t="shared" si="1"/>
        <v>46120</v>
      </c>
      <c r="D5" s="24">
        <v>3280</v>
      </c>
      <c r="E5" s="24">
        <v>337</v>
      </c>
      <c r="F5" s="24">
        <v>4</v>
      </c>
      <c r="G5" s="37">
        <v>2</v>
      </c>
      <c r="H5" s="37">
        <v>81698</v>
      </c>
      <c r="I5" s="38" t="s">
        <v>1505</v>
      </c>
      <c r="J5" s="24">
        <v>15394497</v>
      </c>
      <c r="K5" s="37" t="s">
        <v>3794</v>
      </c>
      <c r="L5" s="37" t="s">
        <v>3798</v>
      </c>
      <c r="M5" s="39">
        <v>249900</v>
      </c>
      <c r="N5" s="40">
        <f t="shared" si="2"/>
        <v>0.75</v>
      </c>
      <c r="O5" s="42">
        <f t="shared" si="0"/>
        <v>62475</v>
      </c>
      <c r="P5" s="40" t="str">
        <f t="shared" si="3"/>
        <v>PERCENTAGE</v>
      </c>
    </row>
    <row r="6" spans="1:16" s="31" customFormat="1" x14ac:dyDescent="0.25">
      <c r="A6" s="24" t="str">
        <f t="shared" si="1"/>
        <v>2024 JAN-JUN D75</v>
      </c>
      <c r="B6" s="7">
        <f t="shared" ref="B6:C6" si="4">B5</f>
        <v>46114</v>
      </c>
      <c r="C6" s="7">
        <f t="shared" si="4"/>
        <v>46120</v>
      </c>
      <c r="D6" s="24">
        <v>3280</v>
      </c>
      <c r="E6" s="24">
        <v>337</v>
      </c>
      <c r="F6" s="24">
        <v>4</v>
      </c>
      <c r="G6" s="37">
        <v>2</v>
      </c>
      <c r="H6" s="37">
        <v>81698</v>
      </c>
      <c r="I6" s="38" t="s">
        <v>1505</v>
      </c>
      <c r="J6" s="24">
        <v>15394540</v>
      </c>
      <c r="K6" s="37" t="s">
        <v>3794</v>
      </c>
      <c r="L6" s="37" t="s">
        <v>3799</v>
      </c>
      <c r="M6" s="39">
        <v>249900</v>
      </c>
      <c r="N6" s="40">
        <f t="shared" si="2"/>
        <v>0.75</v>
      </c>
      <c r="O6" s="42">
        <f t="shared" si="0"/>
        <v>62475</v>
      </c>
      <c r="P6" s="40" t="str">
        <f t="shared" si="3"/>
        <v>PERCENTAGE</v>
      </c>
    </row>
    <row r="7" spans="1:16" s="31" customFormat="1" x14ac:dyDescent="0.25">
      <c r="A7" s="24" t="str">
        <f t="shared" si="1"/>
        <v>2024 JAN-JUN D75</v>
      </c>
      <c r="B7" s="7">
        <f t="shared" si="1"/>
        <v>46114</v>
      </c>
      <c r="C7" s="7">
        <f t="shared" si="1"/>
        <v>46120</v>
      </c>
      <c r="D7" s="24">
        <v>3280</v>
      </c>
      <c r="E7" s="24">
        <v>337</v>
      </c>
      <c r="F7" s="24">
        <v>4</v>
      </c>
      <c r="G7" s="37">
        <v>2</v>
      </c>
      <c r="H7" s="37">
        <v>81698</v>
      </c>
      <c r="I7" s="38" t="s">
        <v>1505</v>
      </c>
      <c r="J7" s="24">
        <v>15394559</v>
      </c>
      <c r="K7" s="37" t="s">
        <v>3794</v>
      </c>
      <c r="L7" s="37" t="s">
        <v>3800</v>
      </c>
      <c r="M7" s="39">
        <v>249900</v>
      </c>
      <c r="N7" s="40">
        <f t="shared" si="2"/>
        <v>0.75</v>
      </c>
      <c r="O7" s="42">
        <f t="shared" si="0"/>
        <v>62475</v>
      </c>
      <c r="P7" s="40" t="str">
        <f t="shared" si="3"/>
        <v>PERCENTAGE</v>
      </c>
    </row>
    <row r="8" spans="1:16" s="31" customFormat="1" x14ac:dyDescent="0.25">
      <c r="A8" s="24" t="str">
        <f t="shared" si="1"/>
        <v>2024 JAN-JUN D75</v>
      </c>
      <c r="B8" s="7">
        <f t="shared" ref="B8:C8" si="5">B7</f>
        <v>46114</v>
      </c>
      <c r="C8" s="7">
        <f t="shared" si="5"/>
        <v>46120</v>
      </c>
      <c r="D8" s="24">
        <v>3280</v>
      </c>
      <c r="E8" s="24">
        <v>337</v>
      </c>
      <c r="F8" s="24">
        <v>4</v>
      </c>
      <c r="G8" s="37">
        <v>2</v>
      </c>
      <c r="H8" s="37">
        <v>81622</v>
      </c>
      <c r="I8" s="38" t="s">
        <v>1505</v>
      </c>
      <c r="J8" s="24">
        <v>15395772</v>
      </c>
      <c r="K8" s="37" t="s">
        <v>3801</v>
      </c>
      <c r="L8" s="37" t="s">
        <v>3802</v>
      </c>
      <c r="M8" s="39">
        <v>249900</v>
      </c>
      <c r="N8" s="40">
        <f t="shared" si="2"/>
        <v>0.75</v>
      </c>
      <c r="O8" s="42">
        <f t="shared" si="0"/>
        <v>62475</v>
      </c>
      <c r="P8" s="40" t="str">
        <f t="shared" si="3"/>
        <v>PERCENTAGE</v>
      </c>
    </row>
    <row r="9" spans="1:16" s="31" customFormat="1" x14ac:dyDescent="0.25">
      <c r="A9" s="24" t="str">
        <f t="shared" si="1"/>
        <v>2024 JAN-JUN D75</v>
      </c>
      <c r="B9" s="7">
        <f t="shared" si="1"/>
        <v>46114</v>
      </c>
      <c r="C9" s="7">
        <f t="shared" si="1"/>
        <v>46120</v>
      </c>
      <c r="D9" s="24">
        <v>3280</v>
      </c>
      <c r="E9" s="24">
        <v>337</v>
      </c>
      <c r="F9" s="24">
        <v>4</v>
      </c>
      <c r="G9" s="37">
        <v>2</v>
      </c>
      <c r="H9" s="37">
        <v>81622</v>
      </c>
      <c r="I9" s="38" t="s">
        <v>1505</v>
      </c>
      <c r="J9" s="24">
        <v>15395781</v>
      </c>
      <c r="K9" s="37" t="s">
        <v>3801</v>
      </c>
      <c r="L9" s="37" t="s">
        <v>3803</v>
      </c>
      <c r="M9" s="39">
        <v>249900</v>
      </c>
      <c r="N9" s="40">
        <f t="shared" si="2"/>
        <v>0.75</v>
      </c>
      <c r="O9" s="42">
        <f t="shared" si="0"/>
        <v>62475</v>
      </c>
      <c r="P9" s="40" t="str">
        <f t="shared" si="3"/>
        <v>PERCENTAGE</v>
      </c>
    </row>
    <row r="10" spans="1:16" s="31" customFormat="1" x14ac:dyDescent="0.25">
      <c r="A10" s="24" t="str">
        <f t="shared" si="1"/>
        <v>2024 JAN-JUN D75</v>
      </c>
      <c r="B10" s="7">
        <f t="shared" ref="B10:C10" si="6">B9</f>
        <v>46114</v>
      </c>
      <c r="C10" s="7">
        <f t="shared" si="6"/>
        <v>46120</v>
      </c>
      <c r="D10" s="24">
        <v>3280</v>
      </c>
      <c r="E10" s="24">
        <v>337</v>
      </c>
      <c r="F10" s="24">
        <v>4</v>
      </c>
      <c r="G10" s="37">
        <v>2</v>
      </c>
      <c r="H10" s="37">
        <v>81622</v>
      </c>
      <c r="I10" s="38" t="s">
        <v>1505</v>
      </c>
      <c r="J10" s="24">
        <v>15395790</v>
      </c>
      <c r="K10" s="37" t="s">
        <v>3801</v>
      </c>
      <c r="L10" s="37" t="s">
        <v>3804</v>
      </c>
      <c r="M10" s="39">
        <v>249900</v>
      </c>
      <c r="N10" s="40">
        <f t="shared" si="2"/>
        <v>0.75</v>
      </c>
      <c r="O10" s="42">
        <f t="shared" si="0"/>
        <v>62475</v>
      </c>
      <c r="P10" s="40" t="str">
        <f t="shared" si="3"/>
        <v>PERCENTAGE</v>
      </c>
    </row>
    <row r="11" spans="1:16" s="31" customFormat="1" x14ac:dyDescent="0.25">
      <c r="A11" s="24" t="str">
        <f t="shared" si="1"/>
        <v>2024 JAN-JUN D75</v>
      </c>
      <c r="B11" s="7">
        <f t="shared" si="1"/>
        <v>46114</v>
      </c>
      <c r="C11" s="7">
        <f t="shared" si="1"/>
        <v>46120</v>
      </c>
      <c r="D11" s="24">
        <v>3280</v>
      </c>
      <c r="E11" s="24">
        <v>337</v>
      </c>
      <c r="F11" s="24">
        <v>4</v>
      </c>
      <c r="G11" s="37">
        <v>2</v>
      </c>
      <c r="H11" s="37">
        <v>81622</v>
      </c>
      <c r="I11" s="38" t="s">
        <v>1505</v>
      </c>
      <c r="J11" s="24">
        <v>15395807</v>
      </c>
      <c r="K11" s="37" t="s">
        <v>3801</v>
      </c>
      <c r="L11" s="37" t="s">
        <v>3805</v>
      </c>
      <c r="M11" s="39">
        <v>259900</v>
      </c>
      <c r="N11" s="40">
        <f t="shared" si="2"/>
        <v>0.75</v>
      </c>
      <c r="O11" s="42">
        <f t="shared" si="0"/>
        <v>64975</v>
      </c>
      <c r="P11" s="40" t="str">
        <f t="shared" si="3"/>
        <v>PERCENTAGE</v>
      </c>
    </row>
    <row r="12" spans="1:16" s="31" customFormat="1" x14ac:dyDescent="0.25">
      <c r="A12" s="24" t="str">
        <f t="shared" si="1"/>
        <v>2024 JAN-JUN D75</v>
      </c>
      <c r="B12" s="7">
        <f t="shared" ref="B12:C12" si="7">B11</f>
        <v>46114</v>
      </c>
      <c r="C12" s="7">
        <f t="shared" si="7"/>
        <v>46120</v>
      </c>
      <c r="D12" s="24">
        <v>3280</v>
      </c>
      <c r="E12" s="24">
        <v>337</v>
      </c>
      <c r="F12" s="24">
        <v>4</v>
      </c>
      <c r="G12" s="37">
        <v>2</v>
      </c>
      <c r="H12" s="37">
        <v>81622</v>
      </c>
      <c r="I12" s="38" t="s">
        <v>1505</v>
      </c>
      <c r="J12" s="24">
        <v>15395816</v>
      </c>
      <c r="K12" s="37" t="s">
        <v>3801</v>
      </c>
      <c r="L12" s="37" t="s">
        <v>3806</v>
      </c>
      <c r="M12" s="39">
        <v>259900</v>
      </c>
      <c r="N12" s="40">
        <f t="shared" si="2"/>
        <v>0.75</v>
      </c>
      <c r="O12" s="42">
        <f t="shared" si="0"/>
        <v>64975</v>
      </c>
      <c r="P12" s="40" t="str">
        <f t="shared" si="3"/>
        <v>PERCENTAGE</v>
      </c>
    </row>
    <row r="13" spans="1:16" s="31" customFormat="1" x14ac:dyDescent="0.25">
      <c r="A13" s="24" t="str">
        <f t="shared" si="1"/>
        <v>2024 JAN-JUN D75</v>
      </c>
      <c r="B13" s="7">
        <f t="shared" si="1"/>
        <v>46114</v>
      </c>
      <c r="C13" s="7">
        <f t="shared" si="1"/>
        <v>46120</v>
      </c>
      <c r="D13" s="24">
        <v>3280</v>
      </c>
      <c r="E13" s="24">
        <v>337</v>
      </c>
      <c r="F13" s="24">
        <v>4</v>
      </c>
      <c r="G13" s="37">
        <v>2</v>
      </c>
      <c r="H13" s="37">
        <v>81622</v>
      </c>
      <c r="I13" s="38" t="s">
        <v>1505</v>
      </c>
      <c r="J13" s="24">
        <v>15395825</v>
      </c>
      <c r="K13" s="37" t="s">
        <v>3801</v>
      </c>
      <c r="L13" s="37" t="s">
        <v>3807</v>
      </c>
      <c r="M13" s="39">
        <v>259900</v>
      </c>
      <c r="N13" s="40">
        <f t="shared" si="2"/>
        <v>0.75</v>
      </c>
      <c r="O13" s="42">
        <f t="shared" si="0"/>
        <v>64975</v>
      </c>
      <c r="P13" s="40" t="str">
        <f t="shared" si="3"/>
        <v>PERCENTAGE</v>
      </c>
    </row>
    <row r="14" spans="1:16" s="31" customFormat="1" x14ac:dyDescent="0.25">
      <c r="A14" s="24" t="str">
        <f t="shared" si="1"/>
        <v>2024 JAN-JUN D75</v>
      </c>
      <c r="B14" s="7">
        <f t="shared" ref="B14:C14" si="8">B13</f>
        <v>46114</v>
      </c>
      <c r="C14" s="7">
        <f t="shared" si="8"/>
        <v>46120</v>
      </c>
      <c r="D14" s="24">
        <v>3280</v>
      </c>
      <c r="E14" s="24">
        <v>337</v>
      </c>
      <c r="F14" s="24">
        <v>4</v>
      </c>
      <c r="G14" s="37">
        <v>2</v>
      </c>
      <c r="H14" s="37">
        <v>81622</v>
      </c>
      <c r="I14" s="38" t="s">
        <v>1505</v>
      </c>
      <c r="J14" s="24">
        <v>15396100</v>
      </c>
      <c r="K14" s="37" t="s">
        <v>3808</v>
      </c>
      <c r="L14" s="37" t="s">
        <v>3809</v>
      </c>
      <c r="M14" s="39">
        <v>239900</v>
      </c>
      <c r="N14" s="40">
        <f t="shared" si="2"/>
        <v>0.75</v>
      </c>
      <c r="O14" s="42">
        <f t="shared" si="0"/>
        <v>59975</v>
      </c>
      <c r="P14" s="40" t="str">
        <f t="shared" si="3"/>
        <v>PERCENTAGE</v>
      </c>
    </row>
    <row r="15" spans="1:16" s="31" customFormat="1" x14ac:dyDescent="0.25">
      <c r="A15" s="24" t="str">
        <f t="shared" si="1"/>
        <v>2024 JAN-JUN D75</v>
      </c>
      <c r="B15" s="7">
        <f t="shared" si="1"/>
        <v>46114</v>
      </c>
      <c r="C15" s="7">
        <f t="shared" si="1"/>
        <v>46120</v>
      </c>
      <c r="D15" s="24">
        <v>3280</v>
      </c>
      <c r="E15" s="24">
        <v>337</v>
      </c>
      <c r="F15" s="24">
        <v>4</v>
      </c>
      <c r="G15" s="37">
        <v>2</v>
      </c>
      <c r="H15" s="37">
        <v>81622</v>
      </c>
      <c r="I15" s="38" t="s">
        <v>1505</v>
      </c>
      <c r="J15" s="24">
        <v>15396119</v>
      </c>
      <c r="K15" s="37" t="s">
        <v>3808</v>
      </c>
      <c r="L15" s="37" t="s">
        <v>3810</v>
      </c>
      <c r="M15" s="39">
        <v>239900</v>
      </c>
      <c r="N15" s="40">
        <f t="shared" si="2"/>
        <v>0.75</v>
      </c>
      <c r="O15" s="42">
        <f t="shared" si="0"/>
        <v>59975</v>
      </c>
      <c r="P15" s="40" t="str">
        <f t="shared" si="3"/>
        <v>PERCENTAGE</v>
      </c>
    </row>
    <row r="16" spans="1:16" s="31" customFormat="1" x14ac:dyDescent="0.25">
      <c r="A16" s="24" t="str">
        <f t="shared" si="1"/>
        <v>2024 JAN-JUN D75</v>
      </c>
      <c r="B16" s="7">
        <f t="shared" ref="B16:C16" si="9">B15</f>
        <v>46114</v>
      </c>
      <c r="C16" s="7">
        <f t="shared" si="9"/>
        <v>46120</v>
      </c>
      <c r="D16" s="24">
        <v>3280</v>
      </c>
      <c r="E16" s="24">
        <v>337</v>
      </c>
      <c r="F16" s="24">
        <v>4</v>
      </c>
      <c r="G16" s="37">
        <v>2</v>
      </c>
      <c r="H16" s="37">
        <v>81622</v>
      </c>
      <c r="I16" s="38" t="s">
        <v>1505</v>
      </c>
      <c r="J16" s="24">
        <v>15396128</v>
      </c>
      <c r="K16" s="37" t="s">
        <v>3808</v>
      </c>
      <c r="L16" s="37" t="s">
        <v>3811</v>
      </c>
      <c r="M16" s="39">
        <v>239900</v>
      </c>
      <c r="N16" s="40">
        <f t="shared" si="2"/>
        <v>0.75</v>
      </c>
      <c r="O16" s="42">
        <f t="shared" si="0"/>
        <v>59975</v>
      </c>
      <c r="P16" s="40" t="str">
        <f t="shared" si="3"/>
        <v>PERCENTAGE</v>
      </c>
    </row>
    <row r="17" spans="1:16" s="31" customFormat="1" x14ac:dyDescent="0.25">
      <c r="A17" s="24" t="str">
        <f t="shared" si="1"/>
        <v>2024 JAN-JUN D75</v>
      </c>
      <c r="B17" s="7">
        <f t="shared" si="1"/>
        <v>46114</v>
      </c>
      <c r="C17" s="7">
        <f t="shared" si="1"/>
        <v>46120</v>
      </c>
      <c r="D17" s="24">
        <v>3280</v>
      </c>
      <c r="E17" s="24">
        <v>337</v>
      </c>
      <c r="F17" s="24">
        <v>4</v>
      </c>
      <c r="G17" s="37">
        <v>2</v>
      </c>
      <c r="H17" s="37">
        <v>81622</v>
      </c>
      <c r="I17" s="38" t="s">
        <v>1505</v>
      </c>
      <c r="J17" s="24">
        <v>15396137</v>
      </c>
      <c r="K17" s="37" t="s">
        <v>3808</v>
      </c>
      <c r="L17" s="37" t="s">
        <v>3812</v>
      </c>
      <c r="M17" s="39">
        <v>249900</v>
      </c>
      <c r="N17" s="40">
        <f t="shared" si="2"/>
        <v>0.75</v>
      </c>
      <c r="O17" s="42">
        <f t="shared" si="0"/>
        <v>62475</v>
      </c>
      <c r="P17" s="40" t="str">
        <f t="shared" si="3"/>
        <v>PERCENTAGE</v>
      </c>
    </row>
    <row r="18" spans="1:16" s="31" customFormat="1" x14ac:dyDescent="0.25">
      <c r="A18" s="24" t="str">
        <f t="shared" si="1"/>
        <v>2024 JAN-JUN D75</v>
      </c>
      <c r="B18" s="7">
        <f t="shared" ref="B18:C18" si="10">B17</f>
        <v>46114</v>
      </c>
      <c r="C18" s="7">
        <f t="shared" si="10"/>
        <v>46120</v>
      </c>
      <c r="D18" s="24">
        <v>3280</v>
      </c>
      <c r="E18" s="24">
        <v>337</v>
      </c>
      <c r="F18" s="24">
        <v>4</v>
      </c>
      <c r="G18" s="37">
        <v>2</v>
      </c>
      <c r="H18" s="37">
        <v>81622</v>
      </c>
      <c r="I18" s="38" t="s">
        <v>1505</v>
      </c>
      <c r="J18" s="24">
        <v>15396146</v>
      </c>
      <c r="K18" s="37" t="s">
        <v>3808</v>
      </c>
      <c r="L18" s="37" t="s">
        <v>3813</v>
      </c>
      <c r="M18" s="39">
        <v>249900</v>
      </c>
      <c r="N18" s="40">
        <f t="shared" si="2"/>
        <v>0.75</v>
      </c>
      <c r="O18" s="42">
        <f t="shared" si="0"/>
        <v>62475</v>
      </c>
      <c r="P18" s="40" t="str">
        <f t="shared" si="3"/>
        <v>PERCENTAGE</v>
      </c>
    </row>
    <row r="19" spans="1:16" s="31" customFormat="1" x14ac:dyDescent="0.25">
      <c r="A19" s="24" t="str">
        <f t="shared" si="1"/>
        <v>2024 JAN-JUN D75</v>
      </c>
      <c r="B19" s="7">
        <f t="shared" si="1"/>
        <v>46114</v>
      </c>
      <c r="C19" s="7">
        <f t="shared" si="1"/>
        <v>46120</v>
      </c>
      <c r="D19" s="24">
        <v>3280</v>
      </c>
      <c r="E19" s="24">
        <v>337</v>
      </c>
      <c r="F19" s="24">
        <v>4</v>
      </c>
      <c r="G19" s="37">
        <v>2</v>
      </c>
      <c r="H19" s="37">
        <v>81622</v>
      </c>
      <c r="I19" s="38" t="s">
        <v>1505</v>
      </c>
      <c r="J19" s="24">
        <v>15396155</v>
      </c>
      <c r="K19" s="37" t="s">
        <v>3808</v>
      </c>
      <c r="L19" s="37" t="s">
        <v>3814</v>
      </c>
      <c r="M19" s="39">
        <v>249900</v>
      </c>
      <c r="N19" s="40">
        <f t="shared" si="2"/>
        <v>0.75</v>
      </c>
      <c r="O19" s="42">
        <f t="shared" si="0"/>
        <v>62475</v>
      </c>
      <c r="P19" s="40" t="str">
        <f t="shared" si="3"/>
        <v>PERCENTAGE</v>
      </c>
    </row>
    <row r="20" spans="1:16" s="31" customFormat="1" x14ac:dyDescent="0.25">
      <c r="A20" s="24" t="str">
        <f t="shared" si="1"/>
        <v>2024 JAN-JUN D75</v>
      </c>
      <c r="B20" s="7">
        <f t="shared" ref="B20:C20" si="11">B19</f>
        <v>46114</v>
      </c>
      <c r="C20" s="7">
        <f t="shared" si="11"/>
        <v>46120</v>
      </c>
      <c r="D20" s="24">
        <v>3280</v>
      </c>
      <c r="E20" s="24">
        <v>337</v>
      </c>
      <c r="F20" s="24">
        <v>4</v>
      </c>
      <c r="G20" s="37">
        <v>2</v>
      </c>
      <c r="H20" s="37">
        <v>81306</v>
      </c>
      <c r="I20" s="38" t="s">
        <v>1505</v>
      </c>
      <c r="J20" s="24">
        <v>15396477</v>
      </c>
      <c r="K20" s="37" t="s">
        <v>3815</v>
      </c>
      <c r="L20" s="37" t="s">
        <v>3816</v>
      </c>
      <c r="M20" s="39">
        <v>239900</v>
      </c>
      <c r="N20" s="40">
        <f t="shared" si="2"/>
        <v>0.75</v>
      </c>
      <c r="O20" s="42">
        <f t="shared" si="0"/>
        <v>59975</v>
      </c>
      <c r="P20" s="40" t="str">
        <f t="shared" si="3"/>
        <v>PERCENTAGE</v>
      </c>
    </row>
    <row r="21" spans="1:16" s="31" customFormat="1" x14ac:dyDescent="0.25">
      <c r="A21" s="24" t="str">
        <f t="shared" si="1"/>
        <v>2024 JAN-JUN D75</v>
      </c>
      <c r="B21" s="7">
        <f t="shared" si="1"/>
        <v>46114</v>
      </c>
      <c r="C21" s="7">
        <f t="shared" si="1"/>
        <v>46120</v>
      </c>
      <c r="D21" s="24">
        <v>3280</v>
      </c>
      <c r="E21" s="24">
        <v>337</v>
      </c>
      <c r="F21" s="24">
        <v>4</v>
      </c>
      <c r="G21" s="37">
        <v>2</v>
      </c>
      <c r="H21" s="37">
        <v>81306</v>
      </c>
      <c r="I21" s="38" t="s">
        <v>1505</v>
      </c>
      <c r="J21" s="24">
        <v>15396486</v>
      </c>
      <c r="K21" s="37" t="s">
        <v>3815</v>
      </c>
      <c r="L21" s="37" t="s">
        <v>3817</v>
      </c>
      <c r="M21" s="39">
        <v>239900</v>
      </c>
      <c r="N21" s="40">
        <f t="shared" si="2"/>
        <v>0.75</v>
      </c>
      <c r="O21" s="42">
        <f t="shared" si="0"/>
        <v>59975</v>
      </c>
      <c r="P21" s="40" t="str">
        <f t="shared" si="3"/>
        <v>PERCENTAGE</v>
      </c>
    </row>
    <row r="22" spans="1:16" s="31" customFormat="1" x14ac:dyDescent="0.25">
      <c r="A22" s="24" t="str">
        <f t="shared" si="1"/>
        <v>2024 JAN-JUN D75</v>
      </c>
      <c r="B22" s="7">
        <f t="shared" ref="B22:C22" si="12">B21</f>
        <v>46114</v>
      </c>
      <c r="C22" s="7">
        <f t="shared" si="12"/>
        <v>46120</v>
      </c>
      <c r="D22" s="24">
        <v>3280</v>
      </c>
      <c r="E22" s="24">
        <v>337</v>
      </c>
      <c r="F22" s="24">
        <v>4</v>
      </c>
      <c r="G22" s="37">
        <v>2</v>
      </c>
      <c r="H22" s="37">
        <v>81306</v>
      </c>
      <c r="I22" s="38" t="s">
        <v>1505</v>
      </c>
      <c r="J22" s="24">
        <v>15396495</v>
      </c>
      <c r="K22" s="37" t="s">
        <v>3815</v>
      </c>
      <c r="L22" s="37" t="s">
        <v>3818</v>
      </c>
      <c r="M22" s="39">
        <v>239900</v>
      </c>
      <c r="N22" s="40">
        <f t="shared" si="2"/>
        <v>0.75</v>
      </c>
      <c r="O22" s="42">
        <f t="shared" si="0"/>
        <v>59975</v>
      </c>
      <c r="P22" s="40" t="str">
        <f t="shared" si="3"/>
        <v>PERCENTAGE</v>
      </c>
    </row>
    <row r="23" spans="1:16" s="31" customFormat="1" x14ac:dyDescent="0.25">
      <c r="A23" s="24" t="str">
        <f t="shared" si="1"/>
        <v>2024 JAN-JUN D75</v>
      </c>
      <c r="B23" s="7">
        <f t="shared" si="1"/>
        <v>46114</v>
      </c>
      <c r="C23" s="7">
        <f t="shared" si="1"/>
        <v>46120</v>
      </c>
      <c r="D23" s="24">
        <v>3280</v>
      </c>
      <c r="E23" s="24">
        <v>337</v>
      </c>
      <c r="F23" s="24">
        <v>4</v>
      </c>
      <c r="G23" s="37">
        <v>2</v>
      </c>
      <c r="H23" s="37">
        <v>81306</v>
      </c>
      <c r="I23" s="38" t="s">
        <v>1505</v>
      </c>
      <c r="J23" s="24">
        <v>15396502</v>
      </c>
      <c r="K23" s="37" t="s">
        <v>3815</v>
      </c>
      <c r="L23" s="37" t="s">
        <v>3819</v>
      </c>
      <c r="M23" s="39">
        <v>249900</v>
      </c>
      <c r="N23" s="40">
        <f t="shared" si="2"/>
        <v>0.75</v>
      </c>
      <c r="O23" s="42">
        <f t="shared" si="0"/>
        <v>62475</v>
      </c>
      <c r="P23" s="40" t="str">
        <f t="shared" si="3"/>
        <v>PERCENTAGE</v>
      </c>
    </row>
    <row r="24" spans="1:16" s="31" customFormat="1" x14ac:dyDescent="0.25">
      <c r="A24" s="24" t="str">
        <f t="shared" si="1"/>
        <v>2024 JAN-JUN D75</v>
      </c>
      <c r="B24" s="7">
        <f t="shared" ref="B24:C24" si="13">B23</f>
        <v>46114</v>
      </c>
      <c r="C24" s="7">
        <f t="shared" si="13"/>
        <v>46120</v>
      </c>
      <c r="D24" s="24">
        <v>3280</v>
      </c>
      <c r="E24" s="24">
        <v>337</v>
      </c>
      <c r="F24" s="24">
        <v>4</v>
      </c>
      <c r="G24" s="37">
        <v>2</v>
      </c>
      <c r="H24" s="37">
        <v>81306</v>
      </c>
      <c r="I24" s="38" t="s">
        <v>1505</v>
      </c>
      <c r="J24" s="24">
        <v>15396511</v>
      </c>
      <c r="K24" s="37" t="s">
        <v>3815</v>
      </c>
      <c r="L24" s="37" t="s">
        <v>3820</v>
      </c>
      <c r="M24" s="39">
        <v>249900</v>
      </c>
      <c r="N24" s="40">
        <f t="shared" si="2"/>
        <v>0.75</v>
      </c>
      <c r="O24" s="42">
        <f t="shared" si="0"/>
        <v>62475</v>
      </c>
      <c r="P24" s="40" t="str">
        <f t="shared" si="3"/>
        <v>PERCENTAGE</v>
      </c>
    </row>
    <row r="25" spans="1:16" s="31" customFormat="1" x14ac:dyDescent="0.25">
      <c r="A25" s="24" t="str">
        <f t="shared" si="1"/>
        <v>2024 JAN-JUN D75</v>
      </c>
      <c r="B25" s="7">
        <f t="shared" si="1"/>
        <v>46114</v>
      </c>
      <c r="C25" s="7">
        <f t="shared" si="1"/>
        <v>46120</v>
      </c>
      <c r="D25" s="24">
        <v>3280</v>
      </c>
      <c r="E25" s="24">
        <v>337</v>
      </c>
      <c r="F25" s="24">
        <v>4</v>
      </c>
      <c r="G25" s="37">
        <v>2</v>
      </c>
      <c r="H25" s="37">
        <v>81306</v>
      </c>
      <c r="I25" s="38" t="s">
        <v>1505</v>
      </c>
      <c r="J25" s="24">
        <v>15396520</v>
      </c>
      <c r="K25" s="37" t="s">
        <v>3815</v>
      </c>
      <c r="L25" s="37" t="s">
        <v>3821</v>
      </c>
      <c r="M25" s="39">
        <v>249900</v>
      </c>
      <c r="N25" s="40">
        <f t="shared" si="2"/>
        <v>0.75</v>
      </c>
      <c r="O25" s="42">
        <f t="shared" si="0"/>
        <v>62475</v>
      </c>
      <c r="P25" s="40" t="str">
        <f t="shared" si="3"/>
        <v>PERCENTAGE</v>
      </c>
    </row>
    <row r="26" spans="1:16" s="31" customFormat="1" x14ac:dyDescent="0.25">
      <c r="A26" s="24" t="str">
        <f t="shared" si="1"/>
        <v>2024 JAN-JUN D75</v>
      </c>
      <c r="B26" s="7">
        <f t="shared" ref="B26:C26" si="14">B25</f>
        <v>46114</v>
      </c>
      <c r="C26" s="7">
        <f t="shared" si="14"/>
        <v>46120</v>
      </c>
      <c r="D26" s="24">
        <v>3280</v>
      </c>
      <c r="E26" s="24">
        <v>337</v>
      </c>
      <c r="F26" s="24">
        <v>4</v>
      </c>
      <c r="G26" s="37">
        <v>2</v>
      </c>
      <c r="H26" s="37">
        <v>81306</v>
      </c>
      <c r="I26" s="38" t="s">
        <v>1505</v>
      </c>
      <c r="J26" s="24">
        <v>15396539</v>
      </c>
      <c r="K26" s="37" t="s">
        <v>3822</v>
      </c>
      <c r="L26" s="37" t="s">
        <v>3823</v>
      </c>
      <c r="M26" s="39">
        <v>239900</v>
      </c>
      <c r="N26" s="40">
        <f t="shared" si="2"/>
        <v>0.75</v>
      </c>
      <c r="O26" s="42">
        <f t="shared" si="0"/>
        <v>59975</v>
      </c>
      <c r="P26" s="40" t="str">
        <f t="shared" si="3"/>
        <v>PERCENTAGE</v>
      </c>
    </row>
    <row r="27" spans="1:16" s="31" customFormat="1" x14ac:dyDescent="0.25">
      <c r="A27" s="24" t="str">
        <f t="shared" si="1"/>
        <v>2024 JAN-JUN D75</v>
      </c>
      <c r="B27" s="7">
        <f t="shared" si="1"/>
        <v>46114</v>
      </c>
      <c r="C27" s="7">
        <f t="shared" si="1"/>
        <v>46120</v>
      </c>
      <c r="D27" s="24">
        <v>3280</v>
      </c>
      <c r="E27" s="24">
        <v>337</v>
      </c>
      <c r="F27" s="24">
        <v>4</v>
      </c>
      <c r="G27" s="37">
        <v>2</v>
      </c>
      <c r="H27" s="37">
        <v>81306</v>
      </c>
      <c r="I27" s="38" t="s">
        <v>1505</v>
      </c>
      <c r="J27" s="24">
        <v>15396548</v>
      </c>
      <c r="K27" s="37" t="s">
        <v>3822</v>
      </c>
      <c r="L27" s="37" t="s">
        <v>3824</v>
      </c>
      <c r="M27" s="39">
        <v>239900</v>
      </c>
      <c r="N27" s="40">
        <f t="shared" si="2"/>
        <v>0.75</v>
      </c>
      <c r="O27" s="42">
        <f t="shared" si="0"/>
        <v>59975</v>
      </c>
      <c r="P27" s="40" t="str">
        <f t="shared" si="3"/>
        <v>PERCENTAGE</v>
      </c>
    </row>
    <row r="28" spans="1:16" s="31" customFormat="1" x14ac:dyDescent="0.25">
      <c r="A28" s="24" t="str">
        <f t="shared" si="1"/>
        <v>2024 JAN-JUN D75</v>
      </c>
      <c r="B28" s="7">
        <f t="shared" ref="B28:C28" si="15">B27</f>
        <v>46114</v>
      </c>
      <c r="C28" s="7">
        <f t="shared" si="15"/>
        <v>46120</v>
      </c>
      <c r="D28" s="24">
        <v>3280</v>
      </c>
      <c r="E28" s="24">
        <v>337</v>
      </c>
      <c r="F28" s="24">
        <v>4</v>
      </c>
      <c r="G28" s="37">
        <v>2</v>
      </c>
      <c r="H28" s="37">
        <v>81306</v>
      </c>
      <c r="I28" s="38" t="s">
        <v>1505</v>
      </c>
      <c r="J28" s="24">
        <v>15396557</v>
      </c>
      <c r="K28" s="37" t="s">
        <v>3822</v>
      </c>
      <c r="L28" s="37" t="s">
        <v>3825</v>
      </c>
      <c r="M28" s="39">
        <v>239900</v>
      </c>
      <c r="N28" s="40">
        <f t="shared" si="2"/>
        <v>0.75</v>
      </c>
      <c r="O28" s="42">
        <f t="shared" si="0"/>
        <v>59975</v>
      </c>
      <c r="P28" s="40" t="str">
        <f t="shared" si="3"/>
        <v>PERCENTAGE</v>
      </c>
    </row>
    <row r="29" spans="1:16" s="31" customFormat="1" x14ac:dyDescent="0.25">
      <c r="A29" s="24" t="str">
        <f t="shared" si="1"/>
        <v>2024 JAN-JUN D75</v>
      </c>
      <c r="B29" s="7">
        <f t="shared" si="1"/>
        <v>46114</v>
      </c>
      <c r="C29" s="7">
        <f t="shared" si="1"/>
        <v>46120</v>
      </c>
      <c r="D29" s="24">
        <v>3280</v>
      </c>
      <c r="E29" s="24">
        <v>337</v>
      </c>
      <c r="F29" s="24">
        <v>4</v>
      </c>
      <c r="G29" s="37">
        <v>2</v>
      </c>
      <c r="H29" s="37">
        <v>81306</v>
      </c>
      <c r="I29" s="38" t="s">
        <v>1505</v>
      </c>
      <c r="J29" s="24">
        <v>15396566</v>
      </c>
      <c r="K29" s="37" t="s">
        <v>3822</v>
      </c>
      <c r="L29" s="37" t="s">
        <v>3826</v>
      </c>
      <c r="M29" s="39">
        <v>249900</v>
      </c>
      <c r="N29" s="40">
        <f t="shared" si="2"/>
        <v>0.75</v>
      </c>
      <c r="O29" s="42">
        <f t="shared" si="0"/>
        <v>62475</v>
      </c>
      <c r="P29" s="40" t="str">
        <f t="shared" si="3"/>
        <v>PERCENTAGE</v>
      </c>
    </row>
    <row r="30" spans="1:16" s="31" customFormat="1" x14ac:dyDescent="0.25">
      <c r="A30" s="24" t="str">
        <f t="shared" si="1"/>
        <v>2024 JAN-JUN D75</v>
      </c>
      <c r="B30" s="7">
        <f t="shared" ref="B30:C30" si="16">B29</f>
        <v>46114</v>
      </c>
      <c r="C30" s="7">
        <f t="shared" si="16"/>
        <v>46120</v>
      </c>
      <c r="D30" s="24">
        <v>3280</v>
      </c>
      <c r="E30" s="24">
        <v>337</v>
      </c>
      <c r="F30" s="24">
        <v>4</v>
      </c>
      <c r="G30" s="37">
        <v>2</v>
      </c>
      <c r="H30" s="37">
        <v>81306</v>
      </c>
      <c r="I30" s="38" t="s">
        <v>1505</v>
      </c>
      <c r="J30" s="24">
        <v>15396575</v>
      </c>
      <c r="K30" s="37" t="s">
        <v>3822</v>
      </c>
      <c r="L30" s="37" t="s">
        <v>3827</v>
      </c>
      <c r="M30" s="39">
        <v>249900</v>
      </c>
      <c r="N30" s="40">
        <f t="shared" si="2"/>
        <v>0.75</v>
      </c>
      <c r="O30" s="42">
        <f t="shared" si="0"/>
        <v>62475</v>
      </c>
      <c r="P30" s="40" t="str">
        <f t="shared" si="3"/>
        <v>PERCENTAGE</v>
      </c>
    </row>
    <row r="31" spans="1:16" s="31" customFormat="1" x14ac:dyDescent="0.25">
      <c r="A31" s="24" t="str">
        <f t="shared" si="1"/>
        <v>2024 JAN-JUN D75</v>
      </c>
      <c r="B31" s="7">
        <f t="shared" si="1"/>
        <v>46114</v>
      </c>
      <c r="C31" s="7">
        <f t="shared" si="1"/>
        <v>46120</v>
      </c>
      <c r="D31" s="24">
        <v>3280</v>
      </c>
      <c r="E31" s="24">
        <v>337</v>
      </c>
      <c r="F31" s="24">
        <v>4</v>
      </c>
      <c r="G31" s="37">
        <v>2</v>
      </c>
      <c r="H31" s="37">
        <v>81306</v>
      </c>
      <c r="I31" s="38" t="s">
        <v>1505</v>
      </c>
      <c r="J31" s="24">
        <v>15396584</v>
      </c>
      <c r="K31" s="37" t="s">
        <v>3822</v>
      </c>
      <c r="L31" s="37" t="s">
        <v>3828</v>
      </c>
      <c r="M31" s="39">
        <v>249900</v>
      </c>
      <c r="N31" s="40">
        <f t="shared" si="2"/>
        <v>0.75</v>
      </c>
      <c r="O31" s="42">
        <f t="shared" si="0"/>
        <v>62475</v>
      </c>
      <c r="P31" s="40" t="str">
        <f t="shared" si="3"/>
        <v>PERCENTAGE</v>
      </c>
    </row>
    <row r="32" spans="1:16" s="31" customFormat="1" x14ac:dyDescent="0.25">
      <c r="A32" s="24" t="str">
        <f t="shared" si="1"/>
        <v>2024 JAN-JUN D75</v>
      </c>
      <c r="B32" s="7">
        <f t="shared" ref="B32:C32" si="17">B31</f>
        <v>46114</v>
      </c>
      <c r="C32" s="7">
        <f t="shared" si="17"/>
        <v>46120</v>
      </c>
      <c r="D32" s="24">
        <v>3280</v>
      </c>
      <c r="E32" s="24">
        <v>337</v>
      </c>
      <c r="F32" s="24">
        <v>4</v>
      </c>
      <c r="G32" s="37">
        <v>2</v>
      </c>
      <c r="H32" s="37">
        <v>81490</v>
      </c>
      <c r="I32" s="38" t="s">
        <v>1505</v>
      </c>
      <c r="J32" s="24">
        <v>15395469</v>
      </c>
      <c r="K32" s="37" t="s">
        <v>3836</v>
      </c>
      <c r="L32" s="37" t="s">
        <v>3837</v>
      </c>
      <c r="M32" s="39">
        <v>249900</v>
      </c>
      <c r="N32" s="40">
        <f t="shared" si="2"/>
        <v>0.75</v>
      </c>
      <c r="O32" s="42">
        <f t="shared" si="0"/>
        <v>62475</v>
      </c>
      <c r="P32" s="40" t="str">
        <f t="shared" si="3"/>
        <v>PERCENTAGE</v>
      </c>
    </row>
    <row r="33" spans="1:16" s="31" customFormat="1" x14ac:dyDescent="0.25">
      <c r="A33" s="24" t="str">
        <f t="shared" si="1"/>
        <v>2024 JAN-JUN D75</v>
      </c>
      <c r="B33" s="7">
        <f t="shared" si="1"/>
        <v>46114</v>
      </c>
      <c r="C33" s="7">
        <f t="shared" si="1"/>
        <v>46120</v>
      </c>
      <c r="D33" s="24">
        <v>3280</v>
      </c>
      <c r="E33" s="24">
        <v>337</v>
      </c>
      <c r="F33" s="24">
        <v>4</v>
      </c>
      <c r="G33" s="37">
        <v>2</v>
      </c>
      <c r="H33" s="37">
        <v>81490</v>
      </c>
      <c r="I33" s="38" t="s">
        <v>1505</v>
      </c>
      <c r="J33" s="24">
        <v>15395478</v>
      </c>
      <c r="K33" s="37" t="s">
        <v>3836</v>
      </c>
      <c r="L33" s="37" t="s">
        <v>3838</v>
      </c>
      <c r="M33" s="39">
        <v>249900</v>
      </c>
      <c r="N33" s="40">
        <f t="shared" si="2"/>
        <v>0.75</v>
      </c>
      <c r="O33" s="42">
        <f t="shared" si="0"/>
        <v>62475</v>
      </c>
      <c r="P33" s="40" t="str">
        <f t="shared" si="3"/>
        <v>PERCENTAGE</v>
      </c>
    </row>
    <row r="34" spans="1:16" s="31" customFormat="1" x14ac:dyDescent="0.25">
      <c r="A34" s="24" t="str">
        <f t="shared" si="1"/>
        <v>2024 JAN-JUN D75</v>
      </c>
      <c r="B34" s="7">
        <f t="shared" ref="B34:C34" si="18">B33</f>
        <v>46114</v>
      </c>
      <c r="C34" s="7">
        <f t="shared" si="18"/>
        <v>46120</v>
      </c>
      <c r="D34" s="24">
        <v>3280</v>
      </c>
      <c r="E34" s="24">
        <v>337</v>
      </c>
      <c r="F34" s="24">
        <v>4</v>
      </c>
      <c r="G34" s="37">
        <v>2</v>
      </c>
      <c r="H34" s="37">
        <v>81490</v>
      </c>
      <c r="I34" s="38" t="s">
        <v>1505</v>
      </c>
      <c r="J34" s="24">
        <v>15395487</v>
      </c>
      <c r="K34" s="37" t="s">
        <v>3836</v>
      </c>
      <c r="L34" s="37" t="s">
        <v>3839</v>
      </c>
      <c r="M34" s="39">
        <v>249900</v>
      </c>
      <c r="N34" s="40">
        <f t="shared" si="2"/>
        <v>0.75</v>
      </c>
      <c r="O34" s="42">
        <f t="shared" si="0"/>
        <v>62475</v>
      </c>
      <c r="P34" s="40" t="str">
        <f t="shared" si="3"/>
        <v>PERCENTAGE</v>
      </c>
    </row>
    <row r="35" spans="1:16" s="31" customFormat="1" x14ac:dyDescent="0.25">
      <c r="A35" s="24" t="str">
        <f t="shared" si="1"/>
        <v>2024 JAN-JUN D75</v>
      </c>
      <c r="B35" s="7">
        <f t="shared" si="1"/>
        <v>46114</v>
      </c>
      <c r="C35" s="7">
        <f t="shared" si="1"/>
        <v>46120</v>
      </c>
      <c r="D35" s="24">
        <v>3280</v>
      </c>
      <c r="E35" s="24">
        <v>337</v>
      </c>
      <c r="F35" s="24">
        <v>4</v>
      </c>
      <c r="G35" s="37">
        <v>2</v>
      </c>
      <c r="H35" s="37">
        <v>81490</v>
      </c>
      <c r="I35" s="38" t="s">
        <v>1505</v>
      </c>
      <c r="J35" s="24">
        <v>15395496</v>
      </c>
      <c r="K35" s="37" t="s">
        <v>3836</v>
      </c>
      <c r="L35" s="37" t="s">
        <v>3840</v>
      </c>
      <c r="M35" s="39">
        <v>259900</v>
      </c>
      <c r="N35" s="40">
        <f t="shared" si="2"/>
        <v>0.75</v>
      </c>
      <c r="O35" s="42">
        <f t="shared" si="0"/>
        <v>64975</v>
      </c>
      <c r="P35" s="40" t="str">
        <f t="shared" si="3"/>
        <v>PERCENTAGE</v>
      </c>
    </row>
    <row r="36" spans="1:16" s="31" customFormat="1" x14ac:dyDescent="0.25">
      <c r="A36" s="24" t="str">
        <f t="shared" si="1"/>
        <v>2024 JAN-JUN D75</v>
      </c>
      <c r="B36" s="7">
        <f t="shared" ref="B36:C36" si="19">B35</f>
        <v>46114</v>
      </c>
      <c r="C36" s="7">
        <f t="shared" si="19"/>
        <v>46120</v>
      </c>
      <c r="D36" s="24">
        <v>3280</v>
      </c>
      <c r="E36" s="24">
        <v>337</v>
      </c>
      <c r="F36" s="24">
        <v>4</v>
      </c>
      <c r="G36" s="37">
        <v>2</v>
      </c>
      <c r="H36" s="37">
        <v>81490</v>
      </c>
      <c r="I36" s="38" t="s">
        <v>1505</v>
      </c>
      <c r="J36" s="24">
        <v>15395503</v>
      </c>
      <c r="K36" s="37" t="s">
        <v>3836</v>
      </c>
      <c r="L36" s="37" t="s">
        <v>3841</v>
      </c>
      <c r="M36" s="39">
        <v>259900</v>
      </c>
      <c r="N36" s="40">
        <f t="shared" si="2"/>
        <v>0.75</v>
      </c>
      <c r="O36" s="42">
        <f t="shared" si="0"/>
        <v>64975</v>
      </c>
      <c r="P36" s="40" t="str">
        <f t="shared" si="3"/>
        <v>PERCENTAGE</v>
      </c>
    </row>
    <row r="37" spans="1:16" s="31" customFormat="1" x14ac:dyDescent="0.25">
      <c r="A37" s="24" t="str">
        <f t="shared" si="1"/>
        <v>2024 JAN-JUN D75</v>
      </c>
      <c r="B37" s="7">
        <f t="shared" si="1"/>
        <v>46114</v>
      </c>
      <c r="C37" s="7">
        <f t="shared" si="1"/>
        <v>46120</v>
      </c>
      <c r="D37" s="24">
        <v>3280</v>
      </c>
      <c r="E37" s="24">
        <v>337</v>
      </c>
      <c r="F37" s="24">
        <v>4</v>
      </c>
      <c r="G37" s="37">
        <v>2</v>
      </c>
      <c r="H37" s="37">
        <v>81490</v>
      </c>
      <c r="I37" s="38" t="s">
        <v>1505</v>
      </c>
      <c r="J37" s="24">
        <v>15395512</v>
      </c>
      <c r="K37" s="37" t="s">
        <v>3836</v>
      </c>
      <c r="L37" s="37" t="s">
        <v>3842</v>
      </c>
      <c r="M37" s="39">
        <v>259900</v>
      </c>
      <c r="N37" s="40">
        <f t="shared" si="2"/>
        <v>0.75</v>
      </c>
      <c r="O37" s="42">
        <f t="shared" si="0"/>
        <v>64975</v>
      </c>
      <c r="P37" s="40" t="str">
        <f t="shared" si="3"/>
        <v>PERCENTAGE</v>
      </c>
    </row>
    <row r="38" spans="1:16" s="31" customFormat="1" x14ac:dyDescent="0.25">
      <c r="A38" s="24" t="str">
        <f t="shared" si="1"/>
        <v>2024 JAN-JUN D75</v>
      </c>
      <c r="B38" s="7">
        <f t="shared" ref="B38:C38" si="20">B37</f>
        <v>46114</v>
      </c>
      <c r="C38" s="7">
        <f t="shared" si="20"/>
        <v>46120</v>
      </c>
      <c r="D38" s="24">
        <v>3280</v>
      </c>
      <c r="E38" s="24">
        <v>337</v>
      </c>
      <c r="F38" s="24">
        <v>4</v>
      </c>
      <c r="G38" s="37">
        <v>2</v>
      </c>
      <c r="H38" s="37">
        <v>81490</v>
      </c>
      <c r="I38" s="38" t="s">
        <v>1505</v>
      </c>
      <c r="J38" s="24">
        <v>15395521</v>
      </c>
      <c r="K38" s="37" t="s">
        <v>3843</v>
      </c>
      <c r="L38" s="37" t="s">
        <v>3844</v>
      </c>
      <c r="M38" s="39">
        <v>249900</v>
      </c>
      <c r="N38" s="40">
        <f t="shared" si="2"/>
        <v>0.75</v>
      </c>
      <c r="O38" s="42">
        <f t="shared" si="0"/>
        <v>62475</v>
      </c>
      <c r="P38" s="40" t="str">
        <f t="shared" si="3"/>
        <v>PERCENTAGE</v>
      </c>
    </row>
    <row r="39" spans="1:16" s="31" customFormat="1" x14ac:dyDescent="0.25">
      <c r="A39" s="24" t="str">
        <f t="shared" si="1"/>
        <v>2024 JAN-JUN D75</v>
      </c>
      <c r="B39" s="7">
        <f t="shared" si="1"/>
        <v>46114</v>
      </c>
      <c r="C39" s="7">
        <f t="shared" si="1"/>
        <v>46120</v>
      </c>
      <c r="D39" s="24">
        <v>3280</v>
      </c>
      <c r="E39" s="24">
        <v>337</v>
      </c>
      <c r="F39" s="24">
        <v>4</v>
      </c>
      <c r="G39" s="37">
        <v>2</v>
      </c>
      <c r="H39" s="37">
        <v>81490</v>
      </c>
      <c r="I39" s="38" t="s">
        <v>1505</v>
      </c>
      <c r="J39" s="24">
        <v>15395530</v>
      </c>
      <c r="K39" s="37" t="s">
        <v>3843</v>
      </c>
      <c r="L39" s="37" t="s">
        <v>3845</v>
      </c>
      <c r="M39" s="39">
        <v>249900</v>
      </c>
      <c r="N39" s="40">
        <f t="shared" si="2"/>
        <v>0.75</v>
      </c>
      <c r="O39" s="42">
        <f t="shared" si="0"/>
        <v>62475</v>
      </c>
      <c r="P39" s="40" t="str">
        <f t="shared" si="3"/>
        <v>PERCENTAGE</v>
      </c>
    </row>
    <row r="40" spans="1:16" s="31" customFormat="1" x14ac:dyDescent="0.25">
      <c r="A40" s="24" t="str">
        <f t="shared" si="1"/>
        <v>2024 JAN-JUN D75</v>
      </c>
      <c r="B40" s="7">
        <f t="shared" ref="B40:C40" si="21">B39</f>
        <v>46114</v>
      </c>
      <c r="C40" s="7">
        <f t="shared" si="21"/>
        <v>46120</v>
      </c>
      <c r="D40" s="24">
        <v>3280</v>
      </c>
      <c r="E40" s="24">
        <v>337</v>
      </c>
      <c r="F40" s="24">
        <v>4</v>
      </c>
      <c r="G40" s="37">
        <v>2</v>
      </c>
      <c r="H40" s="37">
        <v>81490</v>
      </c>
      <c r="I40" s="38" t="s">
        <v>1505</v>
      </c>
      <c r="J40" s="24">
        <v>15395549</v>
      </c>
      <c r="K40" s="37" t="s">
        <v>3843</v>
      </c>
      <c r="L40" s="37" t="s">
        <v>3846</v>
      </c>
      <c r="M40" s="39">
        <v>249900</v>
      </c>
      <c r="N40" s="40">
        <f t="shared" si="2"/>
        <v>0.75</v>
      </c>
      <c r="O40" s="42">
        <f t="shared" si="0"/>
        <v>62475</v>
      </c>
      <c r="P40" s="40" t="str">
        <f t="shared" si="3"/>
        <v>PERCENTAGE</v>
      </c>
    </row>
    <row r="41" spans="1:16" s="31" customFormat="1" x14ac:dyDescent="0.25">
      <c r="A41" s="24" t="str">
        <f t="shared" si="1"/>
        <v>2024 JAN-JUN D75</v>
      </c>
      <c r="B41" s="7">
        <f t="shared" si="1"/>
        <v>46114</v>
      </c>
      <c r="C41" s="7">
        <f t="shared" si="1"/>
        <v>46120</v>
      </c>
      <c r="D41" s="24">
        <v>3280</v>
      </c>
      <c r="E41" s="24">
        <v>337</v>
      </c>
      <c r="F41" s="24">
        <v>4</v>
      </c>
      <c r="G41" s="37">
        <v>2</v>
      </c>
      <c r="H41" s="37">
        <v>81490</v>
      </c>
      <c r="I41" s="38" t="s">
        <v>1505</v>
      </c>
      <c r="J41" s="24">
        <v>15395558</v>
      </c>
      <c r="K41" s="37" t="s">
        <v>3843</v>
      </c>
      <c r="L41" s="37" t="s">
        <v>3847</v>
      </c>
      <c r="M41" s="39">
        <v>259900</v>
      </c>
      <c r="N41" s="40">
        <f t="shared" si="2"/>
        <v>0.75</v>
      </c>
      <c r="O41" s="42">
        <f t="shared" si="0"/>
        <v>64975</v>
      </c>
      <c r="P41" s="40" t="str">
        <f t="shared" si="3"/>
        <v>PERCENTAGE</v>
      </c>
    </row>
    <row r="42" spans="1:16" s="31" customFormat="1" x14ac:dyDescent="0.25">
      <c r="A42" s="24" t="str">
        <f t="shared" si="1"/>
        <v>2024 JAN-JUN D75</v>
      </c>
      <c r="B42" s="7">
        <f t="shared" ref="B42:C42" si="22">B41</f>
        <v>46114</v>
      </c>
      <c r="C42" s="7">
        <f t="shared" si="22"/>
        <v>46120</v>
      </c>
      <c r="D42" s="24">
        <v>3280</v>
      </c>
      <c r="E42" s="24">
        <v>337</v>
      </c>
      <c r="F42" s="24">
        <v>4</v>
      </c>
      <c r="G42" s="37">
        <v>2</v>
      </c>
      <c r="H42" s="37">
        <v>81490</v>
      </c>
      <c r="I42" s="38" t="s">
        <v>1505</v>
      </c>
      <c r="J42" s="24">
        <v>15395567</v>
      </c>
      <c r="K42" s="37" t="s">
        <v>3843</v>
      </c>
      <c r="L42" s="37" t="s">
        <v>3848</v>
      </c>
      <c r="M42" s="39">
        <v>259900</v>
      </c>
      <c r="N42" s="40">
        <f t="shared" si="2"/>
        <v>0.75</v>
      </c>
      <c r="O42" s="42">
        <f t="shared" si="0"/>
        <v>64975</v>
      </c>
      <c r="P42" s="40" t="str">
        <f t="shared" si="3"/>
        <v>PERCENTAGE</v>
      </c>
    </row>
    <row r="43" spans="1:16" s="31" customFormat="1" x14ac:dyDescent="0.25">
      <c r="A43" s="24" t="str">
        <f t="shared" si="1"/>
        <v>2024 JAN-JUN D75</v>
      </c>
      <c r="B43" s="7">
        <f t="shared" si="1"/>
        <v>46114</v>
      </c>
      <c r="C43" s="7">
        <f t="shared" si="1"/>
        <v>46120</v>
      </c>
      <c r="D43" s="24">
        <v>3280</v>
      </c>
      <c r="E43" s="24">
        <v>337</v>
      </c>
      <c r="F43" s="24">
        <v>4</v>
      </c>
      <c r="G43" s="37">
        <v>2</v>
      </c>
      <c r="H43" s="37">
        <v>81490</v>
      </c>
      <c r="I43" s="38" t="s">
        <v>1505</v>
      </c>
      <c r="J43" s="24">
        <v>15395576</v>
      </c>
      <c r="K43" s="37" t="s">
        <v>3843</v>
      </c>
      <c r="L43" s="37" t="s">
        <v>3849</v>
      </c>
      <c r="M43" s="39">
        <v>259900</v>
      </c>
      <c r="N43" s="40">
        <f t="shared" si="2"/>
        <v>0.75</v>
      </c>
      <c r="O43" s="42">
        <f t="shared" si="0"/>
        <v>64975</v>
      </c>
      <c r="P43" s="40" t="str">
        <f t="shared" si="3"/>
        <v>PERCENTAGE</v>
      </c>
    </row>
    <row r="44" spans="1:16" s="31" customFormat="1" x14ac:dyDescent="0.25">
      <c r="A44" s="24" t="str">
        <f t="shared" si="1"/>
        <v>2024 JAN-JUN D75</v>
      </c>
      <c r="B44" s="7">
        <f t="shared" ref="B44:C44" si="23">B43</f>
        <v>46114</v>
      </c>
      <c r="C44" s="7">
        <f t="shared" si="23"/>
        <v>46120</v>
      </c>
      <c r="D44" s="24">
        <v>3280</v>
      </c>
      <c r="E44" s="24">
        <v>337</v>
      </c>
      <c r="F44" s="24">
        <v>4</v>
      </c>
      <c r="G44" s="37">
        <v>2</v>
      </c>
      <c r="H44" s="37">
        <v>81306</v>
      </c>
      <c r="I44" s="38" t="s">
        <v>1505</v>
      </c>
      <c r="J44" s="24">
        <v>15396833</v>
      </c>
      <c r="K44" s="37" t="s">
        <v>3829</v>
      </c>
      <c r="L44" s="37" t="s">
        <v>3830</v>
      </c>
      <c r="M44" s="39">
        <v>239900</v>
      </c>
      <c r="N44" s="40">
        <f t="shared" si="2"/>
        <v>0.75</v>
      </c>
      <c r="O44" s="42">
        <f t="shared" si="0"/>
        <v>59975</v>
      </c>
      <c r="P44" s="40" t="str">
        <f t="shared" si="3"/>
        <v>PERCENTAGE</v>
      </c>
    </row>
    <row r="45" spans="1:16" s="31" customFormat="1" x14ac:dyDescent="0.25">
      <c r="A45" s="24" t="str">
        <f t="shared" si="1"/>
        <v>2024 JAN-JUN D75</v>
      </c>
      <c r="B45" s="7">
        <f t="shared" si="1"/>
        <v>46114</v>
      </c>
      <c r="C45" s="7">
        <f t="shared" si="1"/>
        <v>46120</v>
      </c>
      <c r="D45" s="24">
        <v>3280</v>
      </c>
      <c r="E45" s="24">
        <v>337</v>
      </c>
      <c r="F45" s="24">
        <v>4</v>
      </c>
      <c r="G45" s="37">
        <v>2</v>
      </c>
      <c r="H45" s="37">
        <v>81306</v>
      </c>
      <c r="I45" s="38" t="s">
        <v>1505</v>
      </c>
      <c r="J45" s="24">
        <v>15396842</v>
      </c>
      <c r="K45" s="37" t="s">
        <v>3829</v>
      </c>
      <c r="L45" s="37" t="s">
        <v>3831</v>
      </c>
      <c r="M45" s="39">
        <v>239900</v>
      </c>
      <c r="N45" s="40">
        <f t="shared" si="2"/>
        <v>0.75</v>
      </c>
      <c r="O45" s="42">
        <f t="shared" si="0"/>
        <v>59975</v>
      </c>
      <c r="P45" s="40" t="str">
        <f t="shared" si="3"/>
        <v>PERCENTAGE</v>
      </c>
    </row>
    <row r="46" spans="1:16" s="31" customFormat="1" x14ac:dyDescent="0.25">
      <c r="A46" s="24" t="str">
        <f t="shared" si="1"/>
        <v>2024 JAN-JUN D75</v>
      </c>
      <c r="B46" s="7">
        <f t="shared" ref="B46:C46" si="24">B45</f>
        <v>46114</v>
      </c>
      <c r="C46" s="7">
        <f t="shared" si="24"/>
        <v>46120</v>
      </c>
      <c r="D46" s="24">
        <v>3280</v>
      </c>
      <c r="E46" s="24">
        <v>337</v>
      </c>
      <c r="F46" s="24">
        <v>4</v>
      </c>
      <c r="G46" s="37">
        <v>2</v>
      </c>
      <c r="H46" s="37">
        <v>81306</v>
      </c>
      <c r="I46" s="38" t="s">
        <v>1505</v>
      </c>
      <c r="J46" s="24">
        <v>15396851</v>
      </c>
      <c r="K46" s="37" t="s">
        <v>3829</v>
      </c>
      <c r="L46" s="37" t="s">
        <v>3832</v>
      </c>
      <c r="M46" s="39">
        <v>239900</v>
      </c>
      <c r="N46" s="40">
        <f t="shared" si="2"/>
        <v>0.75</v>
      </c>
      <c r="O46" s="42">
        <f t="shared" si="0"/>
        <v>59975</v>
      </c>
      <c r="P46" s="40" t="str">
        <f t="shared" si="3"/>
        <v>PERCENTAGE</v>
      </c>
    </row>
    <row r="47" spans="1:16" s="31" customFormat="1" x14ac:dyDescent="0.25">
      <c r="A47" s="24" t="str">
        <f t="shared" si="1"/>
        <v>2024 JAN-JUN D75</v>
      </c>
      <c r="B47" s="7">
        <f t="shared" si="1"/>
        <v>46114</v>
      </c>
      <c r="C47" s="7">
        <f t="shared" si="1"/>
        <v>46120</v>
      </c>
      <c r="D47" s="24">
        <v>3280</v>
      </c>
      <c r="E47" s="24">
        <v>337</v>
      </c>
      <c r="F47" s="24">
        <v>4</v>
      </c>
      <c r="G47" s="37">
        <v>2</v>
      </c>
      <c r="H47" s="37">
        <v>81306</v>
      </c>
      <c r="I47" s="38" t="s">
        <v>1505</v>
      </c>
      <c r="J47" s="24">
        <v>15396860</v>
      </c>
      <c r="K47" s="37" t="s">
        <v>3829</v>
      </c>
      <c r="L47" s="37" t="s">
        <v>3833</v>
      </c>
      <c r="M47" s="39">
        <v>249900</v>
      </c>
      <c r="N47" s="40">
        <f t="shared" si="2"/>
        <v>0.75</v>
      </c>
      <c r="O47" s="42">
        <f t="shared" si="0"/>
        <v>62475</v>
      </c>
      <c r="P47" s="40" t="str">
        <f t="shared" si="3"/>
        <v>PERCENTAGE</v>
      </c>
    </row>
    <row r="48" spans="1:16" s="31" customFormat="1" x14ac:dyDescent="0.25">
      <c r="A48" s="24" t="str">
        <f t="shared" si="1"/>
        <v>2024 JAN-JUN D75</v>
      </c>
      <c r="B48" s="7">
        <f t="shared" ref="B48:C48" si="25">B47</f>
        <v>46114</v>
      </c>
      <c r="C48" s="7">
        <f t="shared" si="25"/>
        <v>46120</v>
      </c>
      <c r="D48" s="24">
        <v>3280</v>
      </c>
      <c r="E48" s="24">
        <v>337</v>
      </c>
      <c r="F48" s="24">
        <v>4</v>
      </c>
      <c r="G48" s="37">
        <v>2</v>
      </c>
      <c r="H48" s="37">
        <v>81306</v>
      </c>
      <c r="I48" s="38" t="s">
        <v>1505</v>
      </c>
      <c r="J48" s="24">
        <v>15396879</v>
      </c>
      <c r="K48" s="37" t="s">
        <v>3829</v>
      </c>
      <c r="L48" s="37" t="s">
        <v>3834</v>
      </c>
      <c r="M48" s="39">
        <v>249900</v>
      </c>
      <c r="N48" s="40">
        <f t="shared" si="2"/>
        <v>0.75</v>
      </c>
      <c r="O48" s="42">
        <f t="shared" si="0"/>
        <v>62475</v>
      </c>
      <c r="P48" s="40" t="str">
        <f t="shared" si="3"/>
        <v>PERCENTAGE</v>
      </c>
    </row>
    <row r="49" spans="1:16" s="31" customFormat="1" x14ac:dyDescent="0.25">
      <c r="A49" s="24" t="str">
        <f t="shared" si="1"/>
        <v>2024 JAN-JUN D75</v>
      </c>
      <c r="B49" s="7">
        <f t="shared" si="1"/>
        <v>46114</v>
      </c>
      <c r="C49" s="7">
        <f t="shared" si="1"/>
        <v>46120</v>
      </c>
      <c r="D49" s="24">
        <v>3280</v>
      </c>
      <c r="E49" s="24">
        <v>337</v>
      </c>
      <c r="F49" s="24">
        <v>4</v>
      </c>
      <c r="G49" s="37">
        <v>2</v>
      </c>
      <c r="H49" s="37">
        <v>81306</v>
      </c>
      <c r="I49" s="38" t="s">
        <v>1505</v>
      </c>
      <c r="J49" s="24">
        <v>15396888</v>
      </c>
      <c r="K49" s="37" t="s">
        <v>3829</v>
      </c>
      <c r="L49" s="37" t="s">
        <v>3835</v>
      </c>
      <c r="M49" s="39">
        <v>249900</v>
      </c>
      <c r="N49" s="40">
        <f t="shared" si="2"/>
        <v>0.75</v>
      </c>
      <c r="O49" s="42">
        <f t="shared" si="0"/>
        <v>62475</v>
      </c>
      <c r="P49" s="40" t="str">
        <f t="shared" si="3"/>
        <v>PERCENTAGE</v>
      </c>
    </row>
    <row r="50" spans="1:16" s="31" customFormat="1" x14ac:dyDescent="0.25">
      <c r="A50" s="24" t="str">
        <f t="shared" si="1"/>
        <v>2024 JAN-JUN D75</v>
      </c>
      <c r="B50" s="7">
        <f t="shared" ref="B50:C50" si="26">B49</f>
        <v>46114</v>
      </c>
      <c r="C50" s="7">
        <f t="shared" si="26"/>
        <v>46120</v>
      </c>
      <c r="D50" s="24">
        <v>3280</v>
      </c>
      <c r="E50" s="24">
        <v>337</v>
      </c>
      <c r="F50" s="24">
        <v>4</v>
      </c>
      <c r="G50" s="37">
        <v>3</v>
      </c>
      <c r="H50" s="37">
        <v>81495</v>
      </c>
      <c r="I50" s="38" t="s">
        <v>1505</v>
      </c>
      <c r="J50" s="24">
        <v>15552057</v>
      </c>
      <c r="K50" s="37" t="s">
        <v>3552</v>
      </c>
      <c r="L50" s="37" t="s">
        <v>3553</v>
      </c>
      <c r="M50" s="39">
        <v>349900</v>
      </c>
      <c r="N50" s="40">
        <f t="shared" si="2"/>
        <v>0.75</v>
      </c>
      <c r="O50" s="42">
        <f t="shared" si="0"/>
        <v>87475</v>
      </c>
      <c r="P50" s="40" t="str">
        <f t="shared" si="3"/>
        <v>PERCENTAGE</v>
      </c>
    </row>
    <row r="51" spans="1:16" s="31" customFormat="1" x14ac:dyDescent="0.25">
      <c r="A51" s="24" t="str">
        <f t="shared" si="1"/>
        <v>2024 JAN-JUN D75</v>
      </c>
      <c r="B51" s="7">
        <f t="shared" si="1"/>
        <v>46114</v>
      </c>
      <c r="C51" s="7">
        <f t="shared" si="1"/>
        <v>46120</v>
      </c>
      <c r="D51" s="24">
        <v>3280</v>
      </c>
      <c r="E51" s="24">
        <v>337</v>
      </c>
      <c r="F51" s="24">
        <v>4</v>
      </c>
      <c r="G51" s="37">
        <v>3</v>
      </c>
      <c r="H51" s="37">
        <v>81495</v>
      </c>
      <c r="I51" s="38" t="s">
        <v>1505</v>
      </c>
      <c r="J51" s="24">
        <v>15552066</v>
      </c>
      <c r="K51" s="37" t="s">
        <v>3552</v>
      </c>
      <c r="L51" s="37" t="s">
        <v>3554</v>
      </c>
      <c r="M51" s="39">
        <v>349900</v>
      </c>
      <c r="N51" s="40">
        <f t="shared" si="2"/>
        <v>0.75</v>
      </c>
      <c r="O51" s="42">
        <f t="shared" si="0"/>
        <v>87475</v>
      </c>
      <c r="P51" s="40" t="str">
        <f t="shared" si="3"/>
        <v>PERCENTAGE</v>
      </c>
    </row>
    <row r="52" spans="1:16" s="31" customFormat="1" x14ac:dyDescent="0.25">
      <c r="A52" s="24" t="str">
        <f t="shared" si="1"/>
        <v>2024 JAN-JUN D75</v>
      </c>
      <c r="B52" s="7">
        <f t="shared" ref="B52:C52" si="27">B51</f>
        <v>46114</v>
      </c>
      <c r="C52" s="7">
        <f t="shared" si="27"/>
        <v>46120</v>
      </c>
      <c r="D52" s="24">
        <v>3280</v>
      </c>
      <c r="E52" s="24">
        <v>337</v>
      </c>
      <c r="F52" s="24">
        <v>4</v>
      </c>
      <c r="G52" s="37">
        <v>3</v>
      </c>
      <c r="H52" s="37">
        <v>81495</v>
      </c>
      <c r="I52" s="38" t="s">
        <v>1505</v>
      </c>
      <c r="J52" s="24">
        <v>15552075</v>
      </c>
      <c r="K52" s="37" t="s">
        <v>3552</v>
      </c>
      <c r="L52" s="37" t="s">
        <v>3555</v>
      </c>
      <c r="M52" s="39">
        <v>349900</v>
      </c>
      <c r="N52" s="40">
        <f t="shared" si="2"/>
        <v>0.75</v>
      </c>
      <c r="O52" s="42">
        <f t="shared" si="0"/>
        <v>87475</v>
      </c>
      <c r="P52" s="40" t="str">
        <f t="shared" si="3"/>
        <v>PERCENTAGE</v>
      </c>
    </row>
    <row r="53" spans="1:16" s="31" customFormat="1" x14ac:dyDescent="0.25">
      <c r="A53" s="24" t="str">
        <f t="shared" si="1"/>
        <v>2024 JAN-JUN D75</v>
      </c>
      <c r="B53" s="7">
        <f t="shared" si="1"/>
        <v>46114</v>
      </c>
      <c r="C53" s="7">
        <f t="shared" si="1"/>
        <v>46120</v>
      </c>
      <c r="D53" s="24">
        <v>3280</v>
      </c>
      <c r="E53" s="24">
        <v>337</v>
      </c>
      <c r="F53" s="24">
        <v>4</v>
      </c>
      <c r="G53" s="37">
        <v>3</v>
      </c>
      <c r="H53" s="37">
        <v>81495</v>
      </c>
      <c r="I53" s="38" t="s">
        <v>1505</v>
      </c>
      <c r="J53" s="24">
        <v>15552084</v>
      </c>
      <c r="K53" s="37" t="s">
        <v>3552</v>
      </c>
      <c r="L53" s="37" t="s">
        <v>3556</v>
      </c>
      <c r="M53" s="39">
        <v>359900</v>
      </c>
      <c r="N53" s="40">
        <f t="shared" si="2"/>
        <v>0.75</v>
      </c>
      <c r="O53" s="42">
        <f t="shared" si="0"/>
        <v>89975</v>
      </c>
      <c r="P53" s="40" t="str">
        <f t="shared" si="3"/>
        <v>PERCENTAGE</v>
      </c>
    </row>
    <row r="54" spans="1:16" s="31" customFormat="1" x14ac:dyDescent="0.25">
      <c r="A54" s="24" t="str">
        <f t="shared" si="1"/>
        <v>2024 JAN-JUN D75</v>
      </c>
      <c r="B54" s="7">
        <f t="shared" ref="B54:C54" si="28">B53</f>
        <v>46114</v>
      </c>
      <c r="C54" s="7">
        <f t="shared" si="28"/>
        <v>46120</v>
      </c>
      <c r="D54" s="24">
        <v>3280</v>
      </c>
      <c r="E54" s="24">
        <v>337</v>
      </c>
      <c r="F54" s="24">
        <v>4</v>
      </c>
      <c r="G54" s="37">
        <v>3</v>
      </c>
      <c r="H54" s="37">
        <v>81495</v>
      </c>
      <c r="I54" s="38" t="s">
        <v>1505</v>
      </c>
      <c r="J54" s="24">
        <v>15552093</v>
      </c>
      <c r="K54" s="37" t="s">
        <v>3552</v>
      </c>
      <c r="L54" s="37" t="s">
        <v>3557</v>
      </c>
      <c r="M54" s="39">
        <v>359900</v>
      </c>
      <c r="N54" s="40">
        <f t="shared" si="2"/>
        <v>0.75</v>
      </c>
      <c r="O54" s="42">
        <f t="shared" si="0"/>
        <v>89975</v>
      </c>
      <c r="P54" s="40" t="str">
        <f t="shared" si="3"/>
        <v>PERCENTAGE</v>
      </c>
    </row>
    <row r="55" spans="1:16" s="31" customFormat="1" x14ac:dyDescent="0.25">
      <c r="A55" s="24" t="str">
        <f t="shared" si="1"/>
        <v>2024 JAN-JUN D75</v>
      </c>
      <c r="B55" s="7">
        <f t="shared" si="1"/>
        <v>46114</v>
      </c>
      <c r="C55" s="7">
        <f t="shared" si="1"/>
        <v>46120</v>
      </c>
      <c r="D55" s="24">
        <v>3280</v>
      </c>
      <c r="E55" s="24">
        <v>337</v>
      </c>
      <c r="F55" s="24">
        <v>4</v>
      </c>
      <c r="G55" s="37">
        <v>3</v>
      </c>
      <c r="H55" s="37">
        <v>81495</v>
      </c>
      <c r="I55" s="38" t="s">
        <v>1505</v>
      </c>
      <c r="J55" s="24">
        <v>15552100</v>
      </c>
      <c r="K55" s="37" t="s">
        <v>3552</v>
      </c>
      <c r="L55" s="37" t="s">
        <v>3558</v>
      </c>
      <c r="M55" s="39">
        <v>359900</v>
      </c>
      <c r="N55" s="40">
        <f t="shared" si="2"/>
        <v>0.75</v>
      </c>
      <c r="O55" s="42">
        <f t="shared" si="0"/>
        <v>89975</v>
      </c>
      <c r="P55" s="40" t="str">
        <f t="shared" si="3"/>
        <v>PERCENTAGE</v>
      </c>
    </row>
    <row r="56" spans="1:16" s="31" customFormat="1" x14ac:dyDescent="0.25">
      <c r="A56" s="24" t="str">
        <f t="shared" si="1"/>
        <v>2024 JAN-JUN D75</v>
      </c>
      <c r="B56" s="7">
        <f t="shared" ref="B56:C56" si="29">B55</f>
        <v>46114</v>
      </c>
      <c r="C56" s="7">
        <f t="shared" si="29"/>
        <v>46120</v>
      </c>
      <c r="D56" s="24">
        <v>3280</v>
      </c>
      <c r="E56" s="24">
        <v>337</v>
      </c>
      <c r="F56" s="24">
        <v>4</v>
      </c>
      <c r="G56" s="37">
        <v>3</v>
      </c>
      <c r="H56" s="37">
        <v>81495</v>
      </c>
      <c r="I56" s="38" t="s">
        <v>1505</v>
      </c>
      <c r="J56" s="24">
        <v>15552119</v>
      </c>
      <c r="K56" s="37" t="s">
        <v>3580</v>
      </c>
      <c r="L56" s="37" t="s">
        <v>3581</v>
      </c>
      <c r="M56" s="39">
        <v>349900</v>
      </c>
      <c r="N56" s="40">
        <f t="shared" si="2"/>
        <v>0.75</v>
      </c>
      <c r="O56" s="42">
        <f t="shared" si="0"/>
        <v>87475</v>
      </c>
      <c r="P56" s="40" t="str">
        <f t="shared" si="3"/>
        <v>PERCENTAGE</v>
      </c>
    </row>
    <row r="57" spans="1:16" s="31" customFormat="1" x14ac:dyDescent="0.25">
      <c r="A57" s="24" t="str">
        <f t="shared" si="1"/>
        <v>2024 JAN-JUN D75</v>
      </c>
      <c r="B57" s="7">
        <f t="shared" si="1"/>
        <v>46114</v>
      </c>
      <c r="C57" s="7">
        <f t="shared" si="1"/>
        <v>46120</v>
      </c>
      <c r="D57" s="24">
        <v>3280</v>
      </c>
      <c r="E57" s="24">
        <v>337</v>
      </c>
      <c r="F57" s="24">
        <v>4</v>
      </c>
      <c r="G57" s="37">
        <v>3</v>
      </c>
      <c r="H57" s="37">
        <v>81495</v>
      </c>
      <c r="I57" s="38" t="s">
        <v>1505</v>
      </c>
      <c r="J57" s="24">
        <v>15552128</v>
      </c>
      <c r="K57" s="37" t="s">
        <v>3580</v>
      </c>
      <c r="L57" s="37" t="s">
        <v>3582</v>
      </c>
      <c r="M57" s="39">
        <v>349900</v>
      </c>
      <c r="N57" s="40">
        <f t="shared" si="2"/>
        <v>0.75</v>
      </c>
      <c r="O57" s="42">
        <f t="shared" si="0"/>
        <v>87475</v>
      </c>
      <c r="P57" s="40" t="str">
        <f t="shared" si="3"/>
        <v>PERCENTAGE</v>
      </c>
    </row>
    <row r="58" spans="1:16" s="31" customFormat="1" x14ac:dyDescent="0.25">
      <c r="A58" s="24" t="str">
        <f t="shared" si="1"/>
        <v>2024 JAN-JUN D75</v>
      </c>
      <c r="B58" s="7">
        <f t="shared" ref="B58:C58" si="30">B57</f>
        <v>46114</v>
      </c>
      <c r="C58" s="7">
        <f t="shared" si="30"/>
        <v>46120</v>
      </c>
      <c r="D58" s="24">
        <v>3280</v>
      </c>
      <c r="E58" s="24">
        <v>337</v>
      </c>
      <c r="F58" s="24">
        <v>4</v>
      </c>
      <c r="G58" s="37">
        <v>3</v>
      </c>
      <c r="H58" s="37">
        <v>81495</v>
      </c>
      <c r="I58" s="38" t="s">
        <v>1505</v>
      </c>
      <c r="J58" s="24">
        <v>15552137</v>
      </c>
      <c r="K58" s="37" t="s">
        <v>3580</v>
      </c>
      <c r="L58" s="37" t="s">
        <v>3583</v>
      </c>
      <c r="M58" s="39">
        <v>349900</v>
      </c>
      <c r="N58" s="40">
        <f t="shared" si="2"/>
        <v>0.75</v>
      </c>
      <c r="O58" s="42">
        <f t="shared" si="0"/>
        <v>87475</v>
      </c>
      <c r="P58" s="40" t="str">
        <f t="shared" si="3"/>
        <v>PERCENTAGE</v>
      </c>
    </row>
    <row r="59" spans="1:16" s="31" customFormat="1" x14ac:dyDescent="0.25">
      <c r="A59" s="24" t="str">
        <f t="shared" si="1"/>
        <v>2024 JAN-JUN D75</v>
      </c>
      <c r="B59" s="7">
        <f t="shared" si="1"/>
        <v>46114</v>
      </c>
      <c r="C59" s="7">
        <f t="shared" si="1"/>
        <v>46120</v>
      </c>
      <c r="D59" s="24">
        <v>3280</v>
      </c>
      <c r="E59" s="24">
        <v>337</v>
      </c>
      <c r="F59" s="24">
        <v>4</v>
      </c>
      <c r="G59" s="37">
        <v>3</v>
      </c>
      <c r="H59" s="37">
        <v>81495</v>
      </c>
      <c r="I59" s="38" t="s">
        <v>1505</v>
      </c>
      <c r="J59" s="24">
        <v>15552146</v>
      </c>
      <c r="K59" s="37" t="s">
        <v>3580</v>
      </c>
      <c r="L59" s="37" t="s">
        <v>3584</v>
      </c>
      <c r="M59" s="39">
        <v>359900</v>
      </c>
      <c r="N59" s="40">
        <f t="shared" si="2"/>
        <v>0.75</v>
      </c>
      <c r="O59" s="42">
        <f t="shared" si="0"/>
        <v>89975</v>
      </c>
      <c r="P59" s="40" t="str">
        <f t="shared" si="3"/>
        <v>PERCENTAGE</v>
      </c>
    </row>
    <row r="60" spans="1:16" s="31" customFormat="1" x14ac:dyDescent="0.25">
      <c r="A60" s="24" t="str">
        <f t="shared" si="1"/>
        <v>2024 JAN-JUN D75</v>
      </c>
      <c r="B60" s="7">
        <f t="shared" ref="B60:C60" si="31">B59</f>
        <v>46114</v>
      </c>
      <c r="C60" s="7">
        <f t="shared" si="31"/>
        <v>46120</v>
      </c>
      <c r="D60" s="24">
        <v>3280</v>
      </c>
      <c r="E60" s="24">
        <v>337</v>
      </c>
      <c r="F60" s="24">
        <v>4</v>
      </c>
      <c r="G60" s="37">
        <v>3</v>
      </c>
      <c r="H60" s="37">
        <v>81495</v>
      </c>
      <c r="I60" s="38" t="s">
        <v>1505</v>
      </c>
      <c r="J60" s="24">
        <v>15552155</v>
      </c>
      <c r="K60" s="37" t="s">
        <v>3580</v>
      </c>
      <c r="L60" s="37" t="s">
        <v>3585</v>
      </c>
      <c r="M60" s="39">
        <v>359900</v>
      </c>
      <c r="N60" s="40">
        <f t="shared" si="2"/>
        <v>0.75</v>
      </c>
      <c r="O60" s="42">
        <f t="shared" si="0"/>
        <v>89975</v>
      </c>
      <c r="P60" s="40" t="str">
        <f t="shared" si="3"/>
        <v>PERCENTAGE</v>
      </c>
    </row>
    <row r="61" spans="1:16" s="31" customFormat="1" x14ac:dyDescent="0.25">
      <c r="A61" s="24" t="str">
        <f t="shared" si="1"/>
        <v>2024 JAN-JUN D75</v>
      </c>
      <c r="B61" s="7">
        <f t="shared" si="1"/>
        <v>46114</v>
      </c>
      <c r="C61" s="7">
        <f t="shared" si="1"/>
        <v>46120</v>
      </c>
      <c r="D61" s="24">
        <v>3280</v>
      </c>
      <c r="E61" s="24">
        <v>337</v>
      </c>
      <c r="F61" s="24">
        <v>4</v>
      </c>
      <c r="G61" s="37">
        <v>3</v>
      </c>
      <c r="H61" s="37">
        <v>81495</v>
      </c>
      <c r="I61" s="38" t="s">
        <v>1505</v>
      </c>
      <c r="J61" s="24">
        <v>15552164</v>
      </c>
      <c r="K61" s="37" t="s">
        <v>3580</v>
      </c>
      <c r="L61" s="37" t="s">
        <v>3586</v>
      </c>
      <c r="M61" s="39">
        <v>359900</v>
      </c>
      <c r="N61" s="40">
        <f t="shared" si="2"/>
        <v>0.75</v>
      </c>
      <c r="O61" s="42">
        <f t="shared" si="0"/>
        <v>89975</v>
      </c>
      <c r="P61" s="40" t="str">
        <f t="shared" si="3"/>
        <v>PERCENTAGE</v>
      </c>
    </row>
    <row r="62" spans="1:16" s="31" customFormat="1" x14ac:dyDescent="0.25">
      <c r="A62" s="24" t="str">
        <f t="shared" si="1"/>
        <v>2024 JAN-JUN D75</v>
      </c>
      <c r="B62" s="7">
        <f t="shared" ref="B62:C62" si="32">B61</f>
        <v>46114</v>
      </c>
      <c r="C62" s="7">
        <f t="shared" si="32"/>
        <v>46120</v>
      </c>
      <c r="D62" s="24">
        <v>3280</v>
      </c>
      <c r="E62" s="24">
        <v>337</v>
      </c>
      <c r="F62" s="24">
        <v>4</v>
      </c>
      <c r="G62" s="37">
        <v>3</v>
      </c>
      <c r="H62" s="37">
        <v>81495</v>
      </c>
      <c r="I62" s="38" t="s">
        <v>1505</v>
      </c>
      <c r="J62" s="24">
        <v>15552173</v>
      </c>
      <c r="K62" s="37" t="s">
        <v>3587</v>
      </c>
      <c r="L62" s="37" t="s">
        <v>3588</v>
      </c>
      <c r="M62" s="39">
        <v>349900</v>
      </c>
      <c r="N62" s="40">
        <f t="shared" si="2"/>
        <v>0.75</v>
      </c>
      <c r="O62" s="42">
        <f t="shared" si="0"/>
        <v>87475</v>
      </c>
      <c r="P62" s="40" t="str">
        <f t="shared" si="3"/>
        <v>PERCENTAGE</v>
      </c>
    </row>
    <row r="63" spans="1:16" s="31" customFormat="1" x14ac:dyDescent="0.25">
      <c r="A63" s="24" t="str">
        <f t="shared" si="1"/>
        <v>2024 JAN-JUN D75</v>
      </c>
      <c r="B63" s="7">
        <f t="shared" si="1"/>
        <v>46114</v>
      </c>
      <c r="C63" s="7">
        <f t="shared" si="1"/>
        <v>46120</v>
      </c>
      <c r="D63" s="24">
        <v>3280</v>
      </c>
      <c r="E63" s="24">
        <v>337</v>
      </c>
      <c r="F63" s="24">
        <v>4</v>
      </c>
      <c r="G63" s="37">
        <v>3</v>
      </c>
      <c r="H63" s="37">
        <v>81495</v>
      </c>
      <c r="I63" s="38" t="s">
        <v>1505</v>
      </c>
      <c r="J63" s="24">
        <v>15552182</v>
      </c>
      <c r="K63" s="37" t="s">
        <v>3587</v>
      </c>
      <c r="L63" s="37" t="s">
        <v>3641</v>
      </c>
      <c r="M63" s="39">
        <v>349900</v>
      </c>
      <c r="N63" s="40">
        <f t="shared" si="2"/>
        <v>0.75</v>
      </c>
      <c r="O63" s="42">
        <f t="shared" si="0"/>
        <v>87475</v>
      </c>
      <c r="P63" s="40" t="str">
        <f t="shared" si="3"/>
        <v>PERCENTAGE</v>
      </c>
    </row>
    <row r="64" spans="1:16" s="31" customFormat="1" x14ac:dyDescent="0.25">
      <c r="A64" s="24" t="str">
        <f t="shared" si="1"/>
        <v>2024 JAN-JUN D75</v>
      </c>
      <c r="B64" s="7">
        <f t="shared" ref="B64:C64" si="33">B63</f>
        <v>46114</v>
      </c>
      <c r="C64" s="7">
        <f t="shared" si="33"/>
        <v>46120</v>
      </c>
      <c r="D64" s="24">
        <v>3280</v>
      </c>
      <c r="E64" s="24">
        <v>337</v>
      </c>
      <c r="F64" s="24">
        <v>4</v>
      </c>
      <c r="G64" s="37">
        <v>3</v>
      </c>
      <c r="H64" s="37">
        <v>81495</v>
      </c>
      <c r="I64" s="38" t="s">
        <v>1505</v>
      </c>
      <c r="J64" s="24">
        <v>15552191</v>
      </c>
      <c r="K64" s="37" t="s">
        <v>3587</v>
      </c>
      <c r="L64" s="37" t="s">
        <v>3589</v>
      </c>
      <c r="M64" s="39">
        <v>349900</v>
      </c>
      <c r="N64" s="40">
        <f t="shared" si="2"/>
        <v>0.75</v>
      </c>
      <c r="O64" s="42">
        <f t="shared" si="0"/>
        <v>87475</v>
      </c>
      <c r="P64" s="40" t="str">
        <f t="shared" si="3"/>
        <v>PERCENTAGE</v>
      </c>
    </row>
    <row r="65" spans="1:16" s="31" customFormat="1" x14ac:dyDescent="0.25">
      <c r="A65" s="24" t="str">
        <f t="shared" si="1"/>
        <v>2024 JAN-JUN D75</v>
      </c>
      <c r="B65" s="7">
        <f t="shared" si="1"/>
        <v>46114</v>
      </c>
      <c r="C65" s="7">
        <f t="shared" si="1"/>
        <v>46120</v>
      </c>
      <c r="D65" s="24">
        <v>3280</v>
      </c>
      <c r="E65" s="24">
        <v>337</v>
      </c>
      <c r="F65" s="24">
        <v>4</v>
      </c>
      <c r="G65" s="37">
        <v>3</v>
      </c>
      <c r="H65" s="37">
        <v>81495</v>
      </c>
      <c r="I65" s="38" t="s">
        <v>1505</v>
      </c>
      <c r="J65" s="24">
        <v>15552208</v>
      </c>
      <c r="K65" s="37" t="s">
        <v>3587</v>
      </c>
      <c r="L65" s="37" t="s">
        <v>3590</v>
      </c>
      <c r="M65" s="39">
        <v>359900</v>
      </c>
      <c r="N65" s="40">
        <f t="shared" si="2"/>
        <v>0.75</v>
      </c>
      <c r="O65" s="42">
        <f t="shared" si="0"/>
        <v>89975</v>
      </c>
      <c r="P65" s="40" t="str">
        <f t="shared" si="3"/>
        <v>PERCENTAGE</v>
      </c>
    </row>
    <row r="66" spans="1:16" s="31" customFormat="1" x14ac:dyDescent="0.25">
      <c r="A66" s="24" t="str">
        <f t="shared" si="1"/>
        <v>2024 JAN-JUN D75</v>
      </c>
      <c r="B66" s="7">
        <f t="shared" ref="B66:C66" si="34">B65</f>
        <v>46114</v>
      </c>
      <c r="C66" s="7">
        <f t="shared" si="34"/>
        <v>46120</v>
      </c>
      <c r="D66" s="24">
        <v>3280</v>
      </c>
      <c r="E66" s="24">
        <v>337</v>
      </c>
      <c r="F66" s="24">
        <v>4</v>
      </c>
      <c r="G66" s="37">
        <v>3</v>
      </c>
      <c r="H66" s="37">
        <v>81495</v>
      </c>
      <c r="I66" s="38" t="s">
        <v>1505</v>
      </c>
      <c r="J66" s="24">
        <v>15552217</v>
      </c>
      <c r="K66" s="37" t="s">
        <v>3587</v>
      </c>
      <c r="L66" s="37" t="s">
        <v>3591</v>
      </c>
      <c r="M66" s="39">
        <v>359900</v>
      </c>
      <c r="N66" s="40">
        <f t="shared" si="2"/>
        <v>0.75</v>
      </c>
      <c r="O66" s="42">
        <f t="shared" si="0"/>
        <v>89975</v>
      </c>
      <c r="P66" s="40" t="str">
        <f t="shared" si="3"/>
        <v>PERCENTAGE</v>
      </c>
    </row>
    <row r="67" spans="1:16" s="31" customFormat="1" x14ac:dyDescent="0.25">
      <c r="A67" s="24" t="str">
        <f t="shared" si="1"/>
        <v>2024 JAN-JUN D75</v>
      </c>
      <c r="B67" s="7">
        <f t="shared" si="1"/>
        <v>46114</v>
      </c>
      <c r="C67" s="7">
        <f t="shared" si="1"/>
        <v>46120</v>
      </c>
      <c r="D67" s="24">
        <v>3280</v>
      </c>
      <c r="E67" s="24">
        <v>337</v>
      </c>
      <c r="F67" s="24">
        <v>4</v>
      </c>
      <c r="G67" s="37">
        <v>3</v>
      </c>
      <c r="H67" s="37">
        <v>81495</v>
      </c>
      <c r="I67" s="38" t="s">
        <v>1505</v>
      </c>
      <c r="J67" s="24">
        <v>15552226</v>
      </c>
      <c r="K67" s="37" t="s">
        <v>3587</v>
      </c>
      <c r="L67" s="37" t="s">
        <v>3649</v>
      </c>
      <c r="M67" s="39">
        <v>359900</v>
      </c>
      <c r="N67" s="40">
        <f t="shared" si="2"/>
        <v>0.75</v>
      </c>
      <c r="O67" s="42">
        <f t="shared" ref="O67:O130" si="35">M67-((75*M67)/100)</f>
        <v>89975</v>
      </c>
      <c r="P67" s="40" t="str">
        <f t="shared" si="3"/>
        <v>PERCENTAGE</v>
      </c>
    </row>
    <row r="68" spans="1:16" s="31" customFormat="1" x14ac:dyDescent="0.25">
      <c r="A68" s="24" t="str">
        <f t="shared" ref="A68:C131" si="36">A67</f>
        <v>2024 JAN-JUN D75</v>
      </c>
      <c r="B68" s="7">
        <f t="shared" si="36"/>
        <v>46114</v>
      </c>
      <c r="C68" s="7">
        <f t="shared" si="36"/>
        <v>46120</v>
      </c>
      <c r="D68" s="24">
        <v>3280</v>
      </c>
      <c r="E68" s="24">
        <v>337</v>
      </c>
      <c r="F68" s="24">
        <v>4</v>
      </c>
      <c r="G68" s="37">
        <v>3</v>
      </c>
      <c r="H68" s="37">
        <v>81495</v>
      </c>
      <c r="I68" s="38" t="s">
        <v>1505</v>
      </c>
      <c r="J68" s="24">
        <v>15552235</v>
      </c>
      <c r="K68" s="37" t="s">
        <v>3566</v>
      </c>
      <c r="L68" s="37" t="s">
        <v>3567</v>
      </c>
      <c r="M68" s="39">
        <v>349900</v>
      </c>
      <c r="N68" s="40">
        <f t="shared" ref="N68:N131" si="37">N67</f>
        <v>0.75</v>
      </c>
      <c r="O68" s="42">
        <f t="shared" si="35"/>
        <v>87475</v>
      </c>
      <c r="P68" s="40" t="str">
        <f t="shared" ref="P68:P131" si="38">P67</f>
        <v>PERCENTAGE</v>
      </c>
    </row>
    <row r="69" spans="1:16" s="31" customFormat="1" x14ac:dyDescent="0.25">
      <c r="A69" s="24" t="str">
        <f t="shared" si="36"/>
        <v>2024 JAN-JUN D75</v>
      </c>
      <c r="B69" s="7">
        <f t="shared" si="36"/>
        <v>46114</v>
      </c>
      <c r="C69" s="7">
        <f t="shared" si="36"/>
        <v>46120</v>
      </c>
      <c r="D69" s="24">
        <v>3280</v>
      </c>
      <c r="E69" s="24">
        <v>337</v>
      </c>
      <c r="F69" s="24">
        <v>4</v>
      </c>
      <c r="G69" s="37">
        <v>3</v>
      </c>
      <c r="H69" s="37">
        <v>81495</v>
      </c>
      <c r="I69" s="38" t="s">
        <v>1505</v>
      </c>
      <c r="J69" s="24">
        <v>15552244</v>
      </c>
      <c r="K69" s="37" t="s">
        <v>3566</v>
      </c>
      <c r="L69" s="37" t="s">
        <v>3568</v>
      </c>
      <c r="M69" s="39">
        <v>349900</v>
      </c>
      <c r="N69" s="40">
        <f t="shared" si="37"/>
        <v>0.75</v>
      </c>
      <c r="O69" s="42">
        <f t="shared" si="35"/>
        <v>87475</v>
      </c>
      <c r="P69" s="40" t="str">
        <f t="shared" si="38"/>
        <v>PERCENTAGE</v>
      </c>
    </row>
    <row r="70" spans="1:16" s="31" customFormat="1" x14ac:dyDescent="0.25">
      <c r="A70" s="24" t="str">
        <f t="shared" si="36"/>
        <v>2024 JAN-JUN D75</v>
      </c>
      <c r="B70" s="7">
        <f t="shared" si="36"/>
        <v>46114</v>
      </c>
      <c r="C70" s="7">
        <f t="shared" si="36"/>
        <v>46120</v>
      </c>
      <c r="D70" s="24">
        <v>3280</v>
      </c>
      <c r="E70" s="24">
        <v>337</v>
      </c>
      <c r="F70" s="24">
        <v>4</v>
      </c>
      <c r="G70" s="37">
        <v>3</v>
      </c>
      <c r="H70" s="37">
        <v>81495</v>
      </c>
      <c r="I70" s="38" t="s">
        <v>1505</v>
      </c>
      <c r="J70" s="24">
        <v>15552253</v>
      </c>
      <c r="K70" s="37" t="s">
        <v>3566</v>
      </c>
      <c r="L70" s="37" t="s">
        <v>3569</v>
      </c>
      <c r="M70" s="39">
        <v>349900</v>
      </c>
      <c r="N70" s="40">
        <f t="shared" si="37"/>
        <v>0.75</v>
      </c>
      <c r="O70" s="42">
        <f t="shared" si="35"/>
        <v>87475</v>
      </c>
      <c r="P70" s="40" t="str">
        <f t="shared" si="38"/>
        <v>PERCENTAGE</v>
      </c>
    </row>
    <row r="71" spans="1:16" s="31" customFormat="1" x14ac:dyDescent="0.25">
      <c r="A71" s="24" t="str">
        <f t="shared" si="36"/>
        <v>2024 JAN-JUN D75</v>
      </c>
      <c r="B71" s="7">
        <f t="shared" si="36"/>
        <v>46114</v>
      </c>
      <c r="C71" s="7">
        <f t="shared" si="36"/>
        <v>46120</v>
      </c>
      <c r="D71" s="24">
        <v>3280</v>
      </c>
      <c r="E71" s="24">
        <v>337</v>
      </c>
      <c r="F71" s="24">
        <v>4</v>
      </c>
      <c r="G71" s="37">
        <v>3</v>
      </c>
      <c r="H71" s="37">
        <v>81495</v>
      </c>
      <c r="I71" s="38" t="s">
        <v>1505</v>
      </c>
      <c r="J71" s="24">
        <v>15552262</v>
      </c>
      <c r="K71" s="37" t="s">
        <v>3566</v>
      </c>
      <c r="L71" s="37" t="s">
        <v>3570</v>
      </c>
      <c r="M71" s="39">
        <v>359900</v>
      </c>
      <c r="N71" s="40">
        <f t="shared" si="37"/>
        <v>0.75</v>
      </c>
      <c r="O71" s="42">
        <f t="shared" si="35"/>
        <v>89975</v>
      </c>
      <c r="P71" s="40" t="str">
        <f t="shared" si="38"/>
        <v>PERCENTAGE</v>
      </c>
    </row>
    <row r="72" spans="1:16" s="31" customFormat="1" x14ac:dyDescent="0.25">
      <c r="A72" s="24" t="str">
        <f t="shared" si="36"/>
        <v>2024 JAN-JUN D75</v>
      </c>
      <c r="B72" s="7">
        <f t="shared" si="36"/>
        <v>46114</v>
      </c>
      <c r="C72" s="7">
        <f t="shared" si="36"/>
        <v>46120</v>
      </c>
      <c r="D72" s="24">
        <v>3280</v>
      </c>
      <c r="E72" s="24">
        <v>337</v>
      </c>
      <c r="F72" s="24">
        <v>4</v>
      </c>
      <c r="G72" s="37">
        <v>3</v>
      </c>
      <c r="H72" s="37">
        <v>81495</v>
      </c>
      <c r="I72" s="38" t="s">
        <v>1505</v>
      </c>
      <c r="J72" s="24">
        <v>15552271</v>
      </c>
      <c r="K72" s="37" t="s">
        <v>3566</v>
      </c>
      <c r="L72" s="37" t="s">
        <v>3571</v>
      </c>
      <c r="M72" s="39">
        <v>359900</v>
      </c>
      <c r="N72" s="40">
        <f t="shared" si="37"/>
        <v>0.75</v>
      </c>
      <c r="O72" s="42">
        <f t="shared" si="35"/>
        <v>89975</v>
      </c>
      <c r="P72" s="40" t="str">
        <f t="shared" si="38"/>
        <v>PERCENTAGE</v>
      </c>
    </row>
    <row r="73" spans="1:16" s="31" customFormat="1" x14ac:dyDescent="0.25">
      <c r="A73" s="24" t="str">
        <f t="shared" si="36"/>
        <v>2024 JAN-JUN D75</v>
      </c>
      <c r="B73" s="7">
        <f t="shared" si="36"/>
        <v>46114</v>
      </c>
      <c r="C73" s="7">
        <f t="shared" si="36"/>
        <v>46120</v>
      </c>
      <c r="D73" s="24">
        <v>3280</v>
      </c>
      <c r="E73" s="24">
        <v>337</v>
      </c>
      <c r="F73" s="24">
        <v>4</v>
      </c>
      <c r="G73" s="37">
        <v>3</v>
      </c>
      <c r="H73" s="37">
        <v>81495</v>
      </c>
      <c r="I73" s="38" t="s">
        <v>1505</v>
      </c>
      <c r="J73" s="24">
        <v>15552280</v>
      </c>
      <c r="K73" s="37" t="s">
        <v>3566</v>
      </c>
      <c r="L73" s="37" t="s">
        <v>3572</v>
      </c>
      <c r="M73" s="39">
        <v>359900</v>
      </c>
      <c r="N73" s="40">
        <f t="shared" si="37"/>
        <v>0.75</v>
      </c>
      <c r="O73" s="42">
        <f t="shared" si="35"/>
        <v>89975</v>
      </c>
      <c r="P73" s="40" t="str">
        <f t="shared" si="38"/>
        <v>PERCENTAGE</v>
      </c>
    </row>
    <row r="74" spans="1:16" s="31" customFormat="1" x14ac:dyDescent="0.25">
      <c r="A74" s="24" t="str">
        <f t="shared" si="36"/>
        <v>2024 JAN-JUN D75</v>
      </c>
      <c r="B74" s="7">
        <f t="shared" si="36"/>
        <v>46114</v>
      </c>
      <c r="C74" s="7">
        <f t="shared" si="36"/>
        <v>46120</v>
      </c>
      <c r="D74" s="24">
        <v>3280</v>
      </c>
      <c r="E74" s="24">
        <v>337</v>
      </c>
      <c r="F74" s="24">
        <v>4</v>
      </c>
      <c r="G74" s="37">
        <v>3</v>
      </c>
      <c r="H74" s="37">
        <v>81495</v>
      </c>
      <c r="I74" s="38" t="s">
        <v>1505</v>
      </c>
      <c r="J74" s="24">
        <v>15552299</v>
      </c>
      <c r="K74" s="37" t="s">
        <v>3726</v>
      </c>
      <c r="L74" s="37" t="s">
        <v>3740</v>
      </c>
      <c r="M74" s="39">
        <v>349900</v>
      </c>
      <c r="N74" s="40">
        <f t="shared" si="37"/>
        <v>0.75</v>
      </c>
      <c r="O74" s="42">
        <f t="shared" si="35"/>
        <v>87475</v>
      </c>
      <c r="P74" s="40" t="str">
        <f t="shared" si="38"/>
        <v>PERCENTAGE</v>
      </c>
    </row>
    <row r="75" spans="1:16" s="31" customFormat="1" x14ac:dyDescent="0.25">
      <c r="A75" s="24" t="str">
        <f t="shared" si="36"/>
        <v>2024 JAN-JUN D75</v>
      </c>
      <c r="B75" s="7">
        <f t="shared" si="36"/>
        <v>46114</v>
      </c>
      <c r="C75" s="7">
        <f t="shared" si="36"/>
        <v>46120</v>
      </c>
      <c r="D75" s="24">
        <v>3280</v>
      </c>
      <c r="E75" s="24">
        <v>337</v>
      </c>
      <c r="F75" s="24">
        <v>4</v>
      </c>
      <c r="G75" s="37">
        <v>3</v>
      </c>
      <c r="H75" s="37">
        <v>81495</v>
      </c>
      <c r="I75" s="38" t="s">
        <v>1505</v>
      </c>
      <c r="J75" s="24">
        <v>15552306</v>
      </c>
      <c r="K75" s="37" t="s">
        <v>3726</v>
      </c>
      <c r="L75" s="37" t="s">
        <v>3727</v>
      </c>
      <c r="M75" s="39">
        <v>349900</v>
      </c>
      <c r="N75" s="40">
        <f t="shared" si="37"/>
        <v>0.75</v>
      </c>
      <c r="O75" s="42">
        <f t="shared" si="35"/>
        <v>87475</v>
      </c>
      <c r="P75" s="40" t="str">
        <f t="shared" si="38"/>
        <v>PERCENTAGE</v>
      </c>
    </row>
    <row r="76" spans="1:16" s="31" customFormat="1" x14ac:dyDescent="0.25">
      <c r="A76" s="24" t="str">
        <f t="shared" si="36"/>
        <v>2024 JAN-JUN D75</v>
      </c>
      <c r="B76" s="7">
        <f t="shared" si="36"/>
        <v>46114</v>
      </c>
      <c r="C76" s="7">
        <f t="shared" si="36"/>
        <v>46120</v>
      </c>
      <c r="D76" s="24">
        <v>3280</v>
      </c>
      <c r="E76" s="24">
        <v>337</v>
      </c>
      <c r="F76" s="24">
        <v>4</v>
      </c>
      <c r="G76" s="37">
        <v>3</v>
      </c>
      <c r="H76" s="37">
        <v>81495</v>
      </c>
      <c r="I76" s="38" t="s">
        <v>1505</v>
      </c>
      <c r="J76" s="24">
        <v>15552315</v>
      </c>
      <c r="K76" s="37" t="s">
        <v>3726</v>
      </c>
      <c r="L76" s="37" t="s">
        <v>3728</v>
      </c>
      <c r="M76" s="39">
        <v>349900</v>
      </c>
      <c r="N76" s="40">
        <f t="shared" si="37"/>
        <v>0.75</v>
      </c>
      <c r="O76" s="42">
        <f t="shared" si="35"/>
        <v>87475</v>
      </c>
      <c r="P76" s="40" t="str">
        <f t="shared" si="38"/>
        <v>PERCENTAGE</v>
      </c>
    </row>
    <row r="77" spans="1:16" s="31" customFormat="1" x14ac:dyDescent="0.25">
      <c r="A77" s="24" t="str">
        <f t="shared" si="36"/>
        <v>2024 JAN-JUN D75</v>
      </c>
      <c r="B77" s="7">
        <f t="shared" si="36"/>
        <v>46114</v>
      </c>
      <c r="C77" s="7">
        <f t="shared" si="36"/>
        <v>46120</v>
      </c>
      <c r="D77" s="24">
        <v>3280</v>
      </c>
      <c r="E77" s="24">
        <v>337</v>
      </c>
      <c r="F77" s="24">
        <v>4</v>
      </c>
      <c r="G77" s="37">
        <v>3</v>
      </c>
      <c r="H77" s="37">
        <v>81495</v>
      </c>
      <c r="I77" s="38" t="s">
        <v>1505</v>
      </c>
      <c r="J77" s="24">
        <v>15552324</v>
      </c>
      <c r="K77" s="37" t="s">
        <v>3726</v>
      </c>
      <c r="L77" s="37" t="s">
        <v>3729</v>
      </c>
      <c r="M77" s="39">
        <v>359900</v>
      </c>
      <c r="N77" s="40">
        <f t="shared" si="37"/>
        <v>0.75</v>
      </c>
      <c r="O77" s="42">
        <f t="shared" si="35"/>
        <v>89975</v>
      </c>
      <c r="P77" s="40" t="str">
        <f t="shared" si="38"/>
        <v>PERCENTAGE</v>
      </c>
    </row>
    <row r="78" spans="1:16" s="31" customFormat="1" x14ac:dyDescent="0.25">
      <c r="A78" s="24" t="str">
        <f t="shared" si="36"/>
        <v>2024 JAN-JUN D75</v>
      </c>
      <c r="B78" s="7">
        <f t="shared" si="36"/>
        <v>46114</v>
      </c>
      <c r="C78" s="7">
        <f t="shared" si="36"/>
        <v>46120</v>
      </c>
      <c r="D78" s="24">
        <v>3280</v>
      </c>
      <c r="E78" s="24">
        <v>337</v>
      </c>
      <c r="F78" s="24">
        <v>4</v>
      </c>
      <c r="G78" s="37">
        <v>3</v>
      </c>
      <c r="H78" s="37">
        <v>81495</v>
      </c>
      <c r="I78" s="38" t="s">
        <v>1505</v>
      </c>
      <c r="J78" s="24">
        <v>15552333</v>
      </c>
      <c r="K78" s="37" t="s">
        <v>3726</v>
      </c>
      <c r="L78" s="37" t="s">
        <v>3730</v>
      </c>
      <c r="M78" s="39">
        <v>359900</v>
      </c>
      <c r="N78" s="40">
        <f t="shared" si="37"/>
        <v>0.75</v>
      </c>
      <c r="O78" s="42">
        <f t="shared" si="35"/>
        <v>89975</v>
      </c>
      <c r="P78" s="40" t="str">
        <f t="shared" si="38"/>
        <v>PERCENTAGE</v>
      </c>
    </row>
    <row r="79" spans="1:16" s="31" customFormat="1" x14ac:dyDescent="0.25">
      <c r="A79" s="24" t="str">
        <f t="shared" si="36"/>
        <v>2024 JAN-JUN D75</v>
      </c>
      <c r="B79" s="7">
        <f t="shared" si="36"/>
        <v>46114</v>
      </c>
      <c r="C79" s="7">
        <f t="shared" si="36"/>
        <v>46120</v>
      </c>
      <c r="D79" s="24">
        <v>3280</v>
      </c>
      <c r="E79" s="24">
        <v>337</v>
      </c>
      <c r="F79" s="24">
        <v>4</v>
      </c>
      <c r="G79" s="37">
        <v>3</v>
      </c>
      <c r="H79" s="37">
        <v>81495</v>
      </c>
      <c r="I79" s="38" t="s">
        <v>1505</v>
      </c>
      <c r="J79" s="24">
        <v>15552342</v>
      </c>
      <c r="K79" s="37" t="s">
        <v>3726</v>
      </c>
      <c r="L79" s="37" t="s">
        <v>3731</v>
      </c>
      <c r="M79" s="39">
        <v>359900</v>
      </c>
      <c r="N79" s="40">
        <f t="shared" si="37"/>
        <v>0.75</v>
      </c>
      <c r="O79" s="42">
        <f t="shared" si="35"/>
        <v>89975</v>
      </c>
      <c r="P79" s="40" t="str">
        <f t="shared" si="38"/>
        <v>PERCENTAGE</v>
      </c>
    </row>
    <row r="80" spans="1:16" s="31" customFormat="1" x14ac:dyDescent="0.25">
      <c r="A80" s="24" t="str">
        <f t="shared" si="36"/>
        <v>2024 JAN-JUN D75</v>
      </c>
      <c r="B80" s="7">
        <f t="shared" si="36"/>
        <v>46114</v>
      </c>
      <c r="C80" s="7">
        <f t="shared" si="36"/>
        <v>46120</v>
      </c>
      <c r="D80" s="24">
        <v>3280</v>
      </c>
      <c r="E80" s="24">
        <v>337</v>
      </c>
      <c r="F80" s="24">
        <v>4</v>
      </c>
      <c r="G80" s="37">
        <v>3</v>
      </c>
      <c r="H80" s="37">
        <v>81495</v>
      </c>
      <c r="I80" s="38" t="s">
        <v>1505</v>
      </c>
      <c r="J80" s="24">
        <v>15552351</v>
      </c>
      <c r="K80" s="37" t="s">
        <v>3671</v>
      </c>
      <c r="L80" s="37" t="s">
        <v>3672</v>
      </c>
      <c r="M80" s="39">
        <v>349900</v>
      </c>
      <c r="N80" s="40">
        <f t="shared" si="37"/>
        <v>0.75</v>
      </c>
      <c r="O80" s="42">
        <f t="shared" si="35"/>
        <v>87475</v>
      </c>
      <c r="P80" s="40" t="str">
        <f t="shared" si="38"/>
        <v>PERCENTAGE</v>
      </c>
    </row>
    <row r="81" spans="1:16" s="31" customFormat="1" x14ac:dyDescent="0.25">
      <c r="A81" s="24" t="str">
        <f t="shared" si="36"/>
        <v>2024 JAN-JUN D75</v>
      </c>
      <c r="B81" s="7">
        <f t="shared" si="36"/>
        <v>46114</v>
      </c>
      <c r="C81" s="7">
        <f t="shared" si="36"/>
        <v>46120</v>
      </c>
      <c r="D81" s="24">
        <v>3280</v>
      </c>
      <c r="E81" s="24">
        <v>337</v>
      </c>
      <c r="F81" s="24">
        <v>4</v>
      </c>
      <c r="G81" s="37">
        <v>3</v>
      </c>
      <c r="H81" s="37">
        <v>81495</v>
      </c>
      <c r="I81" s="38" t="s">
        <v>1505</v>
      </c>
      <c r="J81" s="24">
        <v>15552360</v>
      </c>
      <c r="K81" s="37" t="s">
        <v>3671</v>
      </c>
      <c r="L81" s="37" t="s">
        <v>3673</v>
      </c>
      <c r="M81" s="39">
        <v>349900</v>
      </c>
      <c r="N81" s="40">
        <f t="shared" si="37"/>
        <v>0.75</v>
      </c>
      <c r="O81" s="42">
        <f t="shared" si="35"/>
        <v>87475</v>
      </c>
      <c r="P81" s="40" t="str">
        <f t="shared" si="38"/>
        <v>PERCENTAGE</v>
      </c>
    </row>
    <row r="82" spans="1:16" s="31" customFormat="1" x14ac:dyDescent="0.25">
      <c r="A82" s="24" t="str">
        <f t="shared" si="36"/>
        <v>2024 JAN-JUN D75</v>
      </c>
      <c r="B82" s="7">
        <f t="shared" si="36"/>
        <v>46114</v>
      </c>
      <c r="C82" s="7">
        <f t="shared" si="36"/>
        <v>46120</v>
      </c>
      <c r="D82" s="24">
        <v>3280</v>
      </c>
      <c r="E82" s="24">
        <v>337</v>
      </c>
      <c r="F82" s="24">
        <v>4</v>
      </c>
      <c r="G82" s="37">
        <v>3</v>
      </c>
      <c r="H82" s="37">
        <v>81495</v>
      </c>
      <c r="I82" s="38" t="s">
        <v>1505</v>
      </c>
      <c r="J82" s="24">
        <v>15552379</v>
      </c>
      <c r="K82" s="37" t="s">
        <v>3671</v>
      </c>
      <c r="L82" s="37" t="s">
        <v>3674</v>
      </c>
      <c r="M82" s="39">
        <v>349900</v>
      </c>
      <c r="N82" s="40">
        <f t="shared" si="37"/>
        <v>0.75</v>
      </c>
      <c r="O82" s="42">
        <f t="shared" si="35"/>
        <v>87475</v>
      </c>
      <c r="P82" s="40" t="str">
        <f t="shared" si="38"/>
        <v>PERCENTAGE</v>
      </c>
    </row>
    <row r="83" spans="1:16" s="31" customFormat="1" x14ac:dyDescent="0.25">
      <c r="A83" s="24" t="str">
        <f t="shared" si="36"/>
        <v>2024 JAN-JUN D75</v>
      </c>
      <c r="B83" s="7">
        <f t="shared" si="36"/>
        <v>46114</v>
      </c>
      <c r="C83" s="7">
        <f t="shared" si="36"/>
        <v>46120</v>
      </c>
      <c r="D83" s="24">
        <v>3280</v>
      </c>
      <c r="E83" s="24">
        <v>337</v>
      </c>
      <c r="F83" s="24">
        <v>4</v>
      </c>
      <c r="G83" s="37">
        <v>3</v>
      </c>
      <c r="H83" s="37">
        <v>81495</v>
      </c>
      <c r="I83" s="38" t="s">
        <v>1505</v>
      </c>
      <c r="J83" s="24">
        <v>15552388</v>
      </c>
      <c r="K83" s="37" t="s">
        <v>3671</v>
      </c>
      <c r="L83" s="37" t="s">
        <v>3675</v>
      </c>
      <c r="M83" s="39">
        <v>359900</v>
      </c>
      <c r="N83" s="40">
        <f t="shared" si="37"/>
        <v>0.75</v>
      </c>
      <c r="O83" s="42">
        <f t="shared" si="35"/>
        <v>89975</v>
      </c>
      <c r="P83" s="40" t="str">
        <f t="shared" si="38"/>
        <v>PERCENTAGE</v>
      </c>
    </row>
    <row r="84" spans="1:16" s="31" customFormat="1" x14ac:dyDescent="0.25">
      <c r="A84" s="24" t="str">
        <f t="shared" si="36"/>
        <v>2024 JAN-JUN D75</v>
      </c>
      <c r="B84" s="7">
        <f t="shared" si="36"/>
        <v>46114</v>
      </c>
      <c r="C84" s="7">
        <f t="shared" si="36"/>
        <v>46120</v>
      </c>
      <c r="D84" s="24">
        <v>3280</v>
      </c>
      <c r="E84" s="24">
        <v>337</v>
      </c>
      <c r="F84" s="24">
        <v>4</v>
      </c>
      <c r="G84" s="37">
        <v>3</v>
      </c>
      <c r="H84" s="37">
        <v>81495</v>
      </c>
      <c r="I84" s="38" t="s">
        <v>1505</v>
      </c>
      <c r="J84" s="24">
        <v>15552397</v>
      </c>
      <c r="K84" s="37" t="s">
        <v>3671</v>
      </c>
      <c r="L84" s="37" t="s">
        <v>3676</v>
      </c>
      <c r="M84" s="39">
        <v>359900</v>
      </c>
      <c r="N84" s="40">
        <f t="shared" si="37"/>
        <v>0.75</v>
      </c>
      <c r="O84" s="42">
        <f t="shared" si="35"/>
        <v>89975</v>
      </c>
      <c r="P84" s="40" t="str">
        <f t="shared" si="38"/>
        <v>PERCENTAGE</v>
      </c>
    </row>
    <row r="85" spans="1:16" s="31" customFormat="1" x14ac:dyDescent="0.25">
      <c r="A85" s="24" t="str">
        <f t="shared" si="36"/>
        <v>2024 JAN-JUN D75</v>
      </c>
      <c r="B85" s="7">
        <f t="shared" si="36"/>
        <v>46114</v>
      </c>
      <c r="C85" s="7">
        <f t="shared" si="36"/>
        <v>46120</v>
      </c>
      <c r="D85" s="24">
        <v>3280</v>
      </c>
      <c r="E85" s="24">
        <v>337</v>
      </c>
      <c r="F85" s="24">
        <v>4</v>
      </c>
      <c r="G85" s="37">
        <v>3</v>
      </c>
      <c r="H85" s="37">
        <v>81495</v>
      </c>
      <c r="I85" s="38" t="s">
        <v>1505</v>
      </c>
      <c r="J85" s="24">
        <v>15552404</v>
      </c>
      <c r="K85" s="37" t="s">
        <v>3671</v>
      </c>
      <c r="L85" s="37" t="s">
        <v>3677</v>
      </c>
      <c r="M85" s="39">
        <v>359900</v>
      </c>
      <c r="N85" s="40">
        <f t="shared" si="37"/>
        <v>0.75</v>
      </c>
      <c r="O85" s="42">
        <f t="shared" si="35"/>
        <v>89975</v>
      </c>
      <c r="P85" s="40" t="str">
        <f t="shared" si="38"/>
        <v>PERCENTAGE</v>
      </c>
    </row>
    <row r="86" spans="1:16" s="31" customFormat="1" x14ac:dyDescent="0.25">
      <c r="A86" s="24" t="str">
        <f t="shared" si="36"/>
        <v>2024 JAN-JUN D75</v>
      </c>
      <c r="B86" s="7">
        <f t="shared" si="36"/>
        <v>46114</v>
      </c>
      <c r="C86" s="7">
        <f t="shared" si="36"/>
        <v>46120</v>
      </c>
      <c r="D86" s="24">
        <v>3280</v>
      </c>
      <c r="E86" s="24">
        <v>337</v>
      </c>
      <c r="F86" s="24">
        <v>4</v>
      </c>
      <c r="G86" s="37">
        <v>3</v>
      </c>
      <c r="H86" s="37">
        <v>81495</v>
      </c>
      <c r="I86" s="38" t="s">
        <v>1505</v>
      </c>
      <c r="J86" s="24">
        <v>15552413</v>
      </c>
      <c r="K86" s="37" t="s">
        <v>3559</v>
      </c>
      <c r="L86" s="37" t="s">
        <v>3560</v>
      </c>
      <c r="M86" s="39">
        <v>299900</v>
      </c>
      <c r="N86" s="40">
        <f t="shared" si="37"/>
        <v>0.75</v>
      </c>
      <c r="O86" s="42">
        <f t="shared" si="35"/>
        <v>74975</v>
      </c>
      <c r="P86" s="40" t="str">
        <f t="shared" si="38"/>
        <v>PERCENTAGE</v>
      </c>
    </row>
    <row r="87" spans="1:16" s="31" customFormat="1" x14ac:dyDescent="0.25">
      <c r="A87" s="24" t="str">
        <f t="shared" si="36"/>
        <v>2024 JAN-JUN D75</v>
      </c>
      <c r="B87" s="7">
        <f t="shared" si="36"/>
        <v>46114</v>
      </c>
      <c r="C87" s="7">
        <f t="shared" si="36"/>
        <v>46120</v>
      </c>
      <c r="D87" s="24">
        <v>3280</v>
      </c>
      <c r="E87" s="24">
        <v>337</v>
      </c>
      <c r="F87" s="24">
        <v>4</v>
      </c>
      <c r="G87" s="37">
        <v>3</v>
      </c>
      <c r="H87" s="37">
        <v>81495</v>
      </c>
      <c r="I87" s="38" t="s">
        <v>1505</v>
      </c>
      <c r="J87" s="24">
        <v>15552422</v>
      </c>
      <c r="K87" s="37" t="s">
        <v>3559</v>
      </c>
      <c r="L87" s="37" t="s">
        <v>3561</v>
      </c>
      <c r="M87" s="39">
        <v>299900</v>
      </c>
      <c r="N87" s="40">
        <f t="shared" si="37"/>
        <v>0.75</v>
      </c>
      <c r="O87" s="42">
        <f t="shared" si="35"/>
        <v>74975</v>
      </c>
      <c r="P87" s="40" t="str">
        <f t="shared" si="38"/>
        <v>PERCENTAGE</v>
      </c>
    </row>
    <row r="88" spans="1:16" s="31" customFormat="1" x14ac:dyDescent="0.25">
      <c r="A88" s="24" t="str">
        <f t="shared" si="36"/>
        <v>2024 JAN-JUN D75</v>
      </c>
      <c r="B88" s="7">
        <f t="shared" si="36"/>
        <v>46114</v>
      </c>
      <c r="C88" s="7">
        <f t="shared" si="36"/>
        <v>46120</v>
      </c>
      <c r="D88" s="24">
        <v>3280</v>
      </c>
      <c r="E88" s="24">
        <v>337</v>
      </c>
      <c r="F88" s="24">
        <v>4</v>
      </c>
      <c r="G88" s="37">
        <v>3</v>
      </c>
      <c r="H88" s="37">
        <v>81495</v>
      </c>
      <c r="I88" s="38" t="s">
        <v>1505</v>
      </c>
      <c r="J88" s="24">
        <v>15552431</v>
      </c>
      <c r="K88" s="37" t="s">
        <v>3559</v>
      </c>
      <c r="L88" s="37" t="s">
        <v>3562</v>
      </c>
      <c r="M88" s="39">
        <v>299900</v>
      </c>
      <c r="N88" s="40">
        <f t="shared" si="37"/>
        <v>0.75</v>
      </c>
      <c r="O88" s="42">
        <f t="shared" si="35"/>
        <v>74975</v>
      </c>
      <c r="P88" s="40" t="str">
        <f t="shared" si="38"/>
        <v>PERCENTAGE</v>
      </c>
    </row>
    <row r="89" spans="1:16" s="31" customFormat="1" x14ac:dyDescent="0.25">
      <c r="A89" s="24" t="str">
        <f t="shared" si="36"/>
        <v>2024 JAN-JUN D75</v>
      </c>
      <c r="B89" s="7">
        <f t="shared" si="36"/>
        <v>46114</v>
      </c>
      <c r="C89" s="7">
        <f t="shared" si="36"/>
        <v>46120</v>
      </c>
      <c r="D89" s="24">
        <v>3280</v>
      </c>
      <c r="E89" s="24">
        <v>337</v>
      </c>
      <c r="F89" s="24">
        <v>4</v>
      </c>
      <c r="G89" s="37">
        <v>3</v>
      </c>
      <c r="H89" s="37">
        <v>81495</v>
      </c>
      <c r="I89" s="38" t="s">
        <v>1505</v>
      </c>
      <c r="J89" s="24">
        <v>15552440</v>
      </c>
      <c r="K89" s="37" t="s">
        <v>3559</v>
      </c>
      <c r="L89" s="37" t="s">
        <v>3563</v>
      </c>
      <c r="M89" s="39">
        <v>299900</v>
      </c>
      <c r="N89" s="40">
        <f t="shared" si="37"/>
        <v>0.75</v>
      </c>
      <c r="O89" s="42">
        <f t="shared" si="35"/>
        <v>74975</v>
      </c>
      <c r="P89" s="40" t="str">
        <f t="shared" si="38"/>
        <v>PERCENTAGE</v>
      </c>
    </row>
    <row r="90" spans="1:16" s="31" customFormat="1" x14ac:dyDescent="0.25">
      <c r="A90" s="24" t="str">
        <f t="shared" si="36"/>
        <v>2024 JAN-JUN D75</v>
      </c>
      <c r="B90" s="7">
        <f t="shared" si="36"/>
        <v>46114</v>
      </c>
      <c r="C90" s="7">
        <f t="shared" si="36"/>
        <v>46120</v>
      </c>
      <c r="D90" s="24">
        <v>3280</v>
      </c>
      <c r="E90" s="24">
        <v>337</v>
      </c>
      <c r="F90" s="24">
        <v>4</v>
      </c>
      <c r="G90" s="37">
        <v>3</v>
      </c>
      <c r="H90" s="37">
        <v>81495</v>
      </c>
      <c r="I90" s="38" t="s">
        <v>1505</v>
      </c>
      <c r="J90" s="24">
        <v>15552459</v>
      </c>
      <c r="K90" s="37" t="s">
        <v>3559</v>
      </c>
      <c r="L90" s="37" t="s">
        <v>3564</v>
      </c>
      <c r="M90" s="39">
        <v>299900</v>
      </c>
      <c r="N90" s="40">
        <f t="shared" si="37"/>
        <v>0.75</v>
      </c>
      <c r="O90" s="42">
        <f t="shared" si="35"/>
        <v>74975</v>
      </c>
      <c r="P90" s="40" t="str">
        <f t="shared" si="38"/>
        <v>PERCENTAGE</v>
      </c>
    </row>
    <row r="91" spans="1:16" s="31" customFormat="1" x14ac:dyDescent="0.25">
      <c r="A91" s="24" t="str">
        <f t="shared" si="36"/>
        <v>2024 JAN-JUN D75</v>
      </c>
      <c r="B91" s="7">
        <f t="shared" si="36"/>
        <v>46114</v>
      </c>
      <c r="C91" s="7">
        <f t="shared" si="36"/>
        <v>46120</v>
      </c>
      <c r="D91" s="24">
        <v>3280</v>
      </c>
      <c r="E91" s="24">
        <v>337</v>
      </c>
      <c r="F91" s="24">
        <v>4</v>
      </c>
      <c r="G91" s="37">
        <v>3</v>
      </c>
      <c r="H91" s="37">
        <v>81495</v>
      </c>
      <c r="I91" s="38" t="s">
        <v>1505</v>
      </c>
      <c r="J91" s="24">
        <v>15552468</v>
      </c>
      <c r="K91" s="37" t="s">
        <v>3559</v>
      </c>
      <c r="L91" s="37" t="s">
        <v>3565</v>
      </c>
      <c r="M91" s="39">
        <v>299900</v>
      </c>
      <c r="N91" s="40">
        <f t="shared" si="37"/>
        <v>0.75</v>
      </c>
      <c r="O91" s="42">
        <f t="shared" si="35"/>
        <v>74975</v>
      </c>
      <c r="P91" s="40" t="str">
        <f t="shared" si="38"/>
        <v>PERCENTAGE</v>
      </c>
    </row>
    <row r="92" spans="1:16" s="31" customFormat="1" x14ac:dyDescent="0.25">
      <c r="A92" s="24" t="str">
        <f t="shared" si="36"/>
        <v>2024 JAN-JUN D75</v>
      </c>
      <c r="B92" s="7">
        <f t="shared" si="36"/>
        <v>46114</v>
      </c>
      <c r="C92" s="7">
        <f t="shared" si="36"/>
        <v>46120</v>
      </c>
      <c r="D92" s="24">
        <v>3280</v>
      </c>
      <c r="E92" s="24">
        <v>337</v>
      </c>
      <c r="F92" s="24">
        <v>4</v>
      </c>
      <c r="G92" s="37">
        <v>3</v>
      </c>
      <c r="H92" s="37">
        <v>81495</v>
      </c>
      <c r="I92" s="38" t="s">
        <v>1505</v>
      </c>
      <c r="J92" s="24">
        <v>15552477</v>
      </c>
      <c r="K92" s="37" t="s">
        <v>3698</v>
      </c>
      <c r="L92" s="37" t="s">
        <v>3715</v>
      </c>
      <c r="M92" s="39">
        <v>299900</v>
      </c>
      <c r="N92" s="40">
        <f t="shared" si="37"/>
        <v>0.75</v>
      </c>
      <c r="O92" s="42">
        <f t="shared" si="35"/>
        <v>74975</v>
      </c>
      <c r="P92" s="40" t="str">
        <f t="shared" si="38"/>
        <v>PERCENTAGE</v>
      </c>
    </row>
    <row r="93" spans="1:16" s="31" customFormat="1" x14ac:dyDescent="0.25">
      <c r="A93" s="24" t="str">
        <f t="shared" si="36"/>
        <v>2024 JAN-JUN D75</v>
      </c>
      <c r="B93" s="7">
        <f t="shared" si="36"/>
        <v>46114</v>
      </c>
      <c r="C93" s="7">
        <f t="shared" si="36"/>
        <v>46120</v>
      </c>
      <c r="D93" s="24">
        <v>3280</v>
      </c>
      <c r="E93" s="24">
        <v>337</v>
      </c>
      <c r="F93" s="24">
        <v>4</v>
      </c>
      <c r="G93" s="37">
        <v>3</v>
      </c>
      <c r="H93" s="37">
        <v>81495</v>
      </c>
      <c r="I93" s="38" t="s">
        <v>1505</v>
      </c>
      <c r="J93" s="24">
        <v>15552486</v>
      </c>
      <c r="K93" s="37" t="s">
        <v>3698</v>
      </c>
      <c r="L93" s="37" t="s">
        <v>3716</v>
      </c>
      <c r="M93" s="39">
        <v>299900</v>
      </c>
      <c r="N93" s="40">
        <f t="shared" si="37"/>
        <v>0.75</v>
      </c>
      <c r="O93" s="42">
        <f t="shared" si="35"/>
        <v>74975</v>
      </c>
      <c r="P93" s="40" t="str">
        <f t="shared" si="38"/>
        <v>PERCENTAGE</v>
      </c>
    </row>
    <row r="94" spans="1:16" s="31" customFormat="1" x14ac:dyDescent="0.25">
      <c r="A94" s="24" t="str">
        <f t="shared" si="36"/>
        <v>2024 JAN-JUN D75</v>
      </c>
      <c r="B94" s="7">
        <f t="shared" si="36"/>
        <v>46114</v>
      </c>
      <c r="C94" s="7">
        <f t="shared" si="36"/>
        <v>46120</v>
      </c>
      <c r="D94" s="24">
        <v>3280</v>
      </c>
      <c r="E94" s="24">
        <v>337</v>
      </c>
      <c r="F94" s="24">
        <v>4</v>
      </c>
      <c r="G94" s="37">
        <v>3</v>
      </c>
      <c r="H94" s="37">
        <v>81495</v>
      </c>
      <c r="I94" s="38" t="s">
        <v>1505</v>
      </c>
      <c r="J94" s="24">
        <v>15552495</v>
      </c>
      <c r="K94" s="37" t="s">
        <v>3698</v>
      </c>
      <c r="L94" s="37" t="s">
        <v>3699</v>
      </c>
      <c r="M94" s="39">
        <v>299900</v>
      </c>
      <c r="N94" s="40">
        <f t="shared" si="37"/>
        <v>0.75</v>
      </c>
      <c r="O94" s="42">
        <f t="shared" si="35"/>
        <v>74975</v>
      </c>
      <c r="P94" s="40" t="str">
        <f t="shared" si="38"/>
        <v>PERCENTAGE</v>
      </c>
    </row>
    <row r="95" spans="1:16" s="31" customFormat="1" x14ac:dyDescent="0.25">
      <c r="A95" s="24" t="str">
        <f t="shared" si="36"/>
        <v>2024 JAN-JUN D75</v>
      </c>
      <c r="B95" s="7">
        <f t="shared" si="36"/>
        <v>46114</v>
      </c>
      <c r="C95" s="7">
        <f t="shared" si="36"/>
        <v>46120</v>
      </c>
      <c r="D95" s="24">
        <v>3280</v>
      </c>
      <c r="E95" s="24">
        <v>337</v>
      </c>
      <c r="F95" s="24">
        <v>4</v>
      </c>
      <c r="G95" s="37">
        <v>3</v>
      </c>
      <c r="H95" s="37">
        <v>81495</v>
      </c>
      <c r="I95" s="38" t="s">
        <v>1505</v>
      </c>
      <c r="J95" s="24">
        <v>15552502</v>
      </c>
      <c r="K95" s="37" t="s">
        <v>3698</v>
      </c>
      <c r="L95" s="37" t="s">
        <v>3717</v>
      </c>
      <c r="M95" s="39">
        <v>299900</v>
      </c>
      <c r="N95" s="40">
        <f t="shared" si="37"/>
        <v>0.75</v>
      </c>
      <c r="O95" s="42">
        <f t="shared" si="35"/>
        <v>74975</v>
      </c>
      <c r="P95" s="40" t="str">
        <f t="shared" si="38"/>
        <v>PERCENTAGE</v>
      </c>
    </row>
    <row r="96" spans="1:16" s="31" customFormat="1" x14ac:dyDescent="0.25">
      <c r="A96" s="24" t="str">
        <f t="shared" si="36"/>
        <v>2024 JAN-JUN D75</v>
      </c>
      <c r="B96" s="7">
        <f t="shared" si="36"/>
        <v>46114</v>
      </c>
      <c r="C96" s="7">
        <f t="shared" si="36"/>
        <v>46120</v>
      </c>
      <c r="D96" s="24">
        <v>3280</v>
      </c>
      <c r="E96" s="24">
        <v>337</v>
      </c>
      <c r="F96" s="24">
        <v>4</v>
      </c>
      <c r="G96" s="37">
        <v>3</v>
      </c>
      <c r="H96" s="37">
        <v>81495</v>
      </c>
      <c r="I96" s="38" t="s">
        <v>1505</v>
      </c>
      <c r="J96" s="24">
        <v>15552511</v>
      </c>
      <c r="K96" s="37" t="s">
        <v>3698</v>
      </c>
      <c r="L96" s="37" t="s">
        <v>3700</v>
      </c>
      <c r="M96" s="39">
        <v>299900</v>
      </c>
      <c r="N96" s="40">
        <f t="shared" si="37"/>
        <v>0.75</v>
      </c>
      <c r="O96" s="42">
        <f t="shared" si="35"/>
        <v>74975</v>
      </c>
      <c r="P96" s="40" t="str">
        <f t="shared" si="38"/>
        <v>PERCENTAGE</v>
      </c>
    </row>
    <row r="97" spans="1:16" s="31" customFormat="1" x14ac:dyDescent="0.25">
      <c r="A97" s="24" t="str">
        <f t="shared" si="36"/>
        <v>2024 JAN-JUN D75</v>
      </c>
      <c r="B97" s="7">
        <f t="shared" si="36"/>
        <v>46114</v>
      </c>
      <c r="C97" s="7">
        <f t="shared" si="36"/>
        <v>46120</v>
      </c>
      <c r="D97" s="24">
        <v>3280</v>
      </c>
      <c r="E97" s="24">
        <v>337</v>
      </c>
      <c r="F97" s="24">
        <v>4</v>
      </c>
      <c r="G97" s="37">
        <v>3</v>
      </c>
      <c r="H97" s="37">
        <v>81495</v>
      </c>
      <c r="I97" s="38" t="s">
        <v>1505</v>
      </c>
      <c r="J97" s="24">
        <v>15552520</v>
      </c>
      <c r="K97" s="37" t="s">
        <v>3698</v>
      </c>
      <c r="L97" s="37" t="s">
        <v>3718</v>
      </c>
      <c r="M97" s="39">
        <v>299900</v>
      </c>
      <c r="N97" s="40">
        <f t="shared" si="37"/>
        <v>0.75</v>
      </c>
      <c r="O97" s="42">
        <f t="shared" si="35"/>
        <v>74975</v>
      </c>
      <c r="P97" s="40" t="str">
        <f t="shared" si="38"/>
        <v>PERCENTAGE</v>
      </c>
    </row>
    <row r="98" spans="1:16" s="31" customFormat="1" x14ac:dyDescent="0.25">
      <c r="A98" s="24" t="str">
        <f t="shared" si="36"/>
        <v>2024 JAN-JUN D75</v>
      </c>
      <c r="B98" s="7">
        <f t="shared" si="36"/>
        <v>46114</v>
      </c>
      <c r="C98" s="7">
        <f t="shared" si="36"/>
        <v>46120</v>
      </c>
      <c r="D98" s="24">
        <v>3280</v>
      </c>
      <c r="E98" s="24">
        <v>337</v>
      </c>
      <c r="F98" s="24">
        <v>4</v>
      </c>
      <c r="G98" s="24">
        <v>3</v>
      </c>
      <c r="H98" s="24">
        <v>81490</v>
      </c>
      <c r="I98" s="38" t="s">
        <v>1505</v>
      </c>
      <c r="J98" s="24">
        <v>15552539</v>
      </c>
      <c r="K98" s="24" t="s">
        <v>3701</v>
      </c>
      <c r="L98" s="24" t="s">
        <v>3702</v>
      </c>
      <c r="M98" s="41">
        <v>349900</v>
      </c>
      <c r="N98" s="40">
        <f t="shared" si="37"/>
        <v>0.75</v>
      </c>
      <c r="O98" s="42">
        <f t="shared" si="35"/>
        <v>87475</v>
      </c>
      <c r="P98" s="40" t="str">
        <f t="shared" si="38"/>
        <v>PERCENTAGE</v>
      </c>
    </row>
    <row r="99" spans="1:16" s="31" customFormat="1" x14ac:dyDescent="0.25">
      <c r="A99" s="24" t="str">
        <f t="shared" si="36"/>
        <v>2024 JAN-JUN D75</v>
      </c>
      <c r="B99" s="7">
        <f t="shared" si="36"/>
        <v>46114</v>
      </c>
      <c r="C99" s="7">
        <f t="shared" si="36"/>
        <v>46120</v>
      </c>
      <c r="D99" s="24">
        <v>3280</v>
      </c>
      <c r="E99" s="24">
        <v>337</v>
      </c>
      <c r="F99" s="24">
        <v>4</v>
      </c>
      <c r="G99" s="24">
        <v>3</v>
      </c>
      <c r="H99" s="24">
        <v>81490</v>
      </c>
      <c r="I99" s="38" t="s">
        <v>1505</v>
      </c>
      <c r="J99" s="24">
        <v>15552548</v>
      </c>
      <c r="K99" s="24" t="s">
        <v>3701</v>
      </c>
      <c r="L99" s="24" t="s">
        <v>3703</v>
      </c>
      <c r="M99" s="41">
        <v>349900</v>
      </c>
      <c r="N99" s="40">
        <f t="shared" si="37"/>
        <v>0.75</v>
      </c>
      <c r="O99" s="42">
        <f t="shared" si="35"/>
        <v>87475</v>
      </c>
      <c r="P99" s="40" t="str">
        <f t="shared" si="38"/>
        <v>PERCENTAGE</v>
      </c>
    </row>
    <row r="100" spans="1:16" s="31" customFormat="1" x14ac:dyDescent="0.25">
      <c r="A100" s="24" t="str">
        <f t="shared" si="36"/>
        <v>2024 JAN-JUN D75</v>
      </c>
      <c r="B100" s="7">
        <f t="shared" si="36"/>
        <v>46114</v>
      </c>
      <c r="C100" s="7">
        <f t="shared" si="36"/>
        <v>46120</v>
      </c>
      <c r="D100" s="24">
        <v>3280</v>
      </c>
      <c r="E100" s="24">
        <v>337</v>
      </c>
      <c r="F100" s="24">
        <v>4</v>
      </c>
      <c r="G100" s="24">
        <v>3</v>
      </c>
      <c r="H100" s="24">
        <v>81490</v>
      </c>
      <c r="I100" s="38" t="s">
        <v>1505</v>
      </c>
      <c r="J100" s="24">
        <v>15552557</v>
      </c>
      <c r="K100" s="24" t="s">
        <v>3701</v>
      </c>
      <c r="L100" s="24" t="s">
        <v>3704</v>
      </c>
      <c r="M100" s="41">
        <v>349900</v>
      </c>
      <c r="N100" s="40">
        <f t="shared" si="37"/>
        <v>0.75</v>
      </c>
      <c r="O100" s="42">
        <f t="shared" si="35"/>
        <v>87475</v>
      </c>
      <c r="P100" s="40" t="str">
        <f t="shared" si="38"/>
        <v>PERCENTAGE</v>
      </c>
    </row>
    <row r="101" spans="1:16" s="31" customFormat="1" x14ac:dyDescent="0.25">
      <c r="A101" s="24" t="str">
        <f t="shared" si="36"/>
        <v>2024 JAN-JUN D75</v>
      </c>
      <c r="B101" s="7">
        <f t="shared" si="36"/>
        <v>46114</v>
      </c>
      <c r="C101" s="7">
        <f t="shared" si="36"/>
        <v>46120</v>
      </c>
      <c r="D101" s="24">
        <v>3280</v>
      </c>
      <c r="E101" s="24">
        <v>337</v>
      </c>
      <c r="F101" s="24">
        <v>4</v>
      </c>
      <c r="G101" s="24">
        <v>3</v>
      </c>
      <c r="H101" s="24">
        <v>81490</v>
      </c>
      <c r="I101" s="38" t="s">
        <v>1505</v>
      </c>
      <c r="J101" s="24">
        <v>15552566</v>
      </c>
      <c r="K101" s="24" t="s">
        <v>3701</v>
      </c>
      <c r="L101" s="24" t="s">
        <v>3705</v>
      </c>
      <c r="M101" s="41">
        <v>359900</v>
      </c>
      <c r="N101" s="40">
        <f t="shared" si="37"/>
        <v>0.75</v>
      </c>
      <c r="O101" s="42">
        <f t="shared" si="35"/>
        <v>89975</v>
      </c>
      <c r="P101" s="40" t="str">
        <f t="shared" si="38"/>
        <v>PERCENTAGE</v>
      </c>
    </row>
    <row r="102" spans="1:16" s="31" customFormat="1" x14ac:dyDescent="0.25">
      <c r="A102" s="24" t="str">
        <f t="shared" si="36"/>
        <v>2024 JAN-JUN D75</v>
      </c>
      <c r="B102" s="7">
        <f t="shared" si="36"/>
        <v>46114</v>
      </c>
      <c r="C102" s="7">
        <f t="shared" si="36"/>
        <v>46120</v>
      </c>
      <c r="D102" s="24">
        <v>3280</v>
      </c>
      <c r="E102" s="24">
        <v>337</v>
      </c>
      <c r="F102" s="24">
        <v>4</v>
      </c>
      <c r="G102" s="24">
        <v>3</v>
      </c>
      <c r="H102" s="24">
        <v>81490</v>
      </c>
      <c r="I102" s="38" t="s">
        <v>1505</v>
      </c>
      <c r="J102" s="24">
        <v>15552575</v>
      </c>
      <c r="K102" s="24" t="s">
        <v>3701</v>
      </c>
      <c r="L102" s="24" t="s">
        <v>3706</v>
      </c>
      <c r="M102" s="41">
        <v>359900</v>
      </c>
      <c r="N102" s="40">
        <f t="shared" si="37"/>
        <v>0.75</v>
      </c>
      <c r="O102" s="42">
        <f t="shared" si="35"/>
        <v>89975</v>
      </c>
      <c r="P102" s="40" t="str">
        <f t="shared" si="38"/>
        <v>PERCENTAGE</v>
      </c>
    </row>
    <row r="103" spans="1:16" s="31" customFormat="1" x14ac:dyDescent="0.25">
      <c r="A103" s="24" t="str">
        <f t="shared" si="36"/>
        <v>2024 JAN-JUN D75</v>
      </c>
      <c r="B103" s="7">
        <f t="shared" si="36"/>
        <v>46114</v>
      </c>
      <c r="C103" s="7">
        <f t="shared" si="36"/>
        <v>46120</v>
      </c>
      <c r="D103" s="24">
        <v>3280</v>
      </c>
      <c r="E103" s="24">
        <v>337</v>
      </c>
      <c r="F103" s="24">
        <v>4</v>
      </c>
      <c r="G103" s="24">
        <v>3</v>
      </c>
      <c r="H103" s="24">
        <v>81490</v>
      </c>
      <c r="I103" s="38" t="s">
        <v>1505</v>
      </c>
      <c r="J103" s="24">
        <v>15552584</v>
      </c>
      <c r="K103" s="24" t="s">
        <v>3701</v>
      </c>
      <c r="L103" s="24" t="s">
        <v>3707</v>
      </c>
      <c r="M103" s="41">
        <v>359900</v>
      </c>
      <c r="N103" s="40">
        <f t="shared" si="37"/>
        <v>0.75</v>
      </c>
      <c r="O103" s="42">
        <f t="shared" si="35"/>
        <v>89975</v>
      </c>
      <c r="P103" s="40" t="str">
        <f t="shared" si="38"/>
        <v>PERCENTAGE</v>
      </c>
    </row>
    <row r="104" spans="1:16" s="31" customFormat="1" x14ac:dyDescent="0.25">
      <c r="A104" s="24" t="str">
        <f t="shared" si="36"/>
        <v>2024 JAN-JUN D75</v>
      </c>
      <c r="B104" s="7">
        <f t="shared" si="36"/>
        <v>46114</v>
      </c>
      <c r="C104" s="7">
        <f t="shared" si="36"/>
        <v>46120</v>
      </c>
      <c r="D104" s="24">
        <v>3280</v>
      </c>
      <c r="E104" s="24">
        <v>337</v>
      </c>
      <c r="F104" s="24">
        <v>4</v>
      </c>
      <c r="G104" s="24">
        <v>3</v>
      </c>
      <c r="H104" s="24">
        <v>81490</v>
      </c>
      <c r="I104" s="38" t="s">
        <v>1505</v>
      </c>
      <c r="J104" s="24">
        <v>15552593</v>
      </c>
      <c r="K104" s="24" t="s">
        <v>3685</v>
      </c>
      <c r="L104" s="24" t="s">
        <v>3739</v>
      </c>
      <c r="M104" s="41">
        <v>349900</v>
      </c>
      <c r="N104" s="40">
        <f t="shared" si="37"/>
        <v>0.75</v>
      </c>
      <c r="O104" s="42">
        <f t="shared" si="35"/>
        <v>87475</v>
      </c>
      <c r="P104" s="40" t="str">
        <f t="shared" si="38"/>
        <v>PERCENTAGE</v>
      </c>
    </row>
    <row r="105" spans="1:16" s="31" customFormat="1" x14ac:dyDescent="0.25">
      <c r="A105" s="24" t="str">
        <f t="shared" si="36"/>
        <v>2024 JAN-JUN D75</v>
      </c>
      <c r="B105" s="7">
        <f t="shared" si="36"/>
        <v>46114</v>
      </c>
      <c r="C105" s="7">
        <f t="shared" si="36"/>
        <v>46120</v>
      </c>
      <c r="D105" s="24">
        <v>3280</v>
      </c>
      <c r="E105" s="24">
        <v>337</v>
      </c>
      <c r="F105" s="24">
        <v>4</v>
      </c>
      <c r="G105" s="24">
        <v>3</v>
      </c>
      <c r="H105" s="24">
        <v>81490</v>
      </c>
      <c r="I105" s="38" t="s">
        <v>1505</v>
      </c>
      <c r="J105" s="24">
        <v>15552600</v>
      </c>
      <c r="K105" s="24" t="s">
        <v>3685</v>
      </c>
      <c r="L105" s="24" t="s">
        <v>3686</v>
      </c>
      <c r="M105" s="41">
        <v>349900</v>
      </c>
      <c r="N105" s="40">
        <f t="shared" si="37"/>
        <v>0.75</v>
      </c>
      <c r="O105" s="42">
        <f t="shared" si="35"/>
        <v>87475</v>
      </c>
      <c r="P105" s="40" t="str">
        <f t="shared" si="38"/>
        <v>PERCENTAGE</v>
      </c>
    </row>
    <row r="106" spans="1:16" s="31" customFormat="1" x14ac:dyDescent="0.25">
      <c r="A106" s="24" t="str">
        <f t="shared" si="36"/>
        <v>2024 JAN-JUN D75</v>
      </c>
      <c r="B106" s="7">
        <f t="shared" si="36"/>
        <v>46114</v>
      </c>
      <c r="C106" s="7">
        <f t="shared" si="36"/>
        <v>46120</v>
      </c>
      <c r="D106" s="24">
        <v>3280</v>
      </c>
      <c r="E106" s="24">
        <v>337</v>
      </c>
      <c r="F106" s="24">
        <v>4</v>
      </c>
      <c r="G106" s="24">
        <v>3</v>
      </c>
      <c r="H106" s="24">
        <v>81490</v>
      </c>
      <c r="I106" s="38" t="s">
        <v>1505</v>
      </c>
      <c r="J106" s="24">
        <v>15552619</v>
      </c>
      <c r="K106" s="24" t="s">
        <v>3685</v>
      </c>
      <c r="L106" s="24" t="s">
        <v>3687</v>
      </c>
      <c r="M106" s="41">
        <v>349900</v>
      </c>
      <c r="N106" s="40">
        <f t="shared" si="37"/>
        <v>0.75</v>
      </c>
      <c r="O106" s="42">
        <f t="shared" si="35"/>
        <v>87475</v>
      </c>
      <c r="P106" s="40" t="str">
        <f t="shared" si="38"/>
        <v>PERCENTAGE</v>
      </c>
    </row>
    <row r="107" spans="1:16" s="31" customFormat="1" x14ac:dyDescent="0.25">
      <c r="A107" s="24" t="str">
        <f t="shared" si="36"/>
        <v>2024 JAN-JUN D75</v>
      </c>
      <c r="B107" s="7">
        <f t="shared" si="36"/>
        <v>46114</v>
      </c>
      <c r="C107" s="7">
        <f t="shared" si="36"/>
        <v>46120</v>
      </c>
      <c r="D107" s="24">
        <v>3280</v>
      </c>
      <c r="E107" s="24">
        <v>337</v>
      </c>
      <c r="F107" s="24">
        <v>4</v>
      </c>
      <c r="G107" s="24">
        <v>3</v>
      </c>
      <c r="H107" s="24">
        <v>81490</v>
      </c>
      <c r="I107" s="38" t="s">
        <v>1505</v>
      </c>
      <c r="J107" s="24">
        <v>15552628</v>
      </c>
      <c r="K107" s="24" t="s">
        <v>3685</v>
      </c>
      <c r="L107" s="24" t="s">
        <v>3688</v>
      </c>
      <c r="M107" s="41">
        <v>359900</v>
      </c>
      <c r="N107" s="40">
        <f t="shared" si="37"/>
        <v>0.75</v>
      </c>
      <c r="O107" s="42">
        <f t="shared" si="35"/>
        <v>89975</v>
      </c>
      <c r="P107" s="40" t="str">
        <f t="shared" si="38"/>
        <v>PERCENTAGE</v>
      </c>
    </row>
    <row r="108" spans="1:16" s="31" customFormat="1" x14ac:dyDescent="0.25">
      <c r="A108" s="24" t="str">
        <f t="shared" si="36"/>
        <v>2024 JAN-JUN D75</v>
      </c>
      <c r="B108" s="7">
        <f t="shared" si="36"/>
        <v>46114</v>
      </c>
      <c r="C108" s="7">
        <f t="shared" si="36"/>
        <v>46120</v>
      </c>
      <c r="D108" s="24">
        <v>3280</v>
      </c>
      <c r="E108" s="24">
        <v>337</v>
      </c>
      <c r="F108" s="24">
        <v>4</v>
      </c>
      <c r="G108" s="24">
        <v>3</v>
      </c>
      <c r="H108" s="24">
        <v>81490</v>
      </c>
      <c r="I108" s="38" t="s">
        <v>1505</v>
      </c>
      <c r="J108" s="24">
        <v>15552637</v>
      </c>
      <c r="K108" s="24" t="s">
        <v>3685</v>
      </c>
      <c r="L108" s="24" t="s">
        <v>3689</v>
      </c>
      <c r="M108" s="41">
        <v>359900</v>
      </c>
      <c r="N108" s="40">
        <f t="shared" si="37"/>
        <v>0.75</v>
      </c>
      <c r="O108" s="42">
        <f t="shared" si="35"/>
        <v>89975</v>
      </c>
      <c r="P108" s="40" t="str">
        <f t="shared" si="38"/>
        <v>PERCENTAGE</v>
      </c>
    </row>
    <row r="109" spans="1:16" s="31" customFormat="1" x14ac:dyDescent="0.25">
      <c r="A109" s="24" t="str">
        <f t="shared" si="36"/>
        <v>2024 JAN-JUN D75</v>
      </c>
      <c r="B109" s="7">
        <f t="shared" si="36"/>
        <v>46114</v>
      </c>
      <c r="C109" s="7">
        <f t="shared" si="36"/>
        <v>46120</v>
      </c>
      <c r="D109" s="24">
        <v>3280</v>
      </c>
      <c r="E109" s="24">
        <v>337</v>
      </c>
      <c r="F109" s="24">
        <v>4</v>
      </c>
      <c r="G109" s="24">
        <v>3</v>
      </c>
      <c r="H109" s="24">
        <v>81490</v>
      </c>
      <c r="I109" s="38" t="s">
        <v>1505</v>
      </c>
      <c r="J109" s="24">
        <v>15552646</v>
      </c>
      <c r="K109" s="24" t="s">
        <v>3685</v>
      </c>
      <c r="L109" s="24" t="s">
        <v>3690</v>
      </c>
      <c r="M109" s="41">
        <v>359900</v>
      </c>
      <c r="N109" s="40">
        <f t="shared" si="37"/>
        <v>0.75</v>
      </c>
      <c r="O109" s="42">
        <f t="shared" si="35"/>
        <v>89975</v>
      </c>
      <c r="P109" s="40" t="str">
        <f t="shared" si="38"/>
        <v>PERCENTAGE</v>
      </c>
    </row>
    <row r="110" spans="1:16" s="31" customFormat="1" x14ac:dyDescent="0.25">
      <c r="A110" s="24" t="str">
        <f t="shared" si="36"/>
        <v>2024 JAN-JUN D75</v>
      </c>
      <c r="B110" s="7">
        <f t="shared" si="36"/>
        <v>46114</v>
      </c>
      <c r="C110" s="7">
        <f t="shared" si="36"/>
        <v>46120</v>
      </c>
      <c r="D110" s="24">
        <v>3280</v>
      </c>
      <c r="E110" s="24">
        <v>337</v>
      </c>
      <c r="F110" s="24">
        <v>4</v>
      </c>
      <c r="G110" s="24">
        <v>3</v>
      </c>
      <c r="H110" s="24">
        <v>81490</v>
      </c>
      <c r="I110" s="38" t="s">
        <v>1505</v>
      </c>
      <c r="J110" s="24">
        <v>15552655</v>
      </c>
      <c r="K110" s="24" t="s">
        <v>3592</v>
      </c>
      <c r="L110" s="24" t="s">
        <v>3593</v>
      </c>
      <c r="M110" s="41">
        <v>349900</v>
      </c>
      <c r="N110" s="40">
        <f t="shared" si="37"/>
        <v>0.75</v>
      </c>
      <c r="O110" s="42">
        <f t="shared" si="35"/>
        <v>87475</v>
      </c>
      <c r="P110" s="40" t="str">
        <f t="shared" si="38"/>
        <v>PERCENTAGE</v>
      </c>
    </row>
    <row r="111" spans="1:16" s="31" customFormat="1" x14ac:dyDescent="0.25">
      <c r="A111" s="24" t="str">
        <f t="shared" si="36"/>
        <v>2024 JAN-JUN D75</v>
      </c>
      <c r="B111" s="7">
        <f t="shared" si="36"/>
        <v>46114</v>
      </c>
      <c r="C111" s="7">
        <f t="shared" si="36"/>
        <v>46120</v>
      </c>
      <c r="D111" s="24">
        <v>3280</v>
      </c>
      <c r="E111" s="24">
        <v>337</v>
      </c>
      <c r="F111" s="24">
        <v>4</v>
      </c>
      <c r="G111" s="24">
        <v>3</v>
      </c>
      <c r="H111" s="24">
        <v>81490</v>
      </c>
      <c r="I111" s="38" t="s">
        <v>1505</v>
      </c>
      <c r="J111" s="24">
        <v>15552664</v>
      </c>
      <c r="K111" s="24" t="s">
        <v>3592</v>
      </c>
      <c r="L111" s="24" t="s">
        <v>3594</v>
      </c>
      <c r="M111" s="41">
        <v>349900</v>
      </c>
      <c r="N111" s="40">
        <f t="shared" si="37"/>
        <v>0.75</v>
      </c>
      <c r="O111" s="42">
        <f t="shared" si="35"/>
        <v>87475</v>
      </c>
      <c r="P111" s="40" t="str">
        <f t="shared" si="38"/>
        <v>PERCENTAGE</v>
      </c>
    </row>
    <row r="112" spans="1:16" s="31" customFormat="1" x14ac:dyDescent="0.25">
      <c r="A112" s="24" t="str">
        <f t="shared" si="36"/>
        <v>2024 JAN-JUN D75</v>
      </c>
      <c r="B112" s="7">
        <f t="shared" si="36"/>
        <v>46114</v>
      </c>
      <c r="C112" s="7">
        <f t="shared" si="36"/>
        <v>46120</v>
      </c>
      <c r="D112" s="24">
        <v>3280</v>
      </c>
      <c r="E112" s="24">
        <v>337</v>
      </c>
      <c r="F112" s="24">
        <v>4</v>
      </c>
      <c r="G112" s="24">
        <v>3</v>
      </c>
      <c r="H112" s="24">
        <v>81490</v>
      </c>
      <c r="I112" s="38" t="s">
        <v>1505</v>
      </c>
      <c r="J112" s="24">
        <v>15552673</v>
      </c>
      <c r="K112" s="24" t="s">
        <v>3592</v>
      </c>
      <c r="L112" s="24" t="s">
        <v>3595</v>
      </c>
      <c r="M112" s="41">
        <v>349900</v>
      </c>
      <c r="N112" s="40">
        <f t="shared" si="37"/>
        <v>0.75</v>
      </c>
      <c r="O112" s="42">
        <f t="shared" si="35"/>
        <v>87475</v>
      </c>
      <c r="P112" s="40" t="str">
        <f t="shared" si="38"/>
        <v>PERCENTAGE</v>
      </c>
    </row>
    <row r="113" spans="1:16" s="31" customFormat="1" x14ac:dyDescent="0.25">
      <c r="A113" s="24" t="str">
        <f t="shared" si="36"/>
        <v>2024 JAN-JUN D75</v>
      </c>
      <c r="B113" s="7">
        <f t="shared" si="36"/>
        <v>46114</v>
      </c>
      <c r="C113" s="7">
        <f t="shared" si="36"/>
        <v>46120</v>
      </c>
      <c r="D113" s="24">
        <v>3280</v>
      </c>
      <c r="E113" s="24">
        <v>337</v>
      </c>
      <c r="F113" s="24">
        <v>4</v>
      </c>
      <c r="G113" s="24">
        <v>3</v>
      </c>
      <c r="H113" s="24">
        <v>81490</v>
      </c>
      <c r="I113" s="38" t="s">
        <v>1505</v>
      </c>
      <c r="J113" s="24">
        <v>15552682</v>
      </c>
      <c r="K113" s="24" t="s">
        <v>3592</v>
      </c>
      <c r="L113" s="24" t="s">
        <v>3596</v>
      </c>
      <c r="M113" s="41">
        <v>359900</v>
      </c>
      <c r="N113" s="40">
        <f t="shared" si="37"/>
        <v>0.75</v>
      </c>
      <c r="O113" s="42">
        <f t="shared" si="35"/>
        <v>89975</v>
      </c>
      <c r="P113" s="40" t="str">
        <f t="shared" si="38"/>
        <v>PERCENTAGE</v>
      </c>
    </row>
    <row r="114" spans="1:16" s="31" customFormat="1" x14ac:dyDescent="0.25">
      <c r="A114" s="24" t="str">
        <f t="shared" si="36"/>
        <v>2024 JAN-JUN D75</v>
      </c>
      <c r="B114" s="7">
        <f t="shared" si="36"/>
        <v>46114</v>
      </c>
      <c r="C114" s="7">
        <f t="shared" si="36"/>
        <v>46120</v>
      </c>
      <c r="D114" s="24">
        <v>3280</v>
      </c>
      <c r="E114" s="24">
        <v>337</v>
      </c>
      <c r="F114" s="24">
        <v>4</v>
      </c>
      <c r="G114" s="24">
        <v>3</v>
      </c>
      <c r="H114" s="24">
        <v>81490</v>
      </c>
      <c r="I114" s="38" t="s">
        <v>1505</v>
      </c>
      <c r="J114" s="24">
        <v>15552691</v>
      </c>
      <c r="K114" s="24" t="s">
        <v>3592</v>
      </c>
      <c r="L114" s="24" t="s">
        <v>3597</v>
      </c>
      <c r="M114" s="41">
        <v>359900</v>
      </c>
      <c r="N114" s="40">
        <f t="shared" si="37"/>
        <v>0.75</v>
      </c>
      <c r="O114" s="42">
        <f t="shared" si="35"/>
        <v>89975</v>
      </c>
      <c r="P114" s="40" t="str">
        <f t="shared" si="38"/>
        <v>PERCENTAGE</v>
      </c>
    </row>
    <row r="115" spans="1:16" s="31" customFormat="1" x14ac:dyDescent="0.25">
      <c r="A115" s="24" t="str">
        <f t="shared" si="36"/>
        <v>2024 JAN-JUN D75</v>
      </c>
      <c r="B115" s="7">
        <f t="shared" si="36"/>
        <v>46114</v>
      </c>
      <c r="C115" s="7">
        <f t="shared" si="36"/>
        <v>46120</v>
      </c>
      <c r="D115" s="24">
        <v>3280</v>
      </c>
      <c r="E115" s="24">
        <v>337</v>
      </c>
      <c r="F115" s="24">
        <v>4</v>
      </c>
      <c r="G115" s="24">
        <v>3</v>
      </c>
      <c r="H115" s="24">
        <v>81490</v>
      </c>
      <c r="I115" s="38" t="s">
        <v>1505</v>
      </c>
      <c r="J115" s="24">
        <v>15552708</v>
      </c>
      <c r="K115" s="24" t="s">
        <v>3592</v>
      </c>
      <c r="L115" s="24" t="s">
        <v>3598</v>
      </c>
      <c r="M115" s="41">
        <v>359900</v>
      </c>
      <c r="N115" s="40">
        <f t="shared" si="37"/>
        <v>0.75</v>
      </c>
      <c r="O115" s="42">
        <f t="shared" si="35"/>
        <v>89975</v>
      </c>
      <c r="P115" s="40" t="str">
        <f t="shared" si="38"/>
        <v>PERCENTAGE</v>
      </c>
    </row>
    <row r="116" spans="1:16" s="31" customFormat="1" x14ac:dyDescent="0.25">
      <c r="A116" s="24" t="str">
        <f t="shared" si="36"/>
        <v>2024 JAN-JUN D75</v>
      </c>
      <c r="B116" s="7">
        <f t="shared" si="36"/>
        <v>46114</v>
      </c>
      <c r="C116" s="7">
        <f t="shared" si="36"/>
        <v>46120</v>
      </c>
      <c r="D116" s="24">
        <v>3280</v>
      </c>
      <c r="E116" s="24">
        <v>337</v>
      </c>
      <c r="F116" s="24">
        <v>4</v>
      </c>
      <c r="G116" s="24">
        <v>3</v>
      </c>
      <c r="H116" s="24">
        <v>81490</v>
      </c>
      <c r="I116" s="38" t="s">
        <v>1505</v>
      </c>
      <c r="J116" s="24">
        <v>15552771</v>
      </c>
      <c r="K116" s="24" t="s">
        <v>3613</v>
      </c>
      <c r="L116" s="24" t="s">
        <v>3614</v>
      </c>
      <c r="M116" s="41">
        <v>349900</v>
      </c>
      <c r="N116" s="40">
        <f t="shared" si="37"/>
        <v>0.75</v>
      </c>
      <c r="O116" s="42">
        <f t="shared" si="35"/>
        <v>87475</v>
      </c>
      <c r="P116" s="40" t="str">
        <f t="shared" si="38"/>
        <v>PERCENTAGE</v>
      </c>
    </row>
    <row r="117" spans="1:16" s="31" customFormat="1" x14ac:dyDescent="0.25">
      <c r="A117" s="24" t="str">
        <f t="shared" si="36"/>
        <v>2024 JAN-JUN D75</v>
      </c>
      <c r="B117" s="7">
        <f t="shared" si="36"/>
        <v>46114</v>
      </c>
      <c r="C117" s="7">
        <f t="shared" si="36"/>
        <v>46120</v>
      </c>
      <c r="D117" s="24">
        <v>3280</v>
      </c>
      <c r="E117" s="24">
        <v>337</v>
      </c>
      <c r="F117" s="24">
        <v>4</v>
      </c>
      <c r="G117" s="24">
        <v>3</v>
      </c>
      <c r="H117" s="24">
        <v>81490</v>
      </c>
      <c r="I117" s="38" t="s">
        <v>1505</v>
      </c>
      <c r="J117" s="24">
        <v>15552780</v>
      </c>
      <c r="K117" s="24" t="s">
        <v>3613</v>
      </c>
      <c r="L117" s="24" t="s">
        <v>3615</v>
      </c>
      <c r="M117" s="41">
        <v>349900</v>
      </c>
      <c r="N117" s="40">
        <f t="shared" si="37"/>
        <v>0.75</v>
      </c>
      <c r="O117" s="42">
        <f t="shared" si="35"/>
        <v>87475</v>
      </c>
      <c r="P117" s="40" t="str">
        <f t="shared" si="38"/>
        <v>PERCENTAGE</v>
      </c>
    </row>
    <row r="118" spans="1:16" s="31" customFormat="1" x14ac:dyDescent="0.25">
      <c r="A118" s="24" t="str">
        <f t="shared" si="36"/>
        <v>2024 JAN-JUN D75</v>
      </c>
      <c r="B118" s="7">
        <f t="shared" si="36"/>
        <v>46114</v>
      </c>
      <c r="C118" s="7">
        <f t="shared" si="36"/>
        <v>46120</v>
      </c>
      <c r="D118" s="24">
        <v>3280</v>
      </c>
      <c r="E118" s="24">
        <v>337</v>
      </c>
      <c r="F118" s="24">
        <v>4</v>
      </c>
      <c r="G118" s="24">
        <v>3</v>
      </c>
      <c r="H118" s="24">
        <v>81490</v>
      </c>
      <c r="I118" s="38" t="s">
        <v>1505</v>
      </c>
      <c r="J118" s="24">
        <v>15552799</v>
      </c>
      <c r="K118" s="24" t="s">
        <v>3613</v>
      </c>
      <c r="L118" s="24" t="s">
        <v>3616</v>
      </c>
      <c r="M118" s="41">
        <v>349900</v>
      </c>
      <c r="N118" s="40">
        <f t="shared" si="37"/>
        <v>0.75</v>
      </c>
      <c r="O118" s="42">
        <f t="shared" si="35"/>
        <v>87475</v>
      </c>
      <c r="P118" s="40" t="str">
        <f t="shared" si="38"/>
        <v>PERCENTAGE</v>
      </c>
    </row>
    <row r="119" spans="1:16" s="31" customFormat="1" x14ac:dyDescent="0.25">
      <c r="A119" s="24" t="str">
        <f t="shared" si="36"/>
        <v>2024 JAN-JUN D75</v>
      </c>
      <c r="B119" s="7">
        <f t="shared" si="36"/>
        <v>46114</v>
      </c>
      <c r="C119" s="7">
        <f t="shared" si="36"/>
        <v>46120</v>
      </c>
      <c r="D119" s="24">
        <v>3280</v>
      </c>
      <c r="E119" s="24">
        <v>337</v>
      </c>
      <c r="F119" s="24">
        <v>4</v>
      </c>
      <c r="G119" s="24">
        <v>3</v>
      </c>
      <c r="H119" s="24">
        <v>81490</v>
      </c>
      <c r="I119" s="38" t="s">
        <v>1505</v>
      </c>
      <c r="J119" s="24">
        <v>15552806</v>
      </c>
      <c r="K119" s="24" t="s">
        <v>3613</v>
      </c>
      <c r="L119" s="24" t="s">
        <v>3617</v>
      </c>
      <c r="M119" s="41">
        <v>359900</v>
      </c>
      <c r="N119" s="40">
        <f t="shared" si="37"/>
        <v>0.75</v>
      </c>
      <c r="O119" s="42">
        <f t="shared" si="35"/>
        <v>89975</v>
      </c>
      <c r="P119" s="40" t="str">
        <f t="shared" si="38"/>
        <v>PERCENTAGE</v>
      </c>
    </row>
    <row r="120" spans="1:16" s="31" customFormat="1" x14ac:dyDescent="0.25">
      <c r="A120" s="24" t="str">
        <f t="shared" si="36"/>
        <v>2024 JAN-JUN D75</v>
      </c>
      <c r="B120" s="7">
        <f t="shared" si="36"/>
        <v>46114</v>
      </c>
      <c r="C120" s="7">
        <f t="shared" si="36"/>
        <v>46120</v>
      </c>
      <c r="D120" s="24">
        <v>3280</v>
      </c>
      <c r="E120" s="24">
        <v>337</v>
      </c>
      <c r="F120" s="24">
        <v>4</v>
      </c>
      <c r="G120" s="24">
        <v>3</v>
      </c>
      <c r="H120" s="24">
        <v>81490</v>
      </c>
      <c r="I120" s="38" t="s">
        <v>1505</v>
      </c>
      <c r="J120" s="24">
        <v>15552815</v>
      </c>
      <c r="K120" s="24" t="s">
        <v>3613</v>
      </c>
      <c r="L120" s="24" t="s">
        <v>3618</v>
      </c>
      <c r="M120" s="41">
        <v>359900</v>
      </c>
      <c r="N120" s="40">
        <f t="shared" si="37"/>
        <v>0.75</v>
      </c>
      <c r="O120" s="42">
        <f t="shared" si="35"/>
        <v>89975</v>
      </c>
      <c r="P120" s="40" t="str">
        <f t="shared" si="38"/>
        <v>PERCENTAGE</v>
      </c>
    </row>
    <row r="121" spans="1:16" s="31" customFormat="1" x14ac:dyDescent="0.25">
      <c r="A121" s="24" t="str">
        <f t="shared" si="36"/>
        <v>2024 JAN-JUN D75</v>
      </c>
      <c r="B121" s="7">
        <f t="shared" si="36"/>
        <v>46114</v>
      </c>
      <c r="C121" s="7">
        <f t="shared" si="36"/>
        <v>46120</v>
      </c>
      <c r="D121" s="24">
        <v>3280</v>
      </c>
      <c r="E121" s="24">
        <v>337</v>
      </c>
      <c r="F121" s="24">
        <v>4</v>
      </c>
      <c r="G121" s="24">
        <v>3</v>
      </c>
      <c r="H121" s="24">
        <v>81490</v>
      </c>
      <c r="I121" s="38" t="s">
        <v>1505</v>
      </c>
      <c r="J121" s="24">
        <v>15552824</v>
      </c>
      <c r="K121" s="24" t="s">
        <v>3613</v>
      </c>
      <c r="L121" s="24" t="s">
        <v>3619</v>
      </c>
      <c r="M121" s="41">
        <v>359900</v>
      </c>
      <c r="N121" s="40">
        <f t="shared" si="37"/>
        <v>0.75</v>
      </c>
      <c r="O121" s="42">
        <f t="shared" si="35"/>
        <v>89975</v>
      </c>
      <c r="P121" s="40" t="str">
        <f t="shared" si="38"/>
        <v>PERCENTAGE</v>
      </c>
    </row>
    <row r="122" spans="1:16" s="31" customFormat="1" x14ac:dyDescent="0.25">
      <c r="A122" s="24" t="str">
        <f t="shared" si="36"/>
        <v>2024 JAN-JUN D75</v>
      </c>
      <c r="B122" s="7">
        <f t="shared" si="36"/>
        <v>46114</v>
      </c>
      <c r="C122" s="7">
        <f t="shared" si="36"/>
        <v>46120</v>
      </c>
      <c r="D122" s="24">
        <v>3280</v>
      </c>
      <c r="E122" s="24">
        <v>337</v>
      </c>
      <c r="F122" s="24">
        <v>4</v>
      </c>
      <c r="G122" s="24">
        <v>3</v>
      </c>
      <c r="H122" s="24">
        <v>81490</v>
      </c>
      <c r="I122" s="38" t="s">
        <v>1505</v>
      </c>
      <c r="J122" s="24">
        <v>15552833</v>
      </c>
      <c r="K122" s="24" t="s">
        <v>3708</v>
      </c>
      <c r="L122" s="24" t="s">
        <v>3709</v>
      </c>
      <c r="M122" s="41">
        <v>349900</v>
      </c>
      <c r="N122" s="40">
        <f t="shared" si="37"/>
        <v>0.75</v>
      </c>
      <c r="O122" s="42">
        <f t="shared" si="35"/>
        <v>87475</v>
      </c>
      <c r="P122" s="40" t="str">
        <f t="shared" si="38"/>
        <v>PERCENTAGE</v>
      </c>
    </row>
    <row r="123" spans="1:16" s="31" customFormat="1" x14ac:dyDescent="0.25">
      <c r="A123" s="24" t="str">
        <f t="shared" si="36"/>
        <v>2024 JAN-JUN D75</v>
      </c>
      <c r="B123" s="7">
        <f t="shared" si="36"/>
        <v>46114</v>
      </c>
      <c r="C123" s="7">
        <f t="shared" si="36"/>
        <v>46120</v>
      </c>
      <c r="D123" s="24">
        <v>3280</v>
      </c>
      <c r="E123" s="24">
        <v>337</v>
      </c>
      <c r="F123" s="24">
        <v>4</v>
      </c>
      <c r="G123" s="24">
        <v>3</v>
      </c>
      <c r="H123" s="24">
        <v>81490</v>
      </c>
      <c r="I123" s="38" t="s">
        <v>1505</v>
      </c>
      <c r="J123" s="24">
        <v>15552842</v>
      </c>
      <c r="K123" s="24" t="s">
        <v>3708</v>
      </c>
      <c r="L123" s="24" t="s">
        <v>3710</v>
      </c>
      <c r="M123" s="41">
        <v>349900</v>
      </c>
      <c r="N123" s="40">
        <f t="shared" si="37"/>
        <v>0.75</v>
      </c>
      <c r="O123" s="42">
        <f t="shared" si="35"/>
        <v>87475</v>
      </c>
      <c r="P123" s="40" t="str">
        <f t="shared" si="38"/>
        <v>PERCENTAGE</v>
      </c>
    </row>
    <row r="124" spans="1:16" s="31" customFormat="1" x14ac:dyDescent="0.25">
      <c r="A124" s="24" t="str">
        <f t="shared" si="36"/>
        <v>2024 JAN-JUN D75</v>
      </c>
      <c r="B124" s="7">
        <f t="shared" si="36"/>
        <v>46114</v>
      </c>
      <c r="C124" s="7">
        <f t="shared" si="36"/>
        <v>46120</v>
      </c>
      <c r="D124" s="24">
        <v>3280</v>
      </c>
      <c r="E124" s="24">
        <v>337</v>
      </c>
      <c r="F124" s="24">
        <v>4</v>
      </c>
      <c r="G124" s="24">
        <v>3</v>
      </c>
      <c r="H124" s="24">
        <v>81490</v>
      </c>
      <c r="I124" s="38" t="s">
        <v>1505</v>
      </c>
      <c r="J124" s="24">
        <v>15552851</v>
      </c>
      <c r="K124" s="24" t="s">
        <v>3708</v>
      </c>
      <c r="L124" s="24" t="s">
        <v>3711</v>
      </c>
      <c r="M124" s="41">
        <v>349900</v>
      </c>
      <c r="N124" s="40">
        <f t="shared" si="37"/>
        <v>0.75</v>
      </c>
      <c r="O124" s="42">
        <f t="shared" si="35"/>
        <v>87475</v>
      </c>
      <c r="P124" s="40" t="str">
        <f t="shared" si="38"/>
        <v>PERCENTAGE</v>
      </c>
    </row>
    <row r="125" spans="1:16" s="31" customFormat="1" x14ac:dyDescent="0.25">
      <c r="A125" s="24" t="str">
        <f t="shared" si="36"/>
        <v>2024 JAN-JUN D75</v>
      </c>
      <c r="B125" s="7">
        <f t="shared" si="36"/>
        <v>46114</v>
      </c>
      <c r="C125" s="7">
        <f t="shared" si="36"/>
        <v>46120</v>
      </c>
      <c r="D125" s="24">
        <v>3280</v>
      </c>
      <c r="E125" s="24">
        <v>337</v>
      </c>
      <c r="F125" s="24">
        <v>4</v>
      </c>
      <c r="G125" s="24">
        <v>3</v>
      </c>
      <c r="H125" s="24">
        <v>81490</v>
      </c>
      <c r="I125" s="38" t="s">
        <v>1505</v>
      </c>
      <c r="J125" s="24">
        <v>15552860</v>
      </c>
      <c r="K125" s="24" t="s">
        <v>3708</v>
      </c>
      <c r="L125" s="24" t="s">
        <v>3712</v>
      </c>
      <c r="M125" s="41">
        <v>359900</v>
      </c>
      <c r="N125" s="40">
        <f t="shared" si="37"/>
        <v>0.75</v>
      </c>
      <c r="O125" s="42">
        <f t="shared" si="35"/>
        <v>89975</v>
      </c>
      <c r="P125" s="40" t="str">
        <f t="shared" si="38"/>
        <v>PERCENTAGE</v>
      </c>
    </row>
    <row r="126" spans="1:16" s="31" customFormat="1" x14ac:dyDescent="0.25">
      <c r="A126" s="24" t="str">
        <f t="shared" si="36"/>
        <v>2024 JAN-JUN D75</v>
      </c>
      <c r="B126" s="7">
        <f t="shared" si="36"/>
        <v>46114</v>
      </c>
      <c r="C126" s="7">
        <f t="shared" si="36"/>
        <v>46120</v>
      </c>
      <c r="D126" s="24">
        <v>3280</v>
      </c>
      <c r="E126" s="24">
        <v>337</v>
      </c>
      <c r="F126" s="24">
        <v>4</v>
      </c>
      <c r="G126" s="24">
        <v>3</v>
      </c>
      <c r="H126" s="24">
        <v>81490</v>
      </c>
      <c r="I126" s="38" t="s">
        <v>1505</v>
      </c>
      <c r="J126" s="24">
        <v>15552879</v>
      </c>
      <c r="K126" s="24" t="s">
        <v>3708</v>
      </c>
      <c r="L126" s="24" t="s">
        <v>3713</v>
      </c>
      <c r="M126" s="41">
        <v>359900</v>
      </c>
      <c r="N126" s="40">
        <f t="shared" si="37"/>
        <v>0.75</v>
      </c>
      <c r="O126" s="42">
        <f t="shared" si="35"/>
        <v>89975</v>
      </c>
      <c r="P126" s="40" t="str">
        <f t="shared" si="38"/>
        <v>PERCENTAGE</v>
      </c>
    </row>
    <row r="127" spans="1:16" s="31" customFormat="1" x14ac:dyDescent="0.25">
      <c r="A127" s="24" t="str">
        <f t="shared" si="36"/>
        <v>2024 JAN-JUN D75</v>
      </c>
      <c r="B127" s="7">
        <f t="shared" si="36"/>
        <v>46114</v>
      </c>
      <c r="C127" s="7">
        <f t="shared" si="36"/>
        <v>46120</v>
      </c>
      <c r="D127" s="24">
        <v>3280</v>
      </c>
      <c r="E127" s="24">
        <v>337</v>
      </c>
      <c r="F127" s="24">
        <v>4</v>
      </c>
      <c r="G127" s="24">
        <v>3</v>
      </c>
      <c r="H127" s="24">
        <v>81490</v>
      </c>
      <c r="I127" s="38" t="s">
        <v>1505</v>
      </c>
      <c r="J127" s="24">
        <v>15552888</v>
      </c>
      <c r="K127" s="24" t="s">
        <v>3708</v>
      </c>
      <c r="L127" s="24" t="s">
        <v>3714</v>
      </c>
      <c r="M127" s="41">
        <v>359900</v>
      </c>
      <c r="N127" s="40">
        <f t="shared" si="37"/>
        <v>0.75</v>
      </c>
      <c r="O127" s="42">
        <f t="shared" si="35"/>
        <v>89975</v>
      </c>
      <c r="P127" s="40" t="str">
        <f t="shared" si="38"/>
        <v>PERCENTAGE</v>
      </c>
    </row>
    <row r="128" spans="1:16" s="31" customFormat="1" x14ac:dyDescent="0.25">
      <c r="A128" s="24" t="str">
        <f t="shared" si="36"/>
        <v>2024 JAN-JUN D75</v>
      </c>
      <c r="B128" s="7">
        <f t="shared" si="36"/>
        <v>46114</v>
      </c>
      <c r="C128" s="7">
        <f t="shared" si="36"/>
        <v>46120</v>
      </c>
      <c r="D128" s="24">
        <v>3280</v>
      </c>
      <c r="E128" s="24">
        <v>337</v>
      </c>
      <c r="F128" s="24">
        <v>4</v>
      </c>
      <c r="G128" s="24">
        <v>3</v>
      </c>
      <c r="H128" s="24">
        <v>81490</v>
      </c>
      <c r="I128" s="38" t="s">
        <v>1505</v>
      </c>
      <c r="J128" s="24">
        <v>15552959</v>
      </c>
      <c r="K128" s="24" t="s">
        <v>3657</v>
      </c>
      <c r="L128" s="24" t="s">
        <v>3658</v>
      </c>
      <c r="M128" s="41">
        <v>349900</v>
      </c>
      <c r="N128" s="40">
        <f t="shared" si="37"/>
        <v>0.75</v>
      </c>
      <c r="O128" s="42">
        <f t="shared" si="35"/>
        <v>87475</v>
      </c>
      <c r="P128" s="40" t="str">
        <f t="shared" si="38"/>
        <v>PERCENTAGE</v>
      </c>
    </row>
    <row r="129" spans="1:16" s="31" customFormat="1" x14ac:dyDescent="0.25">
      <c r="A129" s="24" t="str">
        <f t="shared" si="36"/>
        <v>2024 JAN-JUN D75</v>
      </c>
      <c r="B129" s="7">
        <f t="shared" si="36"/>
        <v>46114</v>
      </c>
      <c r="C129" s="7">
        <f t="shared" si="36"/>
        <v>46120</v>
      </c>
      <c r="D129" s="24">
        <v>3280</v>
      </c>
      <c r="E129" s="24">
        <v>337</v>
      </c>
      <c r="F129" s="24">
        <v>4</v>
      </c>
      <c r="G129" s="24">
        <v>3</v>
      </c>
      <c r="H129" s="24">
        <v>81490</v>
      </c>
      <c r="I129" s="38" t="s">
        <v>1505</v>
      </c>
      <c r="J129" s="24">
        <v>15552968</v>
      </c>
      <c r="K129" s="24" t="s">
        <v>3657</v>
      </c>
      <c r="L129" s="24" t="s">
        <v>3659</v>
      </c>
      <c r="M129" s="41">
        <v>349900</v>
      </c>
      <c r="N129" s="40">
        <f t="shared" si="37"/>
        <v>0.75</v>
      </c>
      <c r="O129" s="42">
        <f t="shared" si="35"/>
        <v>87475</v>
      </c>
      <c r="P129" s="40" t="str">
        <f t="shared" si="38"/>
        <v>PERCENTAGE</v>
      </c>
    </row>
    <row r="130" spans="1:16" s="31" customFormat="1" x14ac:dyDescent="0.25">
      <c r="A130" s="24" t="str">
        <f t="shared" si="36"/>
        <v>2024 JAN-JUN D75</v>
      </c>
      <c r="B130" s="7">
        <f t="shared" si="36"/>
        <v>46114</v>
      </c>
      <c r="C130" s="7">
        <f t="shared" si="36"/>
        <v>46120</v>
      </c>
      <c r="D130" s="24">
        <v>3280</v>
      </c>
      <c r="E130" s="24">
        <v>337</v>
      </c>
      <c r="F130" s="24">
        <v>4</v>
      </c>
      <c r="G130" s="24">
        <v>3</v>
      </c>
      <c r="H130" s="24">
        <v>81490</v>
      </c>
      <c r="I130" s="38" t="s">
        <v>1505</v>
      </c>
      <c r="J130" s="24">
        <v>15552977</v>
      </c>
      <c r="K130" s="24" t="s">
        <v>3657</v>
      </c>
      <c r="L130" s="24" t="s">
        <v>3660</v>
      </c>
      <c r="M130" s="41">
        <v>349900</v>
      </c>
      <c r="N130" s="40">
        <f t="shared" si="37"/>
        <v>0.75</v>
      </c>
      <c r="O130" s="42">
        <f t="shared" si="35"/>
        <v>87475</v>
      </c>
      <c r="P130" s="40" t="str">
        <f t="shared" si="38"/>
        <v>PERCENTAGE</v>
      </c>
    </row>
    <row r="131" spans="1:16" s="31" customFormat="1" x14ac:dyDescent="0.25">
      <c r="A131" s="24" t="str">
        <f t="shared" si="36"/>
        <v>2024 JAN-JUN D75</v>
      </c>
      <c r="B131" s="7">
        <f t="shared" si="36"/>
        <v>46114</v>
      </c>
      <c r="C131" s="7">
        <f t="shared" si="36"/>
        <v>46120</v>
      </c>
      <c r="D131" s="24">
        <v>3280</v>
      </c>
      <c r="E131" s="24">
        <v>337</v>
      </c>
      <c r="F131" s="24">
        <v>4</v>
      </c>
      <c r="G131" s="24">
        <v>3</v>
      </c>
      <c r="H131" s="24">
        <v>81490</v>
      </c>
      <c r="I131" s="38" t="s">
        <v>1505</v>
      </c>
      <c r="J131" s="24">
        <v>15552986</v>
      </c>
      <c r="K131" s="24" t="s">
        <v>3657</v>
      </c>
      <c r="L131" s="24" t="s">
        <v>3664</v>
      </c>
      <c r="M131" s="41">
        <v>359900</v>
      </c>
      <c r="N131" s="40">
        <f t="shared" si="37"/>
        <v>0.75</v>
      </c>
      <c r="O131" s="42">
        <f t="shared" ref="O131:O194" si="39">M131-((75*M131)/100)</f>
        <v>89975</v>
      </c>
      <c r="P131" s="40" t="str">
        <f t="shared" si="38"/>
        <v>PERCENTAGE</v>
      </c>
    </row>
    <row r="132" spans="1:16" s="31" customFormat="1" x14ac:dyDescent="0.25">
      <c r="A132" s="24" t="str">
        <f t="shared" ref="A132:C195" si="40">A131</f>
        <v>2024 JAN-JUN D75</v>
      </c>
      <c r="B132" s="7">
        <f t="shared" si="40"/>
        <v>46114</v>
      </c>
      <c r="C132" s="7">
        <f t="shared" si="40"/>
        <v>46120</v>
      </c>
      <c r="D132" s="24">
        <v>3280</v>
      </c>
      <c r="E132" s="24">
        <v>337</v>
      </c>
      <c r="F132" s="24">
        <v>4</v>
      </c>
      <c r="G132" s="24">
        <v>3</v>
      </c>
      <c r="H132" s="24">
        <v>81490</v>
      </c>
      <c r="I132" s="38" t="s">
        <v>1505</v>
      </c>
      <c r="J132" s="24">
        <v>15552995</v>
      </c>
      <c r="K132" s="24" t="s">
        <v>3657</v>
      </c>
      <c r="L132" s="24" t="s">
        <v>3666</v>
      </c>
      <c r="M132" s="41">
        <v>359900</v>
      </c>
      <c r="N132" s="40">
        <f t="shared" ref="N132:N195" si="41">N131</f>
        <v>0.75</v>
      </c>
      <c r="O132" s="42">
        <f t="shared" si="39"/>
        <v>89975</v>
      </c>
      <c r="P132" s="40" t="str">
        <f t="shared" ref="P132:P195" si="42">P131</f>
        <v>PERCENTAGE</v>
      </c>
    </row>
    <row r="133" spans="1:16" s="31" customFormat="1" x14ac:dyDescent="0.25">
      <c r="A133" s="24" t="str">
        <f t="shared" si="40"/>
        <v>2024 JAN-JUN D75</v>
      </c>
      <c r="B133" s="7">
        <f t="shared" si="40"/>
        <v>46114</v>
      </c>
      <c r="C133" s="7">
        <f t="shared" si="40"/>
        <v>46120</v>
      </c>
      <c r="D133" s="24">
        <v>3280</v>
      </c>
      <c r="E133" s="24">
        <v>337</v>
      </c>
      <c r="F133" s="24">
        <v>4</v>
      </c>
      <c r="G133" s="24">
        <v>3</v>
      </c>
      <c r="H133" s="24">
        <v>81490</v>
      </c>
      <c r="I133" s="38" t="s">
        <v>1505</v>
      </c>
      <c r="J133" s="24">
        <v>15553001</v>
      </c>
      <c r="K133" s="24" t="s">
        <v>3657</v>
      </c>
      <c r="L133" s="24" t="s">
        <v>3667</v>
      </c>
      <c r="M133" s="41">
        <v>359900</v>
      </c>
      <c r="N133" s="40">
        <f t="shared" si="41"/>
        <v>0.75</v>
      </c>
      <c r="O133" s="42">
        <f t="shared" si="39"/>
        <v>89975</v>
      </c>
      <c r="P133" s="40" t="str">
        <f t="shared" si="42"/>
        <v>PERCENTAGE</v>
      </c>
    </row>
    <row r="134" spans="1:16" s="31" customFormat="1" x14ac:dyDescent="0.25">
      <c r="A134" s="24" t="str">
        <f t="shared" si="40"/>
        <v>2024 JAN-JUN D75</v>
      </c>
      <c r="B134" s="7">
        <f t="shared" si="40"/>
        <v>46114</v>
      </c>
      <c r="C134" s="7">
        <f t="shared" si="40"/>
        <v>46120</v>
      </c>
      <c r="D134" s="24">
        <v>3280</v>
      </c>
      <c r="E134" s="24">
        <v>337</v>
      </c>
      <c r="F134" s="24">
        <v>4</v>
      </c>
      <c r="G134" s="24">
        <v>3</v>
      </c>
      <c r="H134" s="24">
        <v>81490</v>
      </c>
      <c r="I134" s="38" t="s">
        <v>1505</v>
      </c>
      <c r="J134" s="24">
        <v>15553010</v>
      </c>
      <c r="K134" s="24" t="s">
        <v>3732</v>
      </c>
      <c r="L134" s="24" t="s">
        <v>3733</v>
      </c>
      <c r="M134" s="41">
        <v>349900</v>
      </c>
      <c r="N134" s="40">
        <f t="shared" si="41"/>
        <v>0.75</v>
      </c>
      <c r="O134" s="42">
        <f t="shared" si="39"/>
        <v>87475</v>
      </c>
      <c r="P134" s="40" t="str">
        <f t="shared" si="42"/>
        <v>PERCENTAGE</v>
      </c>
    </row>
    <row r="135" spans="1:16" s="31" customFormat="1" x14ac:dyDescent="0.25">
      <c r="A135" s="24" t="str">
        <f t="shared" si="40"/>
        <v>2024 JAN-JUN D75</v>
      </c>
      <c r="B135" s="7">
        <f t="shared" si="40"/>
        <v>46114</v>
      </c>
      <c r="C135" s="7">
        <f t="shared" si="40"/>
        <v>46120</v>
      </c>
      <c r="D135" s="24">
        <v>3280</v>
      </c>
      <c r="E135" s="24">
        <v>337</v>
      </c>
      <c r="F135" s="24">
        <v>4</v>
      </c>
      <c r="G135" s="24">
        <v>3</v>
      </c>
      <c r="H135" s="24">
        <v>81490</v>
      </c>
      <c r="I135" s="38" t="s">
        <v>1505</v>
      </c>
      <c r="J135" s="24">
        <v>15553029</v>
      </c>
      <c r="K135" s="24" t="s">
        <v>3732</v>
      </c>
      <c r="L135" s="24" t="s">
        <v>3734</v>
      </c>
      <c r="M135" s="41">
        <v>349900</v>
      </c>
      <c r="N135" s="40">
        <f t="shared" si="41"/>
        <v>0.75</v>
      </c>
      <c r="O135" s="42">
        <f t="shared" si="39"/>
        <v>87475</v>
      </c>
      <c r="P135" s="40" t="str">
        <f t="shared" si="42"/>
        <v>PERCENTAGE</v>
      </c>
    </row>
    <row r="136" spans="1:16" s="31" customFormat="1" x14ac:dyDescent="0.25">
      <c r="A136" s="24" t="str">
        <f t="shared" si="40"/>
        <v>2024 JAN-JUN D75</v>
      </c>
      <c r="B136" s="7">
        <f t="shared" si="40"/>
        <v>46114</v>
      </c>
      <c r="C136" s="7">
        <f t="shared" si="40"/>
        <v>46120</v>
      </c>
      <c r="D136" s="24">
        <v>3280</v>
      </c>
      <c r="E136" s="24">
        <v>337</v>
      </c>
      <c r="F136" s="24">
        <v>4</v>
      </c>
      <c r="G136" s="24">
        <v>3</v>
      </c>
      <c r="H136" s="24">
        <v>81490</v>
      </c>
      <c r="I136" s="38" t="s">
        <v>1505</v>
      </c>
      <c r="J136" s="24">
        <v>15553038</v>
      </c>
      <c r="K136" s="24" t="s">
        <v>3732</v>
      </c>
      <c r="L136" s="24" t="s">
        <v>3735</v>
      </c>
      <c r="M136" s="41">
        <v>349900</v>
      </c>
      <c r="N136" s="40">
        <f t="shared" si="41"/>
        <v>0.75</v>
      </c>
      <c r="O136" s="42">
        <f t="shared" si="39"/>
        <v>87475</v>
      </c>
      <c r="P136" s="40" t="str">
        <f t="shared" si="42"/>
        <v>PERCENTAGE</v>
      </c>
    </row>
    <row r="137" spans="1:16" s="31" customFormat="1" x14ac:dyDescent="0.25">
      <c r="A137" s="24" t="str">
        <f t="shared" si="40"/>
        <v>2024 JAN-JUN D75</v>
      </c>
      <c r="B137" s="7">
        <f t="shared" si="40"/>
        <v>46114</v>
      </c>
      <c r="C137" s="7">
        <f t="shared" si="40"/>
        <v>46120</v>
      </c>
      <c r="D137" s="24">
        <v>3280</v>
      </c>
      <c r="E137" s="24">
        <v>337</v>
      </c>
      <c r="F137" s="24">
        <v>4</v>
      </c>
      <c r="G137" s="24">
        <v>3</v>
      </c>
      <c r="H137" s="24">
        <v>81490</v>
      </c>
      <c r="I137" s="38" t="s">
        <v>1505</v>
      </c>
      <c r="J137" s="24">
        <v>15553047</v>
      </c>
      <c r="K137" s="24" t="s">
        <v>3732</v>
      </c>
      <c r="L137" s="24" t="s">
        <v>3736</v>
      </c>
      <c r="M137" s="41">
        <v>359900</v>
      </c>
      <c r="N137" s="40">
        <f t="shared" si="41"/>
        <v>0.75</v>
      </c>
      <c r="O137" s="42">
        <f t="shared" si="39"/>
        <v>89975</v>
      </c>
      <c r="P137" s="40" t="str">
        <f t="shared" si="42"/>
        <v>PERCENTAGE</v>
      </c>
    </row>
    <row r="138" spans="1:16" s="31" customFormat="1" x14ac:dyDescent="0.25">
      <c r="A138" s="24" t="str">
        <f t="shared" si="40"/>
        <v>2024 JAN-JUN D75</v>
      </c>
      <c r="B138" s="7">
        <f t="shared" si="40"/>
        <v>46114</v>
      </c>
      <c r="C138" s="7">
        <f t="shared" si="40"/>
        <v>46120</v>
      </c>
      <c r="D138" s="24">
        <v>3280</v>
      </c>
      <c r="E138" s="24">
        <v>337</v>
      </c>
      <c r="F138" s="24">
        <v>4</v>
      </c>
      <c r="G138" s="24">
        <v>3</v>
      </c>
      <c r="H138" s="24">
        <v>81490</v>
      </c>
      <c r="I138" s="38" t="s">
        <v>1505</v>
      </c>
      <c r="J138" s="24">
        <v>15553056</v>
      </c>
      <c r="K138" s="24" t="s">
        <v>3732</v>
      </c>
      <c r="L138" s="24" t="s">
        <v>3737</v>
      </c>
      <c r="M138" s="41">
        <v>359900</v>
      </c>
      <c r="N138" s="40">
        <f t="shared" si="41"/>
        <v>0.75</v>
      </c>
      <c r="O138" s="42">
        <f t="shared" si="39"/>
        <v>89975</v>
      </c>
      <c r="P138" s="40" t="str">
        <f t="shared" si="42"/>
        <v>PERCENTAGE</v>
      </c>
    </row>
    <row r="139" spans="1:16" s="31" customFormat="1" x14ac:dyDescent="0.25">
      <c r="A139" s="24" t="str">
        <f t="shared" si="40"/>
        <v>2024 JAN-JUN D75</v>
      </c>
      <c r="B139" s="7">
        <f t="shared" si="40"/>
        <v>46114</v>
      </c>
      <c r="C139" s="7">
        <f t="shared" si="40"/>
        <v>46120</v>
      </c>
      <c r="D139" s="24">
        <v>3280</v>
      </c>
      <c r="E139" s="24">
        <v>337</v>
      </c>
      <c r="F139" s="24">
        <v>4</v>
      </c>
      <c r="G139" s="24">
        <v>3</v>
      </c>
      <c r="H139" s="24">
        <v>81490</v>
      </c>
      <c r="I139" s="38" t="s">
        <v>1505</v>
      </c>
      <c r="J139" s="24">
        <v>15553065</v>
      </c>
      <c r="K139" s="24" t="s">
        <v>3732</v>
      </c>
      <c r="L139" s="24" t="s">
        <v>3738</v>
      </c>
      <c r="M139" s="41">
        <v>359900</v>
      </c>
      <c r="N139" s="40">
        <f t="shared" si="41"/>
        <v>0.75</v>
      </c>
      <c r="O139" s="42">
        <f t="shared" si="39"/>
        <v>89975</v>
      </c>
      <c r="P139" s="40" t="str">
        <f t="shared" si="42"/>
        <v>PERCENTAGE</v>
      </c>
    </row>
    <row r="140" spans="1:16" s="31" customFormat="1" x14ac:dyDescent="0.25">
      <c r="A140" s="24" t="str">
        <f t="shared" si="40"/>
        <v>2024 JAN-JUN D75</v>
      </c>
      <c r="B140" s="7">
        <f t="shared" si="40"/>
        <v>46114</v>
      </c>
      <c r="C140" s="7">
        <f t="shared" si="40"/>
        <v>46120</v>
      </c>
      <c r="D140" s="24">
        <v>3280</v>
      </c>
      <c r="E140" s="24">
        <v>337</v>
      </c>
      <c r="F140" s="24">
        <v>4</v>
      </c>
      <c r="G140" s="24">
        <v>3</v>
      </c>
      <c r="H140" s="24">
        <v>81490</v>
      </c>
      <c r="I140" s="38" t="s">
        <v>1505</v>
      </c>
      <c r="J140" s="24">
        <v>15553074</v>
      </c>
      <c r="K140" s="24" t="s">
        <v>3650</v>
      </c>
      <c r="L140" s="24" t="s">
        <v>3651</v>
      </c>
      <c r="M140" s="41">
        <v>349900</v>
      </c>
      <c r="N140" s="40">
        <f t="shared" si="41"/>
        <v>0.75</v>
      </c>
      <c r="O140" s="42">
        <f t="shared" si="39"/>
        <v>87475</v>
      </c>
      <c r="P140" s="40" t="str">
        <f t="shared" si="42"/>
        <v>PERCENTAGE</v>
      </c>
    </row>
    <row r="141" spans="1:16" s="31" customFormat="1" x14ac:dyDescent="0.25">
      <c r="A141" s="24" t="str">
        <f t="shared" si="40"/>
        <v>2024 JAN-JUN D75</v>
      </c>
      <c r="B141" s="7">
        <f t="shared" si="40"/>
        <v>46114</v>
      </c>
      <c r="C141" s="7">
        <f t="shared" si="40"/>
        <v>46120</v>
      </c>
      <c r="D141" s="24">
        <v>3280</v>
      </c>
      <c r="E141" s="24">
        <v>337</v>
      </c>
      <c r="F141" s="24">
        <v>4</v>
      </c>
      <c r="G141" s="24">
        <v>3</v>
      </c>
      <c r="H141" s="24">
        <v>81490</v>
      </c>
      <c r="I141" s="38" t="s">
        <v>1505</v>
      </c>
      <c r="J141" s="24">
        <v>15553083</v>
      </c>
      <c r="K141" s="24" t="s">
        <v>3650</v>
      </c>
      <c r="L141" s="24" t="s">
        <v>3652</v>
      </c>
      <c r="M141" s="41">
        <v>349900</v>
      </c>
      <c r="N141" s="40">
        <f t="shared" si="41"/>
        <v>0.75</v>
      </c>
      <c r="O141" s="42">
        <f t="shared" si="39"/>
        <v>87475</v>
      </c>
      <c r="P141" s="40" t="str">
        <f t="shared" si="42"/>
        <v>PERCENTAGE</v>
      </c>
    </row>
    <row r="142" spans="1:16" s="31" customFormat="1" x14ac:dyDescent="0.25">
      <c r="A142" s="24" t="str">
        <f t="shared" si="40"/>
        <v>2024 JAN-JUN D75</v>
      </c>
      <c r="B142" s="7">
        <f t="shared" si="40"/>
        <v>46114</v>
      </c>
      <c r="C142" s="7">
        <f t="shared" si="40"/>
        <v>46120</v>
      </c>
      <c r="D142" s="24">
        <v>3280</v>
      </c>
      <c r="E142" s="24">
        <v>337</v>
      </c>
      <c r="F142" s="24">
        <v>4</v>
      </c>
      <c r="G142" s="24">
        <v>3</v>
      </c>
      <c r="H142" s="24">
        <v>81490</v>
      </c>
      <c r="I142" s="38" t="s">
        <v>1505</v>
      </c>
      <c r="J142" s="24">
        <v>15553092</v>
      </c>
      <c r="K142" s="24" t="s">
        <v>3650</v>
      </c>
      <c r="L142" s="24" t="s">
        <v>3653</v>
      </c>
      <c r="M142" s="41">
        <v>349900</v>
      </c>
      <c r="N142" s="40">
        <f t="shared" si="41"/>
        <v>0.75</v>
      </c>
      <c r="O142" s="42">
        <f t="shared" si="39"/>
        <v>87475</v>
      </c>
      <c r="P142" s="40" t="str">
        <f t="shared" si="42"/>
        <v>PERCENTAGE</v>
      </c>
    </row>
    <row r="143" spans="1:16" s="31" customFormat="1" x14ac:dyDescent="0.25">
      <c r="A143" s="24" t="str">
        <f t="shared" si="40"/>
        <v>2024 JAN-JUN D75</v>
      </c>
      <c r="B143" s="7">
        <f t="shared" si="40"/>
        <v>46114</v>
      </c>
      <c r="C143" s="7">
        <f t="shared" si="40"/>
        <v>46120</v>
      </c>
      <c r="D143" s="24">
        <v>3280</v>
      </c>
      <c r="E143" s="24">
        <v>337</v>
      </c>
      <c r="F143" s="24">
        <v>4</v>
      </c>
      <c r="G143" s="24">
        <v>3</v>
      </c>
      <c r="H143" s="24">
        <v>81490</v>
      </c>
      <c r="I143" s="38" t="s">
        <v>1505</v>
      </c>
      <c r="J143" s="24">
        <v>15553109</v>
      </c>
      <c r="K143" s="24" t="s">
        <v>3650</v>
      </c>
      <c r="L143" s="24" t="s">
        <v>3654</v>
      </c>
      <c r="M143" s="41">
        <v>359900</v>
      </c>
      <c r="N143" s="40">
        <f t="shared" si="41"/>
        <v>0.75</v>
      </c>
      <c r="O143" s="42">
        <f t="shared" si="39"/>
        <v>89975</v>
      </c>
      <c r="P143" s="40" t="str">
        <f t="shared" si="42"/>
        <v>PERCENTAGE</v>
      </c>
    </row>
    <row r="144" spans="1:16" s="31" customFormat="1" x14ac:dyDescent="0.25">
      <c r="A144" s="24" t="str">
        <f t="shared" si="40"/>
        <v>2024 JAN-JUN D75</v>
      </c>
      <c r="B144" s="7">
        <f t="shared" si="40"/>
        <v>46114</v>
      </c>
      <c r="C144" s="7">
        <f t="shared" si="40"/>
        <v>46120</v>
      </c>
      <c r="D144" s="24">
        <v>3280</v>
      </c>
      <c r="E144" s="24">
        <v>337</v>
      </c>
      <c r="F144" s="24">
        <v>4</v>
      </c>
      <c r="G144" s="24">
        <v>3</v>
      </c>
      <c r="H144" s="24">
        <v>81490</v>
      </c>
      <c r="I144" s="38" t="s">
        <v>1505</v>
      </c>
      <c r="J144" s="24">
        <v>15553118</v>
      </c>
      <c r="K144" s="24" t="s">
        <v>3650</v>
      </c>
      <c r="L144" s="24" t="s">
        <v>3655</v>
      </c>
      <c r="M144" s="41">
        <v>359900</v>
      </c>
      <c r="N144" s="40">
        <f t="shared" si="41"/>
        <v>0.75</v>
      </c>
      <c r="O144" s="42">
        <f t="shared" si="39"/>
        <v>89975</v>
      </c>
      <c r="P144" s="40" t="str">
        <f t="shared" si="42"/>
        <v>PERCENTAGE</v>
      </c>
    </row>
    <row r="145" spans="1:16" s="31" customFormat="1" x14ac:dyDescent="0.25">
      <c r="A145" s="24" t="str">
        <f t="shared" si="40"/>
        <v>2024 JAN-JUN D75</v>
      </c>
      <c r="B145" s="7">
        <f t="shared" si="40"/>
        <v>46114</v>
      </c>
      <c r="C145" s="7">
        <f t="shared" si="40"/>
        <v>46120</v>
      </c>
      <c r="D145" s="24">
        <v>3280</v>
      </c>
      <c r="E145" s="24">
        <v>337</v>
      </c>
      <c r="F145" s="24">
        <v>4</v>
      </c>
      <c r="G145" s="24">
        <v>3</v>
      </c>
      <c r="H145" s="24">
        <v>81490</v>
      </c>
      <c r="I145" s="38" t="s">
        <v>1505</v>
      </c>
      <c r="J145" s="24">
        <v>15553127</v>
      </c>
      <c r="K145" s="24" t="s">
        <v>3650</v>
      </c>
      <c r="L145" s="24" t="s">
        <v>3656</v>
      </c>
      <c r="M145" s="41">
        <v>359900</v>
      </c>
      <c r="N145" s="40">
        <f t="shared" si="41"/>
        <v>0.75</v>
      </c>
      <c r="O145" s="42">
        <f t="shared" si="39"/>
        <v>89975</v>
      </c>
      <c r="P145" s="40" t="str">
        <f t="shared" si="42"/>
        <v>PERCENTAGE</v>
      </c>
    </row>
    <row r="146" spans="1:16" s="31" customFormat="1" x14ac:dyDescent="0.25">
      <c r="A146" s="24" t="str">
        <f t="shared" si="40"/>
        <v>2024 JAN-JUN D75</v>
      </c>
      <c r="B146" s="7">
        <f t="shared" si="40"/>
        <v>46114</v>
      </c>
      <c r="C146" s="7">
        <f t="shared" si="40"/>
        <v>46120</v>
      </c>
      <c r="D146" s="24">
        <v>3280</v>
      </c>
      <c r="E146" s="24">
        <v>337</v>
      </c>
      <c r="F146" s="24">
        <v>4</v>
      </c>
      <c r="G146" s="24">
        <v>3</v>
      </c>
      <c r="H146" s="24">
        <v>81490</v>
      </c>
      <c r="I146" s="38" t="s">
        <v>1505</v>
      </c>
      <c r="J146" s="24">
        <v>15553556</v>
      </c>
      <c r="K146" s="24" t="s">
        <v>3661</v>
      </c>
      <c r="L146" s="24" t="s">
        <v>3662</v>
      </c>
      <c r="M146" s="41">
        <v>349900</v>
      </c>
      <c r="N146" s="40">
        <f t="shared" si="41"/>
        <v>0.75</v>
      </c>
      <c r="O146" s="42">
        <f t="shared" si="39"/>
        <v>87475</v>
      </c>
      <c r="P146" s="40" t="str">
        <f t="shared" si="42"/>
        <v>PERCENTAGE</v>
      </c>
    </row>
    <row r="147" spans="1:16" s="31" customFormat="1" x14ac:dyDescent="0.25">
      <c r="A147" s="24" t="str">
        <f t="shared" si="40"/>
        <v>2024 JAN-JUN D75</v>
      </c>
      <c r="B147" s="7">
        <f t="shared" si="40"/>
        <v>46114</v>
      </c>
      <c r="C147" s="7">
        <f t="shared" si="40"/>
        <v>46120</v>
      </c>
      <c r="D147" s="24">
        <v>3280</v>
      </c>
      <c r="E147" s="24">
        <v>337</v>
      </c>
      <c r="F147" s="24">
        <v>4</v>
      </c>
      <c r="G147" s="24">
        <v>3</v>
      </c>
      <c r="H147" s="24">
        <v>81490</v>
      </c>
      <c r="I147" s="38" t="s">
        <v>1505</v>
      </c>
      <c r="J147" s="24">
        <v>15553565</v>
      </c>
      <c r="K147" s="24" t="s">
        <v>3661</v>
      </c>
      <c r="L147" s="24" t="s">
        <v>3663</v>
      </c>
      <c r="M147" s="41">
        <v>349900</v>
      </c>
      <c r="N147" s="40">
        <f t="shared" si="41"/>
        <v>0.75</v>
      </c>
      <c r="O147" s="42">
        <f t="shared" si="39"/>
        <v>87475</v>
      </c>
      <c r="P147" s="40" t="str">
        <f t="shared" si="42"/>
        <v>PERCENTAGE</v>
      </c>
    </row>
    <row r="148" spans="1:16" s="31" customFormat="1" x14ac:dyDescent="0.25">
      <c r="A148" s="24" t="str">
        <f t="shared" si="40"/>
        <v>2024 JAN-JUN D75</v>
      </c>
      <c r="B148" s="7">
        <f t="shared" si="40"/>
        <v>46114</v>
      </c>
      <c r="C148" s="7">
        <f t="shared" si="40"/>
        <v>46120</v>
      </c>
      <c r="D148" s="24">
        <v>3280</v>
      </c>
      <c r="E148" s="24">
        <v>337</v>
      </c>
      <c r="F148" s="24">
        <v>4</v>
      </c>
      <c r="G148" s="24">
        <v>3</v>
      </c>
      <c r="H148" s="24">
        <v>81490</v>
      </c>
      <c r="I148" s="38" t="s">
        <v>1505</v>
      </c>
      <c r="J148" s="24">
        <v>15553574</v>
      </c>
      <c r="K148" s="24" t="s">
        <v>3661</v>
      </c>
      <c r="L148" s="24" t="s">
        <v>3665</v>
      </c>
      <c r="M148" s="41">
        <v>349900</v>
      </c>
      <c r="N148" s="40">
        <f t="shared" si="41"/>
        <v>0.75</v>
      </c>
      <c r="O148" s="42">
        <f t="shared" si="39"/>
        <v>87475</v>
      </c>
      <c r="P148" s="40" t="str">
        <f t="shared" si="42"/>
        <v>PERCENTAGE</v>
      </c>
    </row>
    <row r="149" spans="1:16" s="31" customFormat="1" x14ac:dyDescent="0.25">
      <c r="A149" s="24" t="str">
        <f t="shared" si="40"/>
        <v>2024 JAN-JUN D75</v>
      </c>
      <c r="B149" s="7">
        <f t="shared" si="40"/>
        <v>46114</v>
      </c>
      <c r="C149" s="7">
        <f t="shared" si="40"/>
        <v>46120</v>
      </c>
      <c r="D149" s="24">
        <v>3280</v>
      </c>
      <c r="E149" s="24">
        <v>337</v>
      </c>
      <c r="F149" s="24">
        <v>4</v>
      </c>
      <c r="G149" s="24">
        <v>3</v>
      </c>
      <c r="H149" s="24">
        <v>81490</v>
      </c>
      <c r="I149" s="38" t="s">
        <v>1505</v>
      </c>
      <c r="J149" s="24">
        <v>15553583</v>
      </c>
      <c r="K149" s="24" t="s">
        <v>3661</v>
      </c>
      <c r="L149" s="24" t="s">
        <v>3668</v>
      </c>
      <c r="M149" s="41">
        <v>359900</v>
      </c>
      <c r="N149" s="40">
        <f t="shared" si="41"/>
        <v>0.75</v>
      </c>
      <c r="O149" s="42">
        <f t="shared" si="39"/>
        <v>89975</v>
      </c>
      <c r="P149" s="40" t="str">
        <f t="shared" si="42"/>
        <v>PERCENTAGE</v>
      </c>
    </row>
    <row r="150" spans="1:16" s="31" customFormat="1" x14ac:dyDescent="0.25">
      <c r="A150" s="24" t="str">
        <f t="shared" si="40"/>
        <v>2024 JAN-JUN D75</v>
      </c>
      <c r="B150" s="7">
        <f t="shared" si="40"/>
        <v>46114</v>
      </c>
      <c r="C150" s="7">
        <f t="shared" si="40"/>
        <v>46120</v>
      </c>
      <c r="D150" s="24">
        <v>3280</v>
      </c>
      <c r="E150" s="24">
        <v>337</v>
      </c>
      <c r="F150" s="24">
        <v>4</v>
      </c>
      <c r="G150" s="24">
        <v>3</v>
      </c>
      <c r="H150" s="24">
        <v>81490</v>
      </c>
      <c r="I150" s="38" t="s">
        <v>1505</v>
      </c>
      <c r="J150" s="24">
        <v>15553592</v>
      </c>
      <c r="K150" s="24" t="s">
        <v>3661</v>
      </c>
      <c r="L150" s="24" t="s">
        <v>3669</v>
      </c>
      <c r="M150" s="41">
        <v>359900</v>
      </c>
      <c r="N150" s="40">
        <f t="shared" si="41"/>
        <v>0.75</v>
      </c>
      <c r="O150" s="42">
        <f t="shared" si="39"/>
        <v>89975</v>
      </c>
      <c r="P150" s="40" t="str">
        <f t="shared" si="42"/>
        <v>PERCENTAGE</v>
      </c>
    </row>
    <row r="151" spans="1:16" s="31" customFormat="1" x14ac:dyDescent="0.25">
      <c r="A151" s="24" t="str">
        <f t="shared" si="40"/>
        <v>2024 JAN-JUN D75</v>
      </c>
      <c r="B151" s="7">
        <f t="shared" si="40"/>
        <v>46114</v>
      </c>
      <c r="C151" s="7">
        <f t="shared" si="40"/>
        <v>46120</v>
      </c>
      <c r="D151" s="24">
        <v>3280</v>
      </c>
      <c r="E151" s="24">
        <v>337</v>
      </c>
      <c r="F151" s="24">
        <v>4</v>
      </c>
      <c r="G151" s="24">
        <v>3</v>
      </c>
      <c r="H151" s="24">
        <v>81490</v>
      </c>
      <c r="I151" s="38" t="s">
        <v>1505</v>
      </c>
      <c r="J151" s="24">
        <v>15553609</v>
      </c>
      <c r="K151" s="24" t="s">
        <v>3661</v>
      </c>
      <c r="L151" s="24" t="s">
        <v>3670</v>
      </c>
      <c r="M151" s="41">
        <v>359900</v>
      </c>
      <c r="N151" s="40">
        <f t="shared" si="41"/>
        <v>0.75</v>
      </c>
      <c r="O151" s="42">
        <f t="shared" si="39"/>
        <v>89975</v>
      </c>
      <c r="P151" s="40" t="str">
        <f t="shared" si="42"/>
        <v>PERCENTAGE</v>
      </c>
    </row>
    <row r="152" spans="1:16" s="31" customFormat="1" x14ac:dyDescent="0.25">
      <c r="A152" s="24" t="str">
        <f t="shared" si="40"/>
        <v>2024 JAN-JUN D75</v>
      </c>
      <c r="B152" s="7">
        <f t="shared" si="40"/>
        <v>46114</v>
      </c>
      <c r="C152" s="7">
        <f t="shared" si="40"/>
        <v>46120</v>
      </c>
      <c r="D152" s="24">
        <v>3280</v>
      </c>
      <c r="E152" s="24">
        <v>337</v>
      </c>
      <c r="F152" s="24">
        <v>4</v>
      </c>
      <c r="G152" s="24">
        <v>3</v>
      </c>
      <c r="H152" s="24">
        <v>81490</v>
      </c>
      <c r="I152" s="38" t="s">
        <v>1505</v>
      </c>
      <c r="J152" s="24">
        <v>15553618</v>
      </c>
      <c r="K152" s="24" t="s">
        <v>3678</v>
      </c>
      <c r="L152" s="24" t="s">
        <v>3679</v>
      </c>
      <c r="M152" s="41">
        <v>349900</v>
      </c>
      <c r="N152" s="40">
        <f t="shared" si="41"/>
        <v>0.75</v>
      </c>
      <c r="O152" s="42">
        <f t="shared" si="39"/>
        <v>87475</v>
      </c>
      <c r="P152" s="40" t="str">
        <f t="shared" si="42"/>
        <v>PERCENTAGE</v>
      </c>
    </row>
    <row r="153" spans="1:16" s="31" customFormat="1" x14ac:dyDescent="0.25">
      <c r="A153" s="24" t="str">
        <f t="shared" si="40"/>
        <v>2024 JAN-JUN D75</v>
      </c>
      <c r="B153" s="7">
        <f t="shared" si="40"/>
        <v>46114</v>
      </c>
      <c r="C153" s="7">
        <f t="shared" si="40"/>
        <v>46120</v>
      </c>
      <c r="D153" s="24">
        <v>3280</v>
      </c>
      <c r="E153" s="24">
        <v>337</v>
      </c>
      <c r="F153" s="24">
        <v>4</v>
      </c>
      <c r="G153" s="24">
        <v>3</v>
      </c>
      <c r="H153" s="24">
        <v>81490</v>
      </c>
      <c r="I153" s="38" t="s">
        <v>1505</v>
      </c>
      <c r="J153" s="24">
        <v>15553627</v>
      </c>
      <c r="K153" s="24" t="s">
        <v>3678</v>
      </c>
      <c r="L153" s="24" t="s">
        <v>3680</v>
      </c>
      <c r="M153" s="41">
        <v>349900</v>
      </c>
      <c r="N153" s="40">
        <f t="shared" si="41"/>
        <v>0.75</v>
      </c>
      <c r="O153" s="42">
        <f t="shared" si="39"/>
        <v>87475</v>
      </c>
      <c r="P153" s="40" t="str">
        <f t="shared" si="42"/>
        <v>PERCENTAGE</v>
      </c>
    </row>
    <row r="154" spans="1:16" s="31" customFormat="1" x14ac:dyDescent="0.25">
      <c r="A154" s="24" t="str">
        <f t="shared" si="40"/>
        <v>2024 JAN-JUN D75</v>
      </c>
      <c r="B154" s="7">
        <f t="shared" si="40"/>
        <v>46114</v>
      </c>
      <c r="C154" s="7">
        <f t="shared" si="40"/>
        <v>46120</v>
      </c>
      <c r="D154" s="24">
        <v>3280</v>
      </c>
      <c r="E154" s="24">
        <v>337</v>
      </c>
      <c r="F154" s="24">
        <v>4</v>
      </c>
      <c r="G154" s="24">
        <v>3</v>
      </c>
      <c r="H154" s="24">
        <v>81490</v>
      </c>
      <c r="I154" s="38" t="s">
        <v>1505</v>
      </c>
      <c r="J154" s="24">
        <v>15553636</v>
      </c>
      <c r="K154" s="24" t="s">
        <v>3678</v>
      </c>
      <c r="L154" s="24" t="s">
        <v>3681</v>
      </c>
      <c r="M154" s="41">
        <v>349900</v>
      </c>
      <c r="N154" s="40">
        <f t="shared" si="41"/>
        <v>0.75</v>
      </c>
      <c r="O154" s="42">
        <f t="shared" si="39"/>
        <v>87475</v>
      </c>
      <c r="P154" s="40" t="str">
        <f t="shared" si="42"/>
        <v>PERCENTAGE</v>
      </c>
    </row>
    <row r="155" spans="1:16" s="31" customFormat="1" x14ac:dyDescent="0.25">
      <c r="A155" s="24" t="str">
        <f t="shared" si="40"/>
        <v>2024 JAN-JUN D75</v>
      </c>
      <c r="B155" s="7">
        <f t="shared" si="40"/>
        <v>46114</v>
      </c>
      <c r="C155" s="7">
        <f t="shared" si="40"/>
        <v>46120</v>
      </c>
      <c r="D155" s="24">
        <v>3280</v>
      </c>
      <c r="E155" s="24">
        <v>337</v>
      </c>
      <c r="F155" s="24">
        <v>4</v>
      </c>
      <c r="G155" s="24">
        <v>3</v>
      </c>
      <c r="H155" s="24">
        <v>81490</v>
      </c>
      <c r="I155" s="38" t="s">
        <v>1505</v>
      </c>
      <c r="J155" s="24">
        <v>15553645</v>
      </c>
      <c r="K155" s="24" t="s">
        <v>3678</v>
      </c>
      <c r="L155" s="24" t="s">
        <v>3682</v>
      </c>
      <c r="M155" s="41">
        <v>359900</v>
      </c>
      <c r="N155" s="40">
        <f t="shared" si="41"/>
        <v>0.75</v>
      </c>
      <c r="O155" s="42">
        <f t="shared" si="39"/>
        <v>89975</v>
      </c>
      <c r="P155" s="40" t="str">
        <f t="shared" si="42"/>
        <v>PERCENTAGE</v>
      </c>
    </row>
    <row r="156" spans="1:16" s="31" customFormat="1" x14ac:dyDescent="0.25">
      <c r="A156" s="24" t="str">
        <f t="shared" si="40"/>
        <v>2024 JAN-JUN D75</v>
      </c>
      <c r="B156" s="7">
        <f t="shared" si="40"/>
        <v>46114</v>
      </c>
      <c r="C156" s="7">
        <f t="shared" si="40"/>
        <v>46120</v>
      </c>
      <c r="D156" s="24">
        <v>3280</v>
      </c>
      <c r="E156" s="24">
        <v>337</v>
      </c>
      <c r="F156" s="24">
        <v>4</v>
      </c>
      <c r="G156" s="24">
        <v>3</v>
      </c>
      <c r="H156" s="24">
        <v>81490</v>
      </c>
      <c r="I156" s="38" t="s">
        <v>1505</v>
      </c>
      <c r="J156" s="24">
        <v>15553654</v>
      </c>
      <c r="K156" s="24" t="s">
        <v>3678</v>
      </c>
      <c r="L156" s="24" t="s">
        <v>3683</v>
      </c>
      <c r="M156" s="41">
        <v>359900</v>
      </c>
      <c r="N156" s="40">
        <f t="shared" si="41"/>
        <v>0.75</v>
      </c>
      <c r="O156" s="42">
        <f t="shared" si="39"/>
        <v>89975</v>
      </c>
      <c r="P156" s="40" t="str">
        <f t="shared" si="42"/>
        <v>PERCENTAGE</v>
      </c>
    </row>
    <row r="157" spans="1:16" s="31" customFormat="1" x14ac:dyDescent="0.25">
      <c r="A157" s="24" t="str">
        <f t="shared" si="40"/>
        <v>2024 JAN-JUN D75</v>
      </c>
      <c r="B157" s="7">
        <f t="shared" si="40"/>
        <v>46114</v>
      </c>
      <c r="C157" s="7">
        <f t="shared" si="40"/>
        <v>46120</v>
      </c>
      <c r="D157" s="24">
        <v>3280</v>
      </c>
      <c r="E157" s="24">
        <v>337</v>
      </c>
      <c r="F157" s="24">
        <v>4</v>
      </c>
      <c r="G157" s="24">
        <v>3</v>
      </c>
      <c r="H157" s="24">
        <v>81490</v>
      </c>
      <c r="I157" s="38" t="s">
        <v>1505</v>
      </c>
      <c r="J157" s="24">
        <v>15553663</v>
      </c>
      <c r="K157" s="24" t="s">
        <v>3678</v>
      </c>
      <c r="L157" s="24" t="s">
        <v>3684</v>
      </c>
      <c r="M157" s="41">
        <v>359900</v>
      </c>
      <c r="N157" s="40">
        <f t="shared" si="41"/>
        <v>0.75</v>
      </c>
      <c r="O157" s="42">
        <f t="shared" si="39"/>
        <v>89975</v>
      </c>
      <c r="P157" s="40" t="str">
        <f t="shared" si="42"/>
        <v>PERCENTAGE</v>
      </c>
    </row>
    <row r="158" spans="1:16" s="31" customFormat="1" x14ac:dyDescent="0.25">
      <c r="A158" s="24" t="str">
        <f t="shared" si="40"/>
        <v>2024 JAN-JUN D75</v>
      </c>
      <c r="B158" s="7">
        <f t="shared" si="40"/>
        <v>46114</v>
      </c>
      <c r="C158" s="7">
        <f t="shared" si="40"/>
        <v>46120</v>
      </c>
      <c r="D158" s="24">
        <v>3280</v>
      </c>
      <c r="E158" s="24">
        <v>337</v>
      </c>
      <c r="F158" s="24">
        <v>4</v>
      </c>
      <c r="G158" s="24">
        <v>3</v>
      </c>
      <c r="H158" s="24">
        <v>81490</v>
      </c>
      <c r="I158" s="38" t="s">
        <v>1505</v>
      </c>
      <c r="J158" s="24">
        <v>15553798</v>
      </c>
      <c r="K158" s="24" t="s">
        <v>3573</v>
      </c>
      <c r="L158" s="24" t="s">
        <v>3574</v>
      </c>
      <c r="M158" s="41">
        <v>349900</v>
      </c>
      <c r="N158" s="40">
        <f t="shared" si="41"/>
        <v>0.75</v>
      </c>
      <c r="O158" s="42">
        <f t="shared" si="39"/>
        <v>87475</v>
      </c>
      <c r="P158" s="40" t="str">
        <f t="shared" si="42"/>
        <v>PERCENTAGE</v>
      </c>
    </row>
    <row r="159" spans="1:16" s="31" customFormat="1" x14ac:dyDescent="0.25">
      <c r="A159" s="24" t="str">
        <f t="shared" si="40"/>
        <v>2024 JAN-JUN D75</v>
      </c>
      <c r="B159" s="7">
        <f t="shared" si="40"/>
        <v>46114</v>
      </c>
      <c r="C159" s="7">
        <f t="shared" si="40"/>
        <v>46120</v>
      </c>
      <c r="D159" s="24">
        <v>3280</v>
      </c>
      <c r="E159" s="24">
        <v>337</v>
      </c>
      <c r="F159" s="24">
        <v>4</v>
      </c>
      <c r="G159" s="24">
        <v>3</v>
      </c>
      <c r="H159" s="24">
        <v>81490</v>
      </c>
      <c r="I159" s="38" t="s">
        <v>1505</v>
      </c>
      <c r="J159" s="24">
        <v>15553805</v>
      </c>
      <c r="K159" s="24" t="s">
        <v>3573</v>
      </c>
      <c r="L159" s="24" t="s">
        <v>3575</v>
      </c>
      <c r="M159" s="41">
        <v>349900</v>
      </c>
      <c r="N159" s="40">
        <f t="shared" si="41"/>
        <v>0.75</v>
      </c>
      <c r="O159" s="42">
        <f t="shared" si="39"/>
        <v>87475</v>
      </c>
      <c r="P159" s="40" t="str">
        <f t="shared" si="42"/>
        <v>PERCENTAGE</v>
      </c>
    </row>
    <row r="160" spans="1:16" s="31" customFormat="1" x14ac:dyDescent="0.25">
      <c r="A160" s="24" t="str">
        <f t="shared" si="40"/>
        <v>2024 JAN-JUN D75</v>
      </c>
      <c r="B160" s="7">
        <f t="shared" si="40"/>
        <v>46114</v>
      </c>
      <c r="C160" s="7">
        <f t="shared" si="40"/>
        <v>46120</v>
      </c>
      <c r="D160" s="24">
        <v>3280</v>
      </c>
      <c r="E160" s="24">
        <v>337</v>
      </c>
      <c r="F160" s="24">
        <v>4</v>
      </c>
      <c r="G160" s="24">
        <v>3</v>
      </c>
      <c r="H160" s="24">
        <v>81490</v>
      </c>
      <c r="I160" s="38" t="s">
        <v>1505</v>
      </c>
      <c r="J160" s="24">
        <v>15553814</v>
      </c>
      <c r="K160" s="24" t="s">
        <v>3573</v>
      </c>
      <c r="L160" s="24" t="s">
        <v>3576</v>
      </c>
      <c r="M160" s="41">
        <v>349900</v>
      </c>
      <c r="N160" s="40">
        <f t="shared" si="41"/>
        <v>0.75</v>
      </c>
      <c r="O160" s="42">
        <f t="shared" si="39"/>
        <v>87475</v>
      </c>
      <c r="P160" s="40" t="str">
        <f t="shared" si="42"/>
        <v>PERCENTAGE</v>
      </c>
    </row>
    <row r="161" spans="1:16" s="31" customFormat="1" x14ac:dyDescent="0.25">
      <c r="A161" s="24" t="str">
        <f t="shared" si="40"/>
        <v>2024 JAN-JUN D75</v>
      </c>
      <c r="B161" s="7">
        <f t="shared" si="40"/>
        <v>46114</v>
      </c>
      <c r="C161" s="7">
        <f t="shared" si="40"/>
        <v>46120</v>
      </c>
      <c r="D161" s="24">
        <v>3280</v>
      </c>
      <c r="E161" s="24">
        <v>337</v>
      </c>
      <c r="F161" s="24">
        <v>4</v>
      </c>
      <c r="G161" s="24">
        <v>3</v>
      </c>
      <c r="H161" s="24">
        <v>81490</v>
      </c>
      <c r="I161" s="38" t="s">
        <v>1505</v>
      </c>
      <c r="J161" s="24">
        <v>15553823</v>
      </c>
      <c r="K161" s="24" t="s">
        <v>3573</v>
      </c>
      <c r="L161" s="24" t="s">
        <v>3577</v>
      </c>
      <c r="M161" s="41">
        <v>359900</v>
      </c>
      <c r="N161" s="40">
        <f t="shared" si="41"/>
        <v>0.75</v>
      </c>
      <c r="O161" s="42">
        <f t="shared" si="39"/>
        <v>89975</v>
      </c>
      <c r="P161" s="40" t="str">
        <f t="shared" si="42"/>
        <v>PERCENTAGE</v>
      </c>
    </row>
    <row r="162" spans="1:16" s="31" customFormat="1" x14ac:dyDescent="0.25">
      <c r="A162" s="24" t="str">
        <f t="shared" si="40"/>
        <v>2024 JAN-JUN D75</v>
      </c>
      <c r="B162" s="7">
        <f t="shared" si="40"/>
        <v>46114</v>
      </c>
      <c r="C162" s="7">
        <f t="shared" si="40"/>
        <v>46120</v>
      </c>
      <c r="D162" s="24">
        <v>3280</v>
      </c>
      <c r="E162" s="24">
        <v>337</v>
      </c>
      <c r="F162" s="24">
        <v>4</v>
      </c>
      <c r="G162" s="24">
        <v>3</v>
      </c>
      <c r="H162" s="24">
        <v>81490</v>
      </c>
      <c r="I162" s="38" t="s">
        <v>1505</v>
      </c>
      <c r="J162" s="24">
        <v>15553832</v>
      </c>
      <c r="K162" s="24" t="s">
        <v>3573</v>
      </c>
      <c r="L162" s="24" t="s">
        <v>3578</v>
      </c>
      <c r="M162" s="41">
        <v>359900</v>
      </c>
      <c r="N162" s="40">
        <f t="shared" si="41"/>
        <v>0.75</v>
      </c>
      <c r="O162" s="42">
        <f t="shared" si="39"/>
        <v>89975</v>
      </c>
      <c r="P162" s="40" t="str">
        <f t="shared" si="42"/>
        <v>PERCENTAGE</v>
      </c>
    </row>
    <row r="163" spans="1:16" s="31" customFormat="1" x14ac:dyDescent="0.25">
      <c r="A163" s="24" t="str">
        <f t="shared" si="40"/>
        <v>2024 JAN-JUN D75</v>
      </c>
      <c r="B163" s="7">
        <f t="shared" si="40"/>
        <v>46114</v>
      </c>
      <c r="C163" s="7">
        <f t="shared" si="40"/>
        <v>46120</v>
      </c>
      <c r="D163" s="24">
        <v>3280</v>
      </c>
      <c r="E163" s="24">
        <v>337</v>
      </c>
      <c r="F163" s="24">
        <v>4</v>
      </c>
      <c r="G163" s="24">
        <v>3</v>
      </c>
      <c r="H163" s="24">
        <v>81490</v>
      </c>
      <c r="I163" s="38" t="s">
        <v>1505</v>
      </c>
      <c r="J163" s="24">
        <v>15553841</v>
      </c>
      <c r="K163" s="24" t="s">
        <v>3573</v>
      </c>
      <c r="L163" s="24" t="s">
        <v>3579</v>
      </c>
      <c r="M163" s="41">
        <v>359900</v>
      </c>
      <c r="N163" s="40">
        <f t="shared" si="41"/>
        <v>0.75</v>
      </c>
      <c r="O163" s="42">
        <f t="shared" si="39"/>
        <v>89975</v>
      </c>
      <c r="P163" s="40" t="str">
        <f t="shared" si="42"/>
        <v>PERCENTAGE</v>
      </c>
    </row>
    <row r="164" spans="1:16" s="31" customFormat="1" x14ac:dyDescent="0.25">
      <c r="A164" s="24" t="str">
        <f t="shared" si="40"/>
        <v>2024 JAN-JUN D75</v>
      </c>
      <c r="B164" s="7">
        <f t="shared" si="40"/>
        <v>46114</v>
      </c>
      <c r="C164" s="7">
        <f t="shared" si="40"/>
        <v>46120</v>
      </c>
      <c r="D164" s="24">
        <v>3280</v>
      </c>
      <c r="E164" s="24">
        <v>337</v>
      </c>
      <c r="F164" s="24">
        <v>4</v>
      </c>
      <c r="G164" s="24">
        <v>3</v>
      </c>
      <c r="H164" s="24">
        <v>81490</v>
      </c>
      <c r="I164" s="38" t="s">
        <v>1505</v>
      </c>
      <c r="J164" s="24">
        <v>15553976</v>
      </c>
      <c r="K164" s="24" t="s">
        <v>3599</v>
      </c>
      <c r="L164" s="24" t="s">
        <v>3600</v>
      </c>
      <c r="M164" s="41">
        <v>349900</v>
      </c>
      <c r="N164" s="40">
        <f t="shared" si="41"/>
        <v>0.75</v>
      </c>
      <c r="O164" s="42">
        <f t="shared" si="39"/>
        <v>87475</v>
      </c>
      <c r="P164" s="40" t="str">
        <f t="shared" si="42"/>
        <v>PERCENTAGE</v>
      </c>
    </row>
    <row r="165" spans="1:16" s="31" customFormat="1" x14ac:dyDescent="0.25">
      <c r="A165" s="24" t="str">
        <f t="shared" si="40"/>
        <v>2024 JAN-JUN D75</v>
      </c>
      <c r="B165" s="7">
        <f t="shared" si="40"/>
        <v>46114</v>
      </c>
      <c r="C165" s="7">
        <f t="shared" si="40"/>
        <v>46120</v>
      </c>
      <c r="D165" s="24">
        <v>3280</v>
      </c>
      <c r="E165" s="24">
        <v>337</v>
      </c>
      <c r="F165" s="24">
        <v>4</v>
      </c>
      <c r="G165" s="24">
        <v>3</v>
      </c>
      <c r="H165" s="24">
        <v>81490</v>
      </c>
      <c r="I165" s="38" t="s">
        <v>1505</v>
      </c>
      <c r="J165" s="24">
        <v>15553985</v>
      </c>
      <c r="K165" s="24" t="s">
        <v>3599</v>
      </c>
      <c r="L165" s="24" t="s">
        <v>3601</v>
      </c>
      <c r="M165" s="41">
        <v>349900</v>
      </c>
      <c r="N165" s="40">
        <f t="shared" si="41"/>
        <v>0.75</v>
      </c>
      <c r="O165" s="42">
        <f t="shared" si="39"/>
        <v>87475</v>
      </c>
      <c r="P165" s="40" t="str">
        <f t="shared" si="42"/>
        <v>PERCENTAGE</v>
      </c>
    </row>
    <row r="166" spans="1:16" s="31" customFormat="1" x14ac:dyDescent="0.25">
      <c r="A166" s="24" t="str">
        <f t="shared" si="40"/>
        <v>2024 JAN-JUN D75</v>
      </c>
      <c r="B166" s="7">
        <f t="shared" si="40"/>
        <v>46114</v>
      </c>
      <c r="C166" s="7">
        <f t="shared" si="40"/>
        <v>46120</v>
      </c>
      <c r="D166" s="24">
        <v>3280</v>
      </c>
      <c r="E166" s="24">
        <v>337</v>
      </c>
      <c r="F166" s="24">
        <v>4</v>
      </c>
      <c r="G166" s="24">
        <v>3</v>
      </c>
      <c r="H166" s="24">
        <v>81490</v>
      </c>
      <c r="I166" s="38" t="s">
        <v>1505</v>
      </c>
      <c r="J166" s="24">
        <v>15553994</v>
      </c>
      <c r="K166" s="24" t="s">
        <v>3599</v>
      </c>
      <c r="L166" s="24" t="s">
        <v>3602</v>
      </c>
      <c r="M166" s="41">
        <v>349900</v>
      </c>
      <c r="N166" s="40">
        <f t="shared" si="41"/>
        <v>0.75</v>
      </c>
      <c r="O166" s="42">
        <f t="shared" si="39"/>
        <v>87475</v>
      </c>
      <c r="P166" s="40" t="str">
        <f t="shared" si="42"/>
        <v>PERCENTAGE</v>
      </c>
    </row>
    <row r="167" spans="1:16" s="31" customFormat="1" x14ac:dyDescent="0.25">
      <c r="A167" s="24" t="str">
        <f t="shared" si="40"/>
        <v>2024 JAN-JUN D75</v>
      </c>
      <c r="B167" s="7">
        <f t="shared" si="40"/>
        <v>46114</v>
      </c>
      <c r="C167" s="7">
        <f t="shared" si="40"/>
        <v>46120</v>
      </c>
      <c r="D167" s="24">
        <v>3280</v>
      </c>
      <c r="E167" s="24">
        <v>337</v>
      </c>
      <c r="F167" s="24">
        <v>4</v>
      </c>
      <c r="G167" s="24">
        <v>3</v>
      </c>
      <c r="H167" s="24">
        <v>81490</v>
      </c>
      <c r="I167" s="38" t="s">
        <v>1505</v>
      </c>
      <c r="J167" s="24">
        <v>15554000</v>
      </c>
      <c r="K167" s="24" t="s">
        <v>3599</v>
      </c>
      <c r="L167" s="24" t="s">
        <v>3603</v>
      </c>
      <c r="M167" s="41">
        <v>359900</v>
      </c>
      <c r="N167" s="40">
        <f t="shared" si="41"/>
        <v>0.75</v>
      </c>
      <c r="O167" s="42">
        <f t="shared" si="39"/>
        <v>89975</v>
      </c>
      <c r="P167" s="40" t="str">
        <f t="shared" si="42"/>
        <v>PERCENTAGE</v>
      </c>
    </row>
    <row r="168" spans="1:16" s="31" customFormat="1" x14ac:dyDescent="0.25">
      <c r="A168" s="24" t="str">
        <f t="shared" si="40"/>
        <v>2024 JAN-JUN D75</v>
      </c>
      <c r="B168" s="7">
        <f t="shared" si="40"/>
        <v>46114</v>
      </c>
      <c r="C168" s="7">
        <f t="shared" si="40"/>
        <v>46120</v>
      </c>
      <c r="D168" s="24">
        <v>3280</v>
      </c>
      <c r="E168" s="24">
        <v>337</v>
      </c>
      <c r="F168" s="24">
        <v>4</v>
      </c>
      <c r="G168" s="24">
        <v>3</v>
      </c>
      <c r="H168" s="24">
        <v>81490</v>
      </c>
      <c r="I168" s="38" t="s">
        <v>1505</v>
      </c>
      <c r="J168" s="24">
        <v>15554019</v>
      </c>
      <c r="K168" s="24" t="s">
        <v>3599</v>
      </c>
      <c r="L168" s="24" t="s">
        <v>3604</v>
      </c>
      <c r="M168" s="41">
        <v>359900</v>
      </c>
      <c r="N168" s="40">
        <f t="shared" si="41"/>
        <v>0.75</v>
      </c>
      <c r="O168" s="42">
        <f t="shared" si="39"/>
        <v>89975</v>
      </c>
      <c r="P168" s="40" t="str">
        <f t="shared" si="42"/>
        <v>PERCENTAGE</v>
      </c>
    </row>
    <row r="169" spans="1:16" s="31" customFormat="1" x14ac:dyDescent="0.25">
      <c r="A169" s="24" t="str">
        <f t="shared" si="40"/>
        <v>2024 JAN-JUN D75</v>
      </c>
      <c r="B169" s="7">
        <f t="shared" si="40"/>
        <v>46114</v>
      </c>
      <c r="C169" s="7">
        <f t="shared" si="40"/>
        <v>46120</v>
      </c>
      <c r="D169" s="24">
        <v>3280</v>
      </c>
      <c r="E169" s="24">
        <v>337</v>
      </c>
      <c r="F169" s="24">
        <v>4</v>
      </c>
      <c r="G169" s="24">
        <v>3</v>
      </c>
      <c r="H169" s="24">
        <v>81490</v>
      </c>
      <c r="I169" s="38" t="s">
        <v>1505</v>
      </c>
      <c r="J169" s="24">
        <v>15554037</v>
      </c>
      <c r="K169" s="24" t="s">
        <v>3599</v>
      </c>
      <c r="L169" s="24" t="s">
        <v>3605</v>
      </c>
      <c r="M169" s="41">
        <v>359900</v>
      </c>
      <c r="N169" s="40">
        <f t="shared" si="41"/>
        <v>0.75</v>
      </c>
      <c r="O169" s="42">
        <f t="shared" si="39"/>
        <v>89975</v>
      </c>
      <c r="P169" s="40" t="str">
        <f t="shared" si="42"/>
        <v>PERCENTAGE</v>
      </c>
    </row>
    <row r="170" spans="1:16" s="31" customFormat="1" x14ac:dyDescent="0.25">
      <c r="A170" s="24" t="str">
        <f t="shared" si="40"/>
        <v>2024 JAN-JUN D75</v>
      </c>
      <c r="B170" s="7">
        <f t="shared" si="40"/>
        <v>46114</v>
      </c>
      <c r="C170" s="7">
        <f t="shared" si="40"/>
        <v>46120</v>
      </c>
      <c r="D170" s="24">
        <v>3280</v>
      </c>
      <c r="E170" s="24">
        <v>337</v>
      </c>
      <c r="F170" s="24">
        <v>4</v>
      </c>
      <c r="G170" s="24">
        <v>3</v>
      </c>
      <c r="H170" s="24">
        <v>81495</v>
      </c>
      <c r="I170" s="38" t="s">
        <v>1505</v>
      </c>
      <c r="J170" s="24">
        <v>15865666</v>
      </c>
      <c r="K170" s="24" t="s">
        <v>3606</v>
      </c>
      <c r="L170" s="24" t="s">
        <v>3607</v>
      </c>
      <c r="M170" s="41">
        <v>499900</v>
      </c>
      <c r="N170" s="40">
        <f t="shared" si="41"/>
        <v>0.75</v>
      </c>
      <c r="O170" s="42">
        <f t="shared" si="39"/>
        <v>124975</v>
      </c>
      <c r="P170" s="40" t="str">
        <f t="shared" si="42"/>
        <v>PERCENTAGE</v>
      </c>
    </row>
    <row r="171" spans="1:16" s="31" customFormat="1" x14ac:dyDescent="0.25">
      <c r="A171" s="24" t="str">
        <f t="shared" si="40"/>
        <v>2024 JAN-JUN D75</v>
      </c>
      <c r="B171" s="7">
        <f t="shared" si="40"/>
        <v>46114</v>
      </c>
      <c r="C171" s="7">
        <f t="shared" si="40"/>
        <v>46120</v>
      </c>
      <c r="D171" s="24">
        <v>3280</v>
      </c>
      <c r="E171" s="24">
        <v>337</v>
      </c>
      <c r="F171" s="24">
        <v>4</v>
      </c>
      <c r="G171" s="24">
        <v>3</v>
      </c>
      <c r="H171" s="24">
        <v>81495</v>
      </c>
      <c r="I171" s="38" t="s">
        <v>1505</v>
      </c>
      <c r="J171" s="24">
        <v>15865675</v>
      </c>
      <c r="K171" s="24" t="s">
        <v>3606</v>
      </c>
      <c r="L171" s="24" t="s">
        <v>3608</v>
      </c>
      <c r="M171" s="41">
        <v>499900</v>
      </c>
      <c r="N171" s="40">
        <f t="shared" si="41"/>
        <v>0.75</v>
      </c>
      <c r="O171" s="42">
        <f t="shared" si="39"/>
        <v>124975</v>
      </c>
      <c r="P171" s="40" t="str">
        <f t="shared" si="42"/>
        <v>PERCENTAGE</v>
      </c>
    </row>
    <row r="172" spans="1:16" s="31" customFormat="1" x14ac:dyDescent="0.25">
      <c r="A172" s="24" t="str">
        <f t="shared" si="40"/>
        <v>2024 JAN-JUN D75</v>
      </c>
      <c r="B172" s="7">
        <f t="shared" si="40"/>
        <v>46114</v>
      </c>
      <c r="C172" s="7">
        <f t="shared" si="40"/>
        <v>46120</v>
      </c>
      <c r="D172" s="24">
        <v>3280</v>
      </c>
      <c r="E172" s="24">
        <v>337</v>
      </c>
      <c r="F172" s="24">
        <v>4</v>
      </c>
      <c r="G172" s="24">
        <v>3</v>
      </c>
      <c r="H172" s="24">
        <v>81495</v>
      </c>
      <c r="I172" s="38" t="s">
        <v>1505</v>
      </c>
      <c r="J172" s="24">
        <v>15865684</v>
      </c>
      <c r="K172" s="24" t="s">
        <v>3606</v>
      </c>
      <c r="L172" s="24" t="s">
        <v>3609</v>
      </c>
      <c r="M172" s="41">
        <v>499900</v>
      </c>
      <c r="N172" s="40">
        <f t="shared" si="41"/>
        <v>0.75</v>
      </c>
      <c r="O172" s="42">
        <f t="shared" si="39"/>
        <v>124975</v>
      </c>
      <c r="P172" s="40" t="str">
        <f t="shared" si="42"/>
        <v>PERCENTAGE</v>
      </c>
    </row>
    <row r="173" spans="1:16" s="31" customFormat="1" x14ac:dyDescent="0.25">
      <c r="A173" s="24" t="str">
        <f t="shared" si="40"/>
        <v>2024 JAN-JUN D75</v>
      </c>
      <c r="B173" s="7">
        <f t="shared" si="40"/>
        <v>46114</v>
      </c>
      <c r="C173" s="7">
        <f t="shared" si="40"/>
        <v>46120</v>
      </c>
      <c r="D173" s="24">
        <v>3280</v>
      </c>
      <c r="E173" s="24">
        <v>337</v>
      </c>
      <c r="F173" s="24">
        <v>4</v>
      </c>
      <c r="G173" s="24">
        <v>3</v>
      </c>
      <c r="H173" s="24">
        <v>81495</v>
      </c>
      <c r="I173" s="38" t="s">
        <v>1505</v>
      </c>
      <c r="J173" s="24">
        <v>15865693</v>
      </c>
      <c r="K173" s="24" t="s">
        <v>3606</v>
      </c>
      <c r="L173" s="24" t="s">
        <v>3610</v>
      </c>
      <c r="M173" s="41">
        <v>499900</v>
      </c>
      <c r="N173" s="40">
        <f t="shared" si="41"/>
        <v>0.75</v>
      </c>
      <c r="O173" s="42">
        <f t="shared" si="39"/>
        <v>124975</v>
      </c>
      <c r="P173" s="40" t="str">
        <f t="shared" si="42"/>
        <v>PERCENTAGE</v>
      </c>
    </row>
    <row r="174" spans="1:16" s="31" customFormat="1" x14ac:dyDescent="0.25">
      <c r="A174" s="24" t="str">
        <f t="shared" si="40"/>
        <v>2024 JAN-JUN D75</v>
      </c>
      <c r="B174" s="7">
        <f t="shared" si="40"/>
        <v>46114</v>
      </c>
      <c r="C174" s="7">
        <f t="shared" si="40"/>
        <v>46120</v>
      </c>
      <c r="D174" s="24">
        <v>3280</v>
      </c>
      <c r="E174" s="24">
        <v>337</v>
      </c>
      <c r="F174" s="24">
        <v>4</v>
      </c>
      <c r="G174" s="24">
        <v>3</v>
      </c>
      <c r="H174" s="24">
        <v>81495</v>
      </c>
      <c r="I174" s="38" t="s">
        <v>1505</v>
      </c>
      <c r="J174" s="24">
        <v>15865700</v>
      </c>
      <c r="K174" s="24" t="s">
        <v>3606</v>
      </c>
      <c r="L174" s="24" t="s">
        <v>3611</v>
      </c>
      <c r="M174" s="41">
        <v>499900</v>
      </c>
      <c r="N174" s="40">
        <f t="shared" si="41"/>
        <v>0.75</v>
      </c>
      <c r="O174" s="42">
        <f t="shared" si="39"/>
        <v>124975</v>
      </c>
      <c r="P174" s="40" t="str">
        <f t="shared" si="42"/>
        <v>PERCENTAGE</v>
      </c>
    </row>
    <row r="175" spans="1:16" s="31" customFormat="1" x14ac:dyDescent="0.25">
      <c r="A175" s="24" t="str">
        <f t="shared" si="40"/>
        <v>2024 JAN-JUN D75</v>
      </c>
      <c r="B175" s="7">
        <f t="shared" si="40"/>
        <v>46114</v>
      </c>
      <c r="C175" s="7">
        <f t="shared" si="40"/>
        <v>46120</v>
      </c>
      <c r="D175" s="24">
        <v>3280</v>
      </c>
      <c r="E175" s="24">
        <v>337</v>
      </c>
      <c r="F175" s="24">
        <v>4</v>
      </c>
      <c r="G175" s="24">
        <v>3</v>
      </c>
      <c r="H175" s="24">
        <v>81495</v>
      </c>
      <c r="I175" s="38" t="s">
        <v>1505</v>
      </c>
      <c r="J175" s="24">
        <v>15865719</v>
      </c>
      <c r="K175" s="24" t="s">
        <v>3606</v>
      </c>
      <c r="L175" s="24" t="s">
        <v>3612</v>
      </c>
      <c r="M175" s="41">
        <v>499900</v>
      </c>
      <c r="N175" s="40">
        <f t="shared" si="41"/>
        <v>0.75</v>
      </c>
      <c r="O175" s="42">
        <f t="shared" si="39"/>
        <v>124975</v>
      </c>
      <c r="P175" s="40" t="str">
        <f t="shared" si="42"/>
        <v>PERCENTAGE</v>
      </c>
    </row>
    <row r="176" spans="1:16" s="31" customFormat="1" x14ac:dyDescent="0.25">
      <c r="A176" s="24" t="str">
        <f t="shared" si="40"/>
        <v>2024 JAN-JUN D75</v>
      </c>
      <c r="B176" s="7">
        <f t="shared" si="40"/>
        <v>46114</v>
      </c>
      <c r="C176" s="7">
        <f t="shared" si="40"/>
        <v>46120</v>
      </c>
      <c r="D176" s="24">
        <v>3280</v>
      </c>
      <c r="E176" s="24">
        <v>337</v>
      </c>
      <c r="F176" s="24">
        <v>4</v>
      </c>
      <c r="G176" s="24">
        <v>3</v>
      </c>
      <c r="H176" s="24">
        <v>81495</v>
      </c>
      <c r="I176" s="38" t="s">
        <v>1505</v>
      </c>
      <c r="J176" s="24">
        <v>15865728</v>
      </c>
      <c r="K176" s="24" t="s">
        <v>3752</v>
      </c>
      <c r="L176" s="24" t="s">
        <v>3758</v>
      </c>
      <c r="M176" s="41">
        <v>399900</v>
      </c>
      <c r="N176" s="40">
        <f t="shared" si="41"/>
        <v>0.75</v>
      </c>
      <c r="O176" s="42">
        <f t="shared" si="39"/>
        <v>99975</v>
      </c>
      <c r="P176" s="40" t="str">
        <f t="shared" si="42"/>
        <v>PERCENTAGE</v>
      </c>
    </row>
    <row r="177" spans="1:16" s="31" customFormat="1" x14ac:dyDescent="0.25">
      <c r="A177" s="24" t="str">
        <f t="shared" si="40"/>
        <v>2024 JAN-JUN D75</v>
      </c>
      <c r="B177" s="7">
        <f t="shared" si="40"/>
        <v>46114</v>
      </c>
      <c r="C177" s="7">
        <f t="shared" si="40"/>
        <v>46120</v>
      </c>
      <c r="D177" s="24">
        <v>3280</v>
      </c>
      <c r="E177" s="24">
        <v>337</v>
      </c>
      <c r="F177" s="24">
        <v>4</v>
      </c>
      <c r="G177" s="24">
        <v>3</v>
      </c>
      <c r="H177" s="24">
        <v>81495</v>
      </c>
      <c r="I177" s="38" t="s">
        <v>1505</v>
      </c>
      <c r="J177" s="24">
        <v>15865737</v>
      </c>
      <c r="K177" s="24" t="s">
        <v>3752</v>
      </c>
      <c r="L177" s="24" t="s">
        <v>3753</v>
      </c>
      <c r="M177" s="41">
        <v>399900</v>
      </c>
      <c r="N177" s="40">
        <f t="shared" si="41"/>
        <v>0.75</v>
      </c>
      <c r="O177" s="42">
        <f t="shared" si="39"/>
        <v>99975</v>
      </c>
      <c r="P177" s="40" t="str">
        <f t="shared" si="42"/>
        <v>PERCENTAGE</v>
      </c>
    </row>
    <row r="178" spans="1:16" s="31" customFormat="1" x14ac:dyDescent="0.25">
      <c r="A178" s="24" t="str">
        <f t="shared" si="40"/>
        <v>2024 JAN-JUN D75</v>
      </c>
      <c r="B178" s="7">
        <f t="shared" si="40"/>
        <v>46114</v>
      </c>
      <c r="C178" s="7">
        <f t="shared" si="40"/>
        <v>46120</v>
      </c>
      <c r="D178" s="24">
        <v>3280</v>
      </c>
      <c r="E178" s="24">
        <v>337</v>
      </c>
      <c r="F178" s="24">
        <v>4</v>
      </c>
      <c r="G178" s="24">
        <v>3</v>
      </c>
      <c r="H178" s="24">
        <v>81495</v>
      </c>
      <c r="I178" s="38" t="s">
        <v>1505</v>
      </c>
      <c r="J178" s="24">
        <v>15865746</v>
      </c>
      <c r="K178" s="24" t="s">
        <v>3752</v>
      </c>
      <c r="L178" s="24" t="s">
        <v>3754</v>
      </c>
      <c r="M178" s="41">
        <v>399900</v>
      </c>
      <c r="N178" s="40">
        <f t="shared" si="41"/>
        <v>0.75</v>
      </c>
      <c r="O178" s="42">
        <f t="shared" si="39"/>
        <v>99975</v>
      </c>
      <c r="P178" s="40" t="str">
        <f t="shared" si="42"/>
        <v>PERCENTAGE</v>
      </c>
    </row>
    <row r="179" spans="1:16" s="31" customFormat="1" x14ac:dyDescent="0.25">
      <c r="A179" s="24" t="str">
        <f t="shared" si="40"/>
        <v>2024 JAN-JUN D75</v>
      </c>
      <c r="B179" s="7">
        <f t="shared" si="40"/>
        <v>46114</v>
      </c>
      <c r="C179" s="7">
        <f t="shared" si="40"/>
        <v>46120</v>
      </c>
      <c r="D179" s="24">
        <v>3280</v>
      </c>
      <c r="E179" s="24">
        <v>337</v>
      </c>
      <c r="F179" s="24">
        <v>4</v>
      </c>
      <c r="G179" s="24">
        <v>3</v>
      </c>
      <c r="H179" s="24">
        <v>81495</v>
      </c>
      <c r="I179" s="38" t="s">
        <v>1505</v>
      </c>
      <c r="J179" s="24">
        <v>15865755</v>
      </c>
      <c r="K179" s="24" t="s">
        <v>3752</v>
      </c>
      <c r="L179" s="24" t="s">
        <v>3755</v>
      </c>
      <c r="M179" s="41">
        <v>399900</v>
      </c>
      <c r="N179" s="40">
        <f t="shared" si="41"/>
        <v>0.75</v>
      </c>
      <c r="O179" s="42">
        <f t="shared" si="39"/>
        <v>99975</v>
      </c>
      <c r="P179" s="40" t="str">
        <f t="shared" si="42"/>
        <v>PERCENTAGE</v>
      </c>
    </row>
    <row r="180" spans="1:16" s="31" customFormat="1" x14ac:dyDescent="0.25">
      <c r="A180" s="24" t="str">
        <f t="shared" si="40"/>
        <v>2024 JAN-JUN D75</v>
      </c>
      <c r="B180" s="7">
        <f t="shared" si="40"/>
        <v>46114</v>
      </c>
      <c r="C180" s="7">
        <f t="shared" si="40"/>
        <v>46120</v>
      </c>
      <c r="D180" s="24">
        <v>3280</v>
      </c>
      <c r="E180" s="24">
        <v>337</v>
      </c>
      <c r="F180" s="24">
        <v>4</v>
      </c>
      <c r="G180" s="24">
        <v>3</v>
      </c>
      <c r="H180" s="24">
        <v>81495</v>
      </c>
      <c r="I180" s="38" t="s">
        <v>1505</v>
      </c>
      <c r="J180" s="24">
        <v>15865764</v>
      </c>
      <c r="K180" s="24" t="s">
        <v>3752</v>
      </c>
      <c r="L180" s="24" t="s">
        <v>3756</v>
      </c>
      <c r="M180" s="41">
        <v>399900</v>
      </c>
      <c r="N180" s="40">
        <f t="shared" si="41"/>
        <v>0.75</v>
      </c>
      <c r="O180" s="42">
        <f t="shared" si="39"/>
        <v>99975</v>
      </c>
      <c r="P180" s="40" t="str">
        <f t="shared" si="42"/>
        <v>PERCENTAGE</v>
      </c>
    </row>
    <row r="181" spans="1:16" s="31" customFormat="1" x14ac:dyDescent="0.25">
      <c r="A181" s="24" t="str">
        <f t="shared" si="40"/>
        <v>2024 JAN-JUN D75</v>
      </c>
      <c r="B181" s="7">
        <f t="shared" si="40"/>
        <v>46114</v>
      </c>
      <c r="C181" s="7">
        <f t="shared" si="40"/>
        <v>46120</v>
      </c>
      <c r="D181" s="24">
        <v>3280</v>
      </c>
      <c r="E181" s="24">
        <v>337</v>
      </c>
      <c r="F181" s="24">
        <v>4</v>
      </c>
      <c r="G181" s="24">
        <v>3</v>
      </c>
      <c r="H181" s="24">
        <v>81495</v>
      </c>
      <c r="I181" s="38" t="s">
        <v>1505</v>
      </c>
      <c r="J181" s="24">
        <v>15865773</v>
      </c>
      <c r="K181" s="24" t="s">
        <v>3752</v>
      </c>
      <c r="L181" s="24" t="s">
        <v>3757</v>
      </c>
      <c r="M181" s="41">
        <v>399900</v>
      </c>
      <c r="N181" s="40">
        <f t="shared" si="41"/>
        <v>0.75</v>
      </c>
      <c r="O181" s="42">
        <f t="shared" si="39"/>
        <v>99975</v>
      </c>
      <c r="P181" s="40" t="str">
        <f t="shared" si="42"/>
        <v>PERCENTAGE</v>
      </c>
    </row>
    <row r="182" spans="1:16" s="31" customFormat="1" x14ac:dyDescent="0.25">
      <c r="A182" s="24" t="str">
        <f t="shared" si="40"/>
        <v>2024 JAN-JUN D75</v>
      </c>
      <c r="B182" s="7">
        <f t="shared" si="40"/>
        <v>46114</v>
      </c>
      <c r="C182" s="7">
        <f t="shared" si="40"/>
        <v>46120</v>
      </c>
      <c r="D182" s="24">
        <v>3280</v>
      </c>
      <c r="E182" s="24">
        <v>337</v>
      </c>
      <c r="F182" s="24">
        <v>4</v>
      </c>
      <c r="G182" s="24">
        <v>3</v>
      </c>
      <c r="H182" s="24">
        <v>81495</v>
      </c>
      <c r="I182" s="38" t="s">
        <v>1505</v>
      </c>
      <c r="J182" s="24">
        <v>15865782</v>
      </c>
      <c r="K182" s="24" t="s">
        <v>3719</v>
      </c>
      <c r="L182" s="24" t="s">
        <v>3720</v>
      </c>
      <c r="M182" s="41">
        <v>399900</v>
      </c>
      <c r="N182" s="40">
        <f t="shared" si="41"/>
        <v>0.75</v>
      </c>
      <c r="O182" s="42">
        <f t="shared" si="39"/>
        <v>99975</v>
      </c>
      <c r="P182" s="40" t="str">
        <f t="shared" si="42"/>
        <v>PERCENTAGE</v>
      </c>
    </row>
    <row r="183" spans="1:16" s="31" customFormat="1" x14ac:dyDescent="0.25">
      <c r="A183" s="24" t="str">
        <f t="shared" si="40"/>
        <v>2024 JAN-JUN D75</v>
      </c>
      <c r="B183" s="7">
        <f t="shared" si="40"/>
        <v>46114</v>
      </c>
      <c r="C183" s="7">
        <f t="shared" si="40"/>
        <v>46120</v>
      </c>
      <c r="D183" s="24">
        <v>3280</v>
      </c>
      <c r="E183" s="24">
        <v>337</v>
      </c>
      <c r="F183" s="24">
        <v>4</v>
      </c>
      <c r="G183" s="24">
        <v>3</v>
      </c>
      <c r="H183" s="24">
        <v>81495</v>
      </c>
      <c r="I183" s="38" t="s">
        <v>1505</v>
      </c>
      <c r="J183" s="24">
        <v>15865791</v>
      </c>
      <c r="K183" s="24" t="s">
        <v>3719</v>
      </c>
      <c r="L183" s="24" t="s">
        <v>3721</v>
      </c>
      <c r="M183" s="41">
        <v>399900</v>
      </c>
      <c r="N183" s="40">
        <f t="shared" si="41"/>
        <v>0.75</v>
      </c>
      <c r="O183" s="42">
        <f t="shared" si="39"/>
        <v>99975</v>
      </c>
      <c r="P183" s="40" t="str">
        <f t="shared" si="42"/>
        <v>PERCENTAGE</v>
      </c>
    </row>
    <row r="184" spans="1:16" s="31" customFormat="1" x14ac:dyDescent="0.25">
      <c r="A184" s="24" t="str">
        <f t="shared" si="40"/>
        <v>2024 JAN-JUN D75</v>
      </c>
      <c r="B184" s="7">
        <f t="shared" si="40"/>
        <v>46114</v>
      </c>
      <c r="C184" s="7">
        <f t="shared" si="40"/>
        <v>46120</v>
      </c>
      <c r="D184" s="24">
        <v>3280</v>
      </c>
      <c r="E184" s="24">
        <v>337</v>
      </c>
      <c r="F184" s="24">
        <v>4</v>
      </c>
      <c r="G184" s="24">
        <v>3</v>
      </c>
      <c r="H184" s="24">
        <v>81495</v>
      </c>
      <c r="I184" s="38" t="s">
        <v>1505</v>
      </c>
      <c r="J184" s="24">
        <v>15865808</v>
      </c>
      <c r="K184" s="24" t="s">
        <v>3719</v>
      </c>
      <c r="L184" s="24" t="s">
        <v>3722</v>
      </c>
      <c r="M184" s="41">
        <v>399900</v>
      </c>
      <c r="N184" s="40">
        <f t="shared" si="41"/>
        <v>0.75</v>
      </c>
      <c r="O184" s="42">
        <f t="shared" si="39"/>
        <v>99975</v>
      </c>
      <c r="P184" s="40" t="str">
        <f t="shared" si="42"/>
        <v>PERCENTAGE</v>
      </c>
    </row>
    <row r="185" spans="1:16" s="31" customFormat="1" x14ac:dyDescent="0.25">
      <c r="A185" s="24" t="str">
        <f t="shared" si="40"/>
        <v>2024 JAN-JUN D75</v>
      </c>
      <c r="B185" s="7">
        <f t="shared" si="40"/>
        <v>46114</v>
      </c>
      <c r="C185" s="7">
        <f t="shared" si="40"/>
        <v>46120</v>
      </c>
      <c r="D185" s="24">
        <v>3280</v>
      </c>
      <c r="E185" s="24">
        <v>337</v>
      </c>
      <c r="F185" s="24">
        <v>4</v>
      </c>
      <c r="G185" s="24">
        <v>3</v>
      </c>
      <c r="H185" s="24">
        <v>81495</v>
      </c>
      <c r="I185" s="38" t="s">
        <v>1505</v>
      </c>
      <c r="J185" s="24">
        <v>15865817</v>
      </c>
      <c r="K185" s="24" t="s">
        <v>3719</v>
      </c>
      <c r="L185" s="24" t="s">
        <v>3723</v>
      </c>
      <c r="M185" s="41">
        <v>399900</v>
      </c>
      <c r="N185" s="40">
        <f t="shared" si="41"/>
        <v>0.75</v>
      </c>
      <c r="O185" s="42">
        <f t="shared" si="39"/>
        <v>99975</v>
      </c>
      <c r="P185" s="40" t="str">
        <f t="shared" si="42"/>
        <v>PERCENTAGE</v>
      </c>
    </row>
    <row r="186" spans="1:16" s="31" customFormat="1" x14ac:dyDescent="0.25">
      <c r="A186" s="24" t="str">
        <f t="shared" si="40"/>
        <v>2024 JAN-JUN D75</v>
      </c>
      <c r="B186" s="7">
        <f t="shared" si="40"/>
        <v>46114</v>
      </c>
      <c r="C186" s="7">
        <f t="shared" si="40"/>
        <v>46120</v>
      </c>
      <c r="D186" s="24">
        <v>3280</v>
      </c>
      <c r="E186" s="24">
        <v>337</v>
      </c>
      <c r="F186" s="24">
        <v>4</v>
      </c>
      <c r="G186" s="24">
        <v>3</v>
      </c>
      <c r="H186" s="24">
        <v>81495</v>
      </c>
      <c r="I186" s="38" t="s">
        <v>1505</v>
      </c>
      <c r="J186" s="24">
        <v>15865826</v>
      </c>
      <c r="K186" s="24" t="s">
        <v>3719</v>
      </c>
      <c r="L186" s="24" t="s">
        <v>3724</v>
      </c>
      <c r="M186" s="41">
        <v>399900</v>
      </c>
      <c r="N186" s="40">
        <f t="shared" si="41"/>
        <v>0.75</v>
      </c>
      <c r="O186" s="42">
        <f t="shared" si="39"/>
        <v>99975</v>
      </c>
      <c r="P186" s="40" t="str">
        <f t="shared" si="42"/>
        <v>PERCENTAGE</v>
      </c>
    </row>
    <row r="187" spans="1:16" s="31" customFormat="1" x14ac:dyDescent="0.25">
      <c r="A187" s="24" t="str">
        <f t="shared" si="40"/>
        <v>2024 JAN-JUN D75</v>
      </c>
      <c r="B187" s="7">
        <f t="shared" si="40"/>
        <v>46114</v>
      </c>
      <c r="C187" s="7">
        <f t="shared" si="40"/>
        <v>46120</v>
      </c>
      <c r="D187" s="24">
        <v>3280</v>
      </c>
      <c r="E187" s="24">
        <v>337</v>
      </c>
      <c r="F187" s="24">
        <v>4</v>
      </c>
      <c r="G187" s="24">
        <v>3</v>
      </c>
      <c r="H187" s="24">
        <v>81495</v>
      </c>
      <c r="I187" s="38" t="s">
        <v>1505</v>
      </c>
      <c r="J187" s="24">
        <v>15865835</v>
      </c>
      <c r="K187" s="24" t="s">
        <v>3719</v>
      </c>
      <c r="L187" s="24" t="s">
        <v>3725</v>
      </c>
      <c r="M187" s="41">
        <v>399900</v>
      </c>
      <c r="N187" s="40">
        <f t="shared" si="41"/>
        <v>0.75</v>
      </c>
      <c r="O187" s="42">
        <f t="shared" si="39"/>
        <v>99975</v>
      </c>
      <c r="P187" s="40" t="str">
        <f t="shared" si="42"/>
        <v>PERCENTAGE</v>
      </c>
    </row>
    <row r="188" spans="1:16" s="31" customFormat="1" x14ac:dyDescent="0.25">
      <c r="A188" s="24" t="str">
        <f t="shared" si="40"/>
        <v>2024 JAN-JUN D75</v>
      </c>
      <c r="B188" s="7">
        <f t="shared" si="40"/>
        <v>46114</v>
      </c>
      <c r="C188" s="7">
        <f t="shared" si="40"/>
        <v>46120</v>
      </c>
      <c r="D188" s="24">
        <v>3280</v>
      </c>
      <c r="E188" s="24">
        <v>337</v>
      </c>
      <c r="F188" s="24">
        <v>4</v>
      </c>
      <c r="G188" s="24">
        <v>3</v>
      </c>
      <c r="H188" s="24">
        <v>81495</v>
      </c>
      <c r="I188" s="38" t="s">
        <v>1505</v>
      </c>
      <c r="J188" s="24">
        <v>15865844</v>
      </c>
      <c r="K188" s="24" t="s">
        <v>3642</v>
      </c>
      <c r="L188" s="24" t="s">
        <v>3643</v>
      </c>
      <c r="M188" s="41">
        <v>399900</v>
      </c>
      <c r="N188" s="40">
        <f t="shared" si="41"/>
        <v>0.75</v>
      </c>
      <c r="O188" s="42">
        <f t="shared" si="39"/>
        <v>99975</v>
      </c>
      <c r="P188" s="40" t="str">
        <f t="shared" si="42"/>
        <v>PERCENTAGE</v>
      </c>
    </row>
    <row r="189" spans="1:16" s="31" customFormat="1" x14ac:dyDescent="0.25">
      <c r="A189" s="24" t="str">
        <f t="shared" si="40"/>
        <v>2024 JAN-JUN D75</v>
      </c>
      <c r="B189" s="7">
        <f t="shared" si="40"/>
        <v>46114</v>
      </c>
      <c r="C189" s="7">
        <f t="shared" si="40"/>
        <v>46120</v>
      </c>
      <c r="D189" s="24">
        <v>3280</v>
      </c>
      <c r="E189" s="24">
        <v>337</v>
      </c>
      <c r="F189" s="24">
        <v>4</v>
      </c>
      <c r="G189" s="24">
        <v>3</v>
      </c>
      <c r="H189" s="24">
        <v>81495</v>
      </c>
      <c r="I189" s="38" t="s">
        <v>1505</v>
      </c>
      <c r="J189" s="24">
        <v>15865853</v>
      </c>
      <c r="K189" s="24" t="s">
        <v>3642</v>
      </c>
      <c r="L189" s="24" t="s">
        <v>3644</v>
      </c>
      <c r="M189" s="41">
        <v>399900</v>
      </c>
      <c r="N189" s="40">
        <f t="shared" si="41"/>
        <v>0.75</v>
      </c>
      <c r="O189" s="42">
        <f t="shared" si="39"/>
        <v>99975</v>
      </c>
      <c r="P189" s="40" t="str">
        <f t="shared" si="42"/>
        <v>PERCENTAGE</v>
      </c>
    </row>
    <row r="190" spans="1:16" s="31" customFormat="1" x14ac:dyDescent="0.25">
      <c r="A190" s="24" t="str">
        <f t="shared" si="40"/>
        <v>2024 JAN-JUN D75</v>
      </c>
      <c r="B190" s="7">
        <f t="shared" si="40"/>
        <v>46114</v>
      </c>
      <c r="C190" s="7">
        <f t="shared" si="40"/>
        <v>46120</v>
      </c>
      <c r="D190" s="24">
        <v>3280</v>
      </c>
      <c r="E190" s="24">
        <v>337</v>
      </c>
      <c r="F190" s="24">
        <v>4</v>
      </c>
      <c r="G190" s="24">
        <v>3</v>
      </c>
      <c r="H190" s="24">
        <v>81495</v>
      </c>
      <c r="I190" s="38" t="s">
        <v>1505</v>
      </c>
      <c r="J190" s="24">
        <v>15865862</v>
      </c>
      <c r="K190" s="24" t="s">
        <v>3642</v>
      </c>
      <c r="L190" s="24" t="s">
        <v>3645</v>
      </c>
      <c r="M190" s="41">
        <v>399900</v>
      </c>
      <c r="N190" s="40">
        <f t="shared" si="41"/>
        <v>0.75</v>
      </c>
      <c r="O190" s="42">
        <f t="shared" si="39"/>
        <v>99975</v>
      </c>
      <c r="P190" s="40" t="str">
        <f t="shared" si="42"/>
        <v>PERCENTAGE</v>
      </c>
    </row>
    <row r="191" spans="1:16" s="31" customFormat="1" x14ac:dyDescent="0.25">
      <c r="A191" s="24" t="str">
        <f t="shared" si="40"/>
        <v>2024 JAN-JUN D75</v>
      </c>
      <c r="B191" s="7">
        <f t="shared" si="40"/>
        <v>46114</v>
      </c>
      <c r="C191" s="7">
        <f t="shared" si="40"/>
        <v>46120</v>
      </c>
      <c r="D191" s="24">
        <v>3280</v>
      </c>
      <c r="E191" s="24">
        <v>337</v>
      </c>
      <c r="F191" s="24">
        <v>4</v>
      </c>
      <c r="G191" s="24">
        <v>3</v>
      </c>
      <c r="H191" s="24">
        <v>81495</v>
      </c>
      <c r="I191" s="38" t="s">
        <v>1505</v>
      </c>
      <c r="J191" s="24">
        <v>15865871</v>
      </c>
      <c r="K191" s="24" t="s">
        <v>3642</v>
      </c>
      <c r="L191" s="24" t="s">
        <v>3646</v>
      </c>
      <c r="M191" s="41">
        <v>399900</v>
      </c>
      <c r="N191" s="40">
        <f t="shared" si="41"/>
        <v>0.75</v>
      </c>
      <c r="O191" s="42">
        <f t="shared" si="39"/>
        <v>99975</v>
      </c>
      <c r="P191" s="40" t="str">
        <f t="shared" si="42"/>
        <v>PERCENTAGE</v>
      </c>
    </row>
    <row r="192" spans="1:16" s="31" customFormat="1" x14ac:dyDescent="0.25">
      <c r="A192" s="24" t="str">
        <f t="shared" si="40"/>
        <v>2024 JAN-JUN D75</v>
      </c>
      <c r="B192" s="7">
        <f t="shared" si="40"/>
        <v>46114</v>
      </c>
      <c r="C192" s="7">
        <f t="shared" si="40"/>
        <v>46120</v>
      </c>
      <c r="D192" s="24">
        <v>3280</v>
      </c>
      <c r="E192" s="24">
        <v>337</v>
      </c>
      <c r="F192" s="24">
        <v>4</v>
      </c>
      <c r="G192" s="24">
        <v>3</v>
      </c>
      <c r="H192" s="24">
        <v>81495</v>
      </c>
      <c r="I192" s="38" t="s">
        <v>1505</v>
      </c>
      <c r="J192" s="24">
        <v>15865880</v>
      </c>
      <c r="K192" s="24" t="s">
        <v>3642</v>
      </c>
      <c r="L192" s="24" t="s">
        <v>3647</v>
      </c>
      <c r="M192" s="41">
        <v>399900</v>
      </c>
      <c r="N192" s="40">
        <f t="shared" si="41"/>
        <v>0.75</v>
      </c>
      <c r="O192" s="42">
        <f t="shared" si="39"/>
        <v>99975</v>
      </c>
      <c r="P192" s="40" t="str">
        <f t="shared" si="42"/>
        <v>PERCENTAGE</v>
      </c>
    </row>
    <row r="193" spans="1:16" s="31" customFormat="1" x14ac:dyDescent="0.25">
      <c r="A193" s="24" t="str">
        <f t="shared" si="40"/>
        <v>2024 JAN-JUN D75</v>
      </c>
      <c r="B193" s="7">
        <f t="shared" si="40"/>
        <v>46114</v>
      </c>
      <c r="C193" s="7">
        <f t="shared" si="40"/>
        <v>46120</v>
      </c>
      <c r="D193" s="24">
        <v>3280</v>
      </c>
      <c r="E193" s="24">
        <v>337</v>
      </c>
      <c r="F193" s="24">
        <v>4</v>
      </c>
      <c r="G193" s="24">
        <v>3</v>
      </c>
      <c r="H193" s="24">
        <v>81495</v>
      </c>
      <c r="I193" s="38" t="s">
        <v>1505</v>
      </c>
      <c r="J193" s="24">
        <v>15865899</v>
      </c>
      <c r="K193" s="24" t="s">
        <v>3642</v>
      </c>
      <c r="L193" s="24" t="s">
        <v>3648</v>
      </c>
      <c r="M193" s="41">
        <v>399900</v>
      </c>
      <c r="N193" s="40">
        <f t="shared" si="41"/>
        <v>0.75</v>
      </c>
      <c r="O193" s="42">
        <f t="shared" si="39"/>
        <v>99975</v>
      </c>
      <c r="P193" s="40" t="str">
        <f t="shared" si="42"/>
        <v>PERCENTAGE</v>
      </c>
    </row>
    <row r="194" spans="1:16" s="31" customFormat="1" x14ac:dyDescent="0.25">
      <c r="A194" s="24" t="str">
        <f t="shared" si="40"/>
        <v>2024 JAN-JUN D75</v>
      </c>
      <c r="B194" s="7">
        <f t="shared" si="40"/>
        <v>46114</v>
      </c>
      <c r="C194" s="7">
        <f t="shared" si="40"/>
        <v>46120</v>
      </c>
      <c r="D194" s="24">
        <v>3280</v>
      </c>
      <c r="E194" s="24">
        <v>337</v>
      </c>
      <c r="F194" s="24">
        <v>4</v>
      </c>
      <c r="G194" s="24">
        <v>3</v>
      </c>
      <c r="H194" s="24">
        <v>81490</v>
      </c>
      <c r="I194" s="38" t="s">
        <v>1505</v>
      </c>
      <c r="J194" s="24">
        <v>16455642</v>
      </c>
      <c r="K194" s="24" t="s">
        <v>3761</v>
      </c>
      <c r="L194" s="24" t="s">
        <v>3762</v>
      </c>
      <c r="M194" s="41">
        <v>349900</v>
      </c>
      <c r="N194" s="40">
        <f t="shared" si="41"/>
        <v>0.75</v>
      </c>
      <c r="O194" s="42">
        <f t="shared" si="39"/>
        <v>87475</v>
      </c>
      <c r="P194" s="40" t="str">
        <f t="shared" si="42"/>
        <v>PERCENTAGE</v>
      </c>
    </row>
    <row r="195" spans="1:16" s="31" customFormat="1" x14ac:dyDescent="0.25">
      <c r="A195" s="24" t="str">
        <f t="shared" si="40"/>
        <v>2024 JAN-JUN D75</v>
      </c>
      <c r="B195" s="7">
        <f t="shared" si="40"/>
        <v>46114</v>
      </c>
      <c r="C195" s="7">
        <f t="shared" si="40"/>
        <v>46120</v>
      </c>
      <c r="D195" s="24">
        <v>3280</v>
      </c>
      <c r="E195" s="24">
        <v>337</v>
      </c>
      <c r="F195" s="24">
        <v>4</v>
      </c>
      <c r="G195" s="24">
        <v>3</v>
      </c>
      <c r="H195" s="24">
        <v>81490</v>
      </c>
      <c r="I195" s="38" t="s">
        <v>1505</v>
      </c>
      <c r="J195" s="24">
        <v>16455651</v>
      </c>
      <c r="K195" s="24" t="s">
        <v>3761</v>
      </c>
      <c r="L195" s="24" t="s">
        <v>3763</v>
      </c>
      <c r="M195" s="41">
        <v>349900</v>
      </c>
      <c r="N195" s="40">
        <f t="shared" si="41"/>
        <v>0.75</v>
      </c>
      <c r="O195" s="42">
        <f t="shared" ref="O195:O258" si="43">M195-((75*M195)/100)</f>
        <v>87475</v>
      </c>
      <c r="P195" s="40" t="str">
        <f t="shared" si="42"/>
        <v>PERCENTAGE</v>
      </c>
    </row>
    <row r="196" spans="1:16" s="31" customFormat="1" x14ac:dyDescent="0.25">
      <c r="A196" s="24" t="str">
        <f t="shared" ref="A196:C259" si="44">A195</f>
        <v>2024 JAN-JUN D75</v>
      </c>
      <c r="B196" s="7">
        <f t="shared" si="44"/>
        <v>46114</v>
      </c>
      <c r="C196" s="7">
        <f t="shared" si="44"/>
        <v>46120</v>
      </c>
      <c r="D196" s="24">
        <v>3280</v>
      </c>
      <c r="E196" s="24">
        <v>337</v>
      </c>
      <c r="F196" s="24">
        <v>4</v>
      </c>
      <c r="G196" s="24">
        <v>3</v>
      </c>
      <c r="H196" s="24">
        <v>81490</v>
      </c>
      <c r="I196" s="38" t="s">
        <v>1505</v>
      </c>
      <c r="J196" s="24">
        <v>16455660</v>
      </c>
      <c r="K196" s="24" t="s">
        <v>3761</v>
      </c>
      <c r="L196" s="24" t="s">
        <v>3764</v>
      </c>
      <c r="M196" s="41">
        <v>349900</v>
      </c>
      <c r="N196" s="40">
        <f t="shared" ref="N196:N259" si="45">N195</f>
        <v>0.75</v>
      </c>
      <c r="O196" s="42">
        <f t="shared" si="43"/>
        <v>87475</v>
      </c>
      <c r="P196" s="40" t="str">
        <f t="shared" ref="P196:P259" si="46">P195</f>
        <v>PERCENTAGE</v>
      </c>
    </row>
    <row r="197" spans="1:16" s="31" customFormat="1" x14ac:dyDescent="0.25">
      <c r="A197" s="24" t="str">
        <f t="shared" si="44"/>
        <v>2024 JAN-JUN D75</v>
      </c>
      <c r="B197" s="7">
        <f t="shared" si="44"/>
        <v>46114</v>
      </c>
      <c r="C197" s="7">
        <f t="shared" si="44"/>
        <v>46120</v>
      </c>
      <c r="D197" s="24">
        <v>3280</v>
      </c>
      <c r="E197" s="24">
        <v>337</v>
      </c>
      <c r="F197" s="24">
        <v>4</v>
      </c>
      <c r="G197" s="24">
        <v>3</v>
      </c>
      <c r="H197" s="24">
        <v>81490</v>
      </c>
      <c r="I197" s="38" t="s">
        <v>1505</v>
      </c>
      <c r="J197" s="24">
        <v>16455679</v>
      </c>
      <c r="K197" s="24" t="s">
        <v>3761</v>
      </c>
      <c r="L197" s="24" t="s">
        <v>3765</v>
      </c>
      <c r="M197" s="41">
        <v>359900</v>
      </c>
      <c r="N197" s="40">
        <f t="shared" si="45"/>
        <v>0.75</v>
      </c>
      <c r="O197" s="42">
        <f t="shared" si="43"/>
        <v>89975</v>
      </c>
      <c r="P197" s="40" t="str">
        <f t="shared" si="46"/>
        <v>PERCENTAGE</v>
      </c>
    </row>
    <row r="198" spans="1:16" s="31" customFormat="1" x14ac:dyDescent="0.25">
      <c r="A198" s="24" t="str">
        <f t="shared" si="44"/>
        <v>2024 JAN-JUN D75</v>
      </c>
      <c r="B198" s="7">
        <f t="shared" si="44"/>
        <v>46114</v>
      </c>
      <c r="C198" s="7">
        <f t="shared" si="44"/>
        <v>46120</v>
      </c>
      <c r="D198" s="24">
        <v>3280</v>
      </c>
      <c r="E198" s="24">
        <v>337</v>
      </c>
      <c r="F198" s="24">
        <v>4</v>
      </c>
      <c r="G198" s="24">
        <v>3</v>
      </c>
      <c r="H198" s="24">
        <v>81490</v>
      </c>
      <c r="I198" s="38" t="s">
        <v>1505</v>
      </c>
      <c r="J198" s="24">
        <v>16455688</v>
      </c>
      <c r="K198" s="24" t="s">
        <v>3761</v>
      </c>
      <c r="L198" s="24" t="s">
        <v>3766</v>
      </c>
      <c r="M198" s="41">
        <v>359900</v>
      </c>
      <c r="N198" s="40">
        <f t="shared" si="45"/>
        <v>0.75</v>
      </c>
      <c r="O198" s="42">
        <f t="shared" si="43"/>
        <v>89975</v>
      </c>
      <c r="P198" s="40" t="str">
        <f t="shared" si="46"/>
        <v>PERCENTAGE</v>
      </c>
    </row>
    <row r="199" spans="1:16" s="31" customFormat="1" x14ac:dyDescent="0.25">
      <c r="A199" s="24" t="str">
        <f t="shared" si="44"/>
        <v>2024 JAN-JUN D75</v>
      </c>
      <c r="B199" s="7">
        <f t="shared" si="44"/>
        <v>46114</v>
      </c>
      <c r="C199" s="7">
        <f t="shared" si="44"/>
        <v>46120</v>
      </c>
      <c r="D199" s="24">
        <v>3280</v>
      </c>
      <c r="E199" s="24">
        <v>337</v>
      </c>
      <c r="F199" s="24">
        <v>4</v>
      </c>
      <c r="G199" s="24">
        <v>3</v>
      </c>
      <c r="H199" s="24">
        <v>81490</v>
      </c>
      <c r="I199" s="38" t="s">
        <v>1505</v>
      </c>
      <c r="J199" s="24">
        <v>16455697</v>
      </c>
      <c r="K199" s="24" t="s">
        <v>3761</v>
      </c>
      <c r="L199" s="24" t="s">
        <v>3767</v>
      </c>
      <c r="M199" s="41">
        <v>359900</v>
      </c>
      <c r="N199" s="40">
        <f t="shared" si="45"/>
        <v>0.75</v>
      </c>
      <c r="O199" s="42">
        <f t="shared" si="43"/>
        <v>89975</v>
      </c>
      <c r="P199" s="40" t="str">
        <f t="shared" si="46"/>
        <v>PERCENTAGE</v>
      </c>
    </row>
    <row r="200" spans="1:16" s="31" customFormat="1" x14ac:dyDescent="0.25">
      <c r="A200" s="24" t="str">
        <f t="shared" si="44"/>
        <v>2024 JAN-JUN D75</v>
      </c>
      <c r="B200" s="7">
        <f t="shared" si="44"/>
        <v>46114</v>
      </c>
      <c r="C200" s="7">
        <f t="shared" si="44"/>
        <v>46120</v>
      </c>
      <c r="D200" s="24">
        <v>3280</v>
      </c>
      <c r="E200" s="24">
        <v>337</v>
      </c>
      <c r="F200" s="24">
        <v>4</v>
      </c>
      <c r="G200" s="24">
        <v>3</v>
      </c>
      <c r="H200" s="24">
        <v>81490</v>
      </c>
      <c r="I200" s="38" t="s">
        <v>1505</v>
      </c>
      <c r="J200" s="24">
        <v>16585369</v>
      </c>
      <c r="K200" s="24" t="s">
        <v>3759</v>
      </c>
      <c r="L200" s="24" t="s">
        <v>3760</v>
      </c>
      <c r="M200" s="41">
        <v>349900</v>
      </c>
      <c r="N200" s="40">
        <f t="shared" si="45"/>
        <v>0.75</v>
      </c>
      <c r="O200" s="42">
        <f t="shared" si="43"/>
        <v>87475</v>
      </c>
      <c r="P200" s="40" t="str">
        <f t="shared" si="46"/>
        <v>PERCENTAGE</v>
      </c>
    </row>
    <row r="201" spans="1:16" s="31" customFormat="1" x14ac:dyDescent="0.25">
      <c r="A201" s="24" t="str">
        <f t="shared" si="44"/>
        <v>2024 JAN-JUN D75</v>
      </c>
      <c r="B201" s="7">
        <f t="shared" si="44"/>
        <v>46114</v>
      </c>
      <c r="C201" s="7">
        <f t="shared" si="44"/>
        <v>46120</v>
      </c>
      <c r="D201" s="24">
        <v>3280</v>
      </c>
      <c r="E201" s="24">
        <v>337</v>
      </c>
      <c r="F201" s="24">
        <v>4</v>
      </c>
      <c r="G201" s="24">
        <v>3</v>
      </c>
      <c r="H201" s="24">
        <v>81490</v>
      </c>
      <c r="I201" s="38" t="s">
        <v>1505</v>
      </c>
      <c r="J201" s="24">
        <v>16585378</v>
      </c>
      <c r="K201" s="24" t="s">
        <v>3759</v>
      </c>
      <c r="L201" s="24" t="s">
        <v>3769</v>
      </c>
      <c r="M201" s="41">
        <v>349900</v>
      </c>
      <c r="N201" s="40">
        <f t="shared" si="45"/>
        <v>0.75</v>
      </c>
      <c r="O201" s="42">
        <f t="shared" si="43"/>
        <v>87475</v>
      </c>
      <c r="P201" s="40" t="str">
        <f t="shared" si="46"/>
        <v>PERCENTAGE</v>
      </c>
    </row>
    <row r="202" spans="1:16" s="31" customFormat="1" x14ac:dyDescent="0.25">
      <c r="A202" s="24" t="str">
        <f t="shared" si="44"/>
        <v>2024 JAN-JUN D75</v>
      </c>
      <c r="B202" s="7">
        <f t="shared" si="44"/>
        <v>46114</v>
      </c>
      <c r="C202" s="7">
        <f t="shared" si="44"/>
        <v>46120</v>
      </c>
      <c r="D202" s="24">
        <v>3280</v>
      </c>
      <c r="E202" s="24">
        <v>337</v>
      </c>
      <c r="F202" s="24">
        <v>4</v>
      </c>
      <c r="G202" s="24">
        <v>3</v>
      </c>
      <c r="H202" s="24">
        <v>81490</v>
      </c>
      <c r="I202" s="38" t="s">
        <v>1505</v>
      </c>
      <c r="J202" s="24">
        <v>16585387</v>
      </c>
      <c r="K202" s="24" t="s">
        <v>3759</v>
      </c>
      <c r="L202" s="24" t="s">
        <v>3770</v>
      </c>
      <c r="M202" s="41">
        <v>349900</v>
      </c>
      <c r="N202" s="40">
        <f t="shared" si="45"/>
        <v>0.75</v>
      </c>
      <c r="O202" s="42">
        <f t="shared" si="43"/>
        <v>87475</v>
      </c>
      <c r="P202" s="40" t="str">
        <f t="shared" si="46"/>
        <v>PERCENTAGE</v>
      </c>
    </row>
    <row r="203" spans="1:16" s="31" customFormat="1" x14ac:dyDescent="0.25">
      <c r="A203" s="24" t="str">
        <f t="shared" si="44"/>
        <v>2024 JAN-JUN D75</v>
      </c>
      <c r="B203" s="7">
        <f t="shared" si="44"/>
        <v>46114</v>
      </c>
      <c r="C203" s="7">
        <f t="shared" si="44"/>
        <v>46120</v>
      </c>
      <c r="D203" s="24">
        <v>3280</v>
      </c>
      <c r="E203" s="24">
        <v>337</v>
      </c>
      <c r="F203" s="24">
        <v>4</v>
      </c>
      <c r="G203" s="24">
        <v>3</v>
      </c>
      <c r="H203" s="24">
        <v>81490</v>
      </c>
      <c r="I203" s="38" t="s">
        <v>1505</v>
      </c>
      <c r="J203" s="24">
        <v>16585396</v>
      </c>
      <c r="K203" s="24" t="s">
        <v>3759</v>
      </c>
      <c r="L203" s="24" t="s">
        <v>3771</v>
      </c>
      <c r="M203" s="41">
        <v>359900</v>
      </c>
      <c r="N203" s="40">
        <f t="shared" si="45"/>
        <v>0.75</v>
      </c>
      <c r="O203" s="42">
        <f t="shared" si="43"/>
        <v>89975</v>
      </c>
      <c r="P203" s="40" t="str">
        <f t="shared" si="46"/>
        <v>PERCENTAGE</v>
      </c>
    </row>
    <row r="204" spans="1:16" s="31" customFormat="1" x14ac:dyDescent="0.25">
      <c r="A204" s="24" t="str">
        <f t="shared" si="44"/>
        <v>2024 JAN-JUN D75</v>
      </c>
      <c r="B204" s="7">
        <f t="shared" si="44"/>
        <v>46114</v>
      </c>
      <c r="C204" s="7">
        <f t="shared" si="44"/>
        <v>46120</v>
      </c>
      <c r="D204" s="24">
        <v>3280</v>
      </c>
      <c r="E204" s="24">
        <v>337</v>
      </c>
      <c r="F204" s="24">
        <v>4</v>
      </c>
      <c r="G204" s="24">
        <v>3</v>
      </c>
      <c r="H204" s="24">
        <v>81490</v>
      </c>
      <c r="I204" s="38" t="s">
        <v>1505</v>
      </c>
      <c r="J204" s="24">
        <v>16585403</v>
      </c>
      <c r="K204" s="24" t="s">
        <v>3759</v>
      </c>
      <c r="L204" s="24" t="s">
        <v>3772</v>
      </c>
      <c r="M204" s="41">
        <v>359900</v>
      </c>
      <c r="N204" s="40">
        <f t="shared" si="45"/>
        <v>0.75</v>
      </c>
      <c r="O204" s="42">
        <f t="shared" si="43"/>
        <v>89975</v>
      </c>
      <c r="P204" s="40" t="str">
        <f t="shared" si="46"/>
        <v>PERCENTAGE</v>
      </c>
    </row>
    <row r="205" spans="1:16" s="31" customFormat="1" x14ac:dyDescent="0.25">
      <c r="A205" s="24" t="str">
        <f t="shared" si="44"/>
        <v>2024 JAN-JUN D75</v>
      </c>
      <c r="B205" s="7">
        <f t="shared" si="44"/>
        <v>46114</v>
      </c>
      <c r="C205" s="7">
        <f t="shared" si="44"/>
        <v>46120</v>
      </c>
      <c r="D205" s="24">
        <v>3280</v>
      </c>
      <c r="E205" s="24">
        <v>337</v>
      </c>
      <c r="F205" s="24">
        <v>4</v>
      </c>
      <c r="G205" s="24">
        <v>3</v>
      </c>
      <c r="H205" s="24">
        <v>81490</v>
      </c>
      <c r="I205" s="38" t="s">
        <v>1505</v>
      </c>
      <c r="J205" s="24">
        <v>16585412</v>
      </c>
      <c r="K205" s="24" t="s">
        <v>3759</v>
      </c>
      <c r="L205" s="24" t="s">
        <v>3768</v>
      </c>
      <c r="M205" s="41">
        <v>359900</v>
      </c>
      <c r="N205" s="40">
        <f t="shared" si="45"/>
        <v>0.75</v>
      </c>
      <c r="O205" s="42">
        <f t="shared" si="43"/>
        <v>89975</v>
      </c>
      <c r="P205" s="40" t="str">
        <f t="shared" si="46"/>
        <v>PERCENTAGE</v>
      </c>
    </row>
    <row r="206" spans="1:16" s="31" customFormat="1" x14ac:dyDescent="0.25">
      <c r="A206" s="24" t="str">
        <f t="shared" si="44"/>
        <v>2024 JAN-JUN D75</v>
      </c>
      <c r="B206" s="7">
        <f t="shared" si="44"/>
        <v>46114</v>
      </c>
      <c r="C206" s="7">
        <f t="shared" si="44"/>
        <v>46120</v>
      </c>
      <c r="D206" s="24">
        <v>3280</v>
      </c>
      <c r="E206" s="24">
        <v>337</v>
      </c>
      <c r="F206" s="24">
        <v>4</v>
      </c>
      <c r="G206" s="24">
        <v>3</v>
      </c>
      <c r="H206" s="24">
        <v>81490</v>
      </c>
      <c r="I206" s="38" t="s">
        <v>1505</v>
      </c>
      <c r="J206" s="24">
        <v>15552897</v>
      </c>
      <c r="K206" s="24" t="s">
        <v>3691</v>
      </c>
      <c r="L206" s="24" t="s">
        <v>3692</v>
      </c>
      <c r="M206" s="41">
        <v>349900</v>
      </c>
      <c r="N206" s="40">
        <f t="shared" si="45"/>
        <v>0.75</v>
      </c>
      <c r="O206" s="42">
        <f t="shared" si="43"/>
        <v>87475</v>
      </c>
      <c r="P206" s="40" t="str">
        <f t="shared" si="46"/>
        <v>PERCENTAGE</v>
      </c>
    </row>
    <row r="207" spans="1:16" s="31" customFormat="1" x14ac:dyDescent="0.25">
      <c r="A207" s="24" t="str">
        <f t="shared" si="44"/>
        <v>2024 JAN-JUN D75</v>
      </c>
      <c r="B207" s="7">
        <f t="shared" si="44"/>
        <v>46114</v>
      </c>
      <c r="C207" s="7">
        <f t="shared" si="44"/>
        <v>46120</v>
      </c>
      <c r="D207" s="24">
        <v>3280</v>
      </c>
      <c r="E207" s="24">
        <v>337</v>
      </c>
      <c r="F207" s="24">
        <v>4</v>
      </c>
      <c r="G207" s="24">
        <v>3</v>
      </c>
      <c r="H207" s="24">
        <v>81490</v>
      </c>
      <c r="I207" s="38" t="s">
        <v>1505</v>
      </c>
      <c r="J207" s="24">
        <v>15552904</v>
      </c>
      <c r="K207" s="24" t="s">
        <v>3691</v>
      </c>
      <c r="L207" s="24" t="s">
        <v>3693</v>
      </c>
      <c r="M207" s="41">
        <v>349900</v>
      </c>
      <c r="N207" s="40">
        <f t="shared" si="45"/>
        <v>0.75</v>
      </c>
      <c r="O207" s="42">
        <f t="shared" si="43"/>
        <v>87475</v>
      </c>
      <c r="P207" s="40" t="str">
        <f t="shared" si="46"/>
        <v>PERCENTAGE</v>
      </c>
    </row>
    <row r="208" spans="1:16" s="31" customFormat="1" x14ac:dyDescent="0.25">
      <c r="A208" s="24" t="str">
        <f t="shared" si="44"/>
        <v>2024 JAN-JUN D75</v>
      </c>
      <c r="B208" s="7">
        <f t="shared" si="44"/>
        <v>46114</v>
      </c>
      <c r="C208" s="7">
        <f t="shared" si="44"/>
        <v>46120</v>
      </c>
      <c r="D208" s="24">
        <v>3280</v>
      </c>
      <c r="E208" s="24">
        <v>337</v>
      </c>
      <c r="F208" s="24">
        <v>4</v>
      </c>
      <c r="G208" s="24">
        <v>3</v>
      </c>
      <c r="H208" s="24">
        <v>81490</v>
      </c>
      <c r="I208" s="38" t="s">
        <v>1505</v>
      </c>
      <c r="J208" s="24">
        <v>15552913</v>
      </c>
      <c r="K208" s="24" t="s">
        <v>3691</v>
      </c>
      <c r="L208" s="24" t="s">
        <v>3694</v>
      </c>
      <c r="M208" s="41">
        <v>349900</v>
      </c>
      <c r="N208" s="40">
        <f t="shared" si="45"/>
        <v>0.75</v>
      </c>
      <c r="O208" s="42">
        <f t="shared" si="43"/>
        <v>87475</v>
      </c>
      <c r="P208" s="40" t="str">
        <f t="shared" si="46"/>
        <v>PERCENTAGE</v>
      </c>
    </row>
    <row r="209" spans="1:16" s="31" customFormat="1" x14ac:dyDescent="0.25">
      <c r="A209" s="24" t="str">
        <f t="shared" si="44"/>
        <v>2024 JAN-JUN D75</v>
      </c>
      <c r="B209" s="7">
        <f t="shared" si="44"/>
        <v>46114</v>
      </c>
      <c r="C209" s="7">
        <f t="shared" si="44"/>
        <v>46120</v>
      </c>
      <c r="D209" s="24">
        <v>3280</v>
      </c>
      <c r="E209" s="24">
        <v>337</v>
      </c>
      <c r="F209" s="24">
        <v>4</v>
      </c>
      <c r="G209" s="24">
        <v>3</v>
      </c>
      <c r="H209" s="24">
        <v>81490</v>
      </c>
      <c r="I209" s="38" t="s">
        <v>1505</v>
      </c>
      <c r="J209" s="24">
        <v>15552922</v>
      </c>
      <c r="K209" s="24" t="s">
        <v>3691</v>
      </c>
      <c r="L209" s="24" t="s">
        <v>3695</v>
      </c>
      <c r="M209" s="41">
        <v>359900</v>
      </c>
      <c r="N209" s="40">
        <f t="shared" si="45"/>
        <v>0.75</v>
      </c>
      <c r="O209" s="42">
        <f t="shared" si="43"/>
        <v>89975</v>
      </c>
      <c r="P209" s="40" t="str">
        <f t="shared" si="46"/>
        <v>PERCENTAGE</v>
      </c>
    </row>
    <row r="210" spans="1:16" s="31" customFormat="1" x14ac:dyDescent="0.25">
      <c r="A210" s="24" t="str">
        <f t="shared" si="44"/>
        <v>2024 JAN-JUN D75</v>
      </c>
      <c r="B210" s="7">
        <f t="shared" si="44"/>
        <v>46114</v>
      </c>
      <c r="C210" s="7">
        <f t="shared" si="44"/>
        <v>46120</v>
      </c>
      <c r="D210" s="24">
        <v>3280</v>
      </c>
      <c r="E210" s="24">
        <v>337</v>
      </c>
      <c r="F210" s="24">
        <v>4</v>
      </c>
      <c r="G210" s="24">
        <v>3</v>
      </c>
      <c r="H210" s="24">
        <v>81490</v>
      </c>
      <c r="I210" s="38" t="s">
        <v>1505</v>
      </c>
      <c r="J210" s="24">
        <v>15552931</v>
      </c>
      <c r="K210" s="24" t="s">
        <v>3691</v>
      </c>
      <c r="L210" s="24" t="s">
        <v>3696</v>
      </c>
      <c r="M210" s="41">
        <v>359900</v>
      </c>
      <c r="N210" s="40">
        <f t="shared" si="45"/>
        <v>0.75</v>
      </c>
      <c r="O210" s="42">
        <f t="shared" si="43"/>
        <v>89975</v>
      </c>
      <c r="P210" s="40" t="str">
        <f t="shared" si="46"/>
        <v>PERCENTAGE</v>
      </c>
    </row>
    <row r="211" spans="1:16" s="31" customFormat="1" x14ac:dyDescent="0.25">
      <c r="A211" s="24" t="str">
        <f t="shared" si="44"/>
        <v>2024 JAN-JUN D75</v>
      </c>
      <c r="B211" s="7">
        <f t="shared" si="44"/>
        <v>46114</v>
      </c>
      <c r="C211" s="7">
        <f t="shared" si="44"/>
        <v>46120</v>
      </c>
      <c r="D211" s="24">
        <v>3280</v>
      </c>
      <c r="E211" s="24">
        <v>337</v>
      </c>
      <c r="F211" s="24">
        <v>4</v>
      </c>
      <c r="G211" s="24">
        <v>3</v>
      </c>
      <c r="H211" s="24">
        <v>81490</v>
      </c>
      <c r="I211" s="38" t="s">
        <v>1505</v>
      </c>
      <c r="J211" s="24">
        <v>15552940</v>
      </c>
      <c r="K211" s="24" t="s">
        <v>3691</v>
      </c>
      <c r="L211" s="24" t="s">
        <v>3697</v>
      </c>
      <c r="M211" s="41">
        <v>359900</v>
      </c>
      <c r="N211" s="40">
        <f t="shared" si="45"/>
        <v>0.75</v>
      </c>
      <c r="O211" s="42">
        <f t="shared" si="43"/>
        <v>89975</v>
      </c>
      <c r="P211" s="40" t="str">
        <f t="shared" si="46"/>
        <v>PERCENTAGE</v>
      </c>
    </row>
    <row r="212" spans="1:16" s="31" customFormat="1" x14ac:dyDescent="0.25">
      <c r="A212" s="24" t="str">
        <f t="shared" si="44"/>
        <v>2024 JAN-JUN D75</v>
      </c>
      <c r="B212" s="7">
        <f t="shared" si="44"/>
        <v>46114</v>
      </c>
      <c r="C212" s="7">
        <f t="shared" si="44"/>
        <v>46120</v>
      </c>
      <c r="D212" s="24">
        <v>3280</v>
      </c>
      <c r="E212" s="24">
        <v>337</v>
      </c>
      <c r="F212" s="24">
        <v>4</v>
      </c>
      <c r="G212" s="24">
        <v>3</v>
      </c>
      <c r="H212" s="24">
        <v>81490</v>
      </c>
      <c r="I212" s="38" t="s">
        <v>1505</v>
      </c>
      <c r="J212" s="24">
        <v>15553190</v>
      </c>
      <c r="K212" s="24" t="s">
        <v>3620</v>
      </c>
      <c r="L212" s="24" t="s">
        <v>3621</v>
      </c>
      <c r="M212" s="41">
        <v>349900</v>
      </c>
      <c r="N212" s="40">
        <f t="shared" si="45"/>
        <v>0.75</v>
      </c>
      <c r="O212" s="42">
        <f t="shared" si="43"/>
        <v>87475</v>
      </c>
      <c r="P212" s="40" t="str">
        <f t="shared" si="46"/>
        <v>PERCENTAGE</v>
      </c>
    </row>
    <row r="213" spans="1:16" s="31" customFormat="1" x14ac:dyDescent="0.25">
      <c r="A213" s="24" t="str">
        <f t="shared" si="44"/>
        <v>2024 JAN-JUN D75</v>
      </c>
      <c r="B213" s="7">
        <f t="shared" si="44"/>
        <v>46114</v>
      </c>
      <c r="C213" s="7">
        <f t="shared" si="44"/>
        <v>46120</v>
      </c>
      <c r="D213" s="24">
        <v>3280</v>
      </c>
      <c r="E213" s="24">
        <v>337</v>
      </c>
      <c r="F213" s="24">
        <v>4</v>
      </c>
      <c r="G213" s="24">
        <v>3</v>
      </c>
      <c r="H213" s="24">
        <v>81490</v>
      </c>
      <c r="I213" s="38" t="s">
        <v>1505</v>
      </c>
      <c r="J213" s="24">
        <v>15553207</v>
      </c>
      <c r="K213" s="24" t="s">
        <v>3620</v>
      </c>
      <c r="L213" s="24" t="s">
        <v>3622</v>
      </c>
      <c r="M213" s="41">
        <v>349900</v>
      </c>
      <c r="N213" s="40">
        <f t="shared" si="45"/>
        <v>0.75</v>
      </c>
      <c r="O213" s="42">
        <f t="shared" si="43"/>
        <v>87475</v>
      </c>
      <c r="P213" s="40" t="str">
        <f t="shared" si="46"/>
        <v>PERCENTAGE</v>
      </c>
    </row>
    <row r="214" spans="1:16" s="31" customFormat="1" x14ac:dyDescent="0.25">
      <c r="A214" s="24" t="str">
        <f t="shared" si="44"/>
        <v>2024 JAN-JUN D75</v>
      </c>
      <c r="B214" s="7">
        <f t="shared" si="44"/>
        <v>46114</v>
      </c>
      <c r="C214" s="7">
        <f t="shared" si="44"/>
        <v>46120</v>
      </c>
      <c r="D214" s="24">
        <v>3280</v>
      </c>
      <c r="E214" s="24">
        <v>337</v>
      </c>
      <c r="F214" s="24">
        <v>4</v>
      </c>
      <c r="G214" s="24">
        <v>3</v>
      </c>
      <c r="H214" s="24">
        <v>81490</v>
      </c>
      <c r="I214" s="38" t="s">
        <v>1505</v>
      </c>
      <c r="J214" s="24">
        <v>15553216</v>
      </c>
      <c r="K214" s="24" t="s">
        <v>3620</v>
      </c>
      <c r="L214" s="24" t="s">
        <v>3623</v>
      </c>
      <c r="M214" s="41">
        <v>349900</v>
      </c>
      <c r="N214" s="40">
        <f t="shared" si="45"/>
        <v>0.75</v>
      </c>
      <c r="O214" s="42">
        <f t="shared" si="43"/>
        <v>87475</v>
      </c>
      <c r="P214" s="40" t="str">
        <f t="shared" si="46"/>
        <v>PERCENTAGE</v>
      </c>
    </row>
    <row r="215" spans="1:16" s="31" customFormat="1" x14ac:dyDescent="0.25">
      <c r="A215" s="24" t="str">
        <f t="shared" si="44"/>
        <v>2024 JAN-JUN D75</v>
      </c>
      <c r="B215" s="7">
        <f t="shared" si="44"/>
        <v>46114</v>
      </c>
      <c r="C215" s="7">
        <f t="shared" si="44"/>
        <v>46120</v>
      </c>
      <c r="D215" s="24">
        <v>3280</v>
      </c>
      <c r="E215" s="24">
        <v>337</v>
      </c>
      <c r="F215" s="24">
        <v>4</v>
      </c>
      <c r="G215" s="24">
        <v>3</v>
      </c>
      <c r="H215" s="24">
        <v>81490</v>
      </c>
      <c r="I215" s="38" t="s">
        <v>1505</v>
      </c>
      <c r="J215" s="24">
        <v>15553225</v>
      </c>
      <c r="K215" s="24" t="s">
        <v>3620</v>
      </c>
      <c r="L215" s="24" t="s">
        <v>3624</v>
      </c>
      <c r="M215" s="41">
        <v>359900</v>
      </c>
      <c r="N215" s="40">
        <f t="shared" si="45"/>
        <v>0.75</v>
      </c>
      <c r="O215" s="42">
        <f t="shared" si="43"/>
        <v>89975</v>
      </c>
      <c r="P215" s="40" t="str">
        <f t="shared" si="46"/>
        <v>PERCENTAGE</v>
      </c>
    </row>
    <row r="216" spans="1:16" s="31" customFormat="1" x14ac:dyDescent="0.25">
      <c r="A216" s="24" t="str">
        <f t="shared" si="44"/>
        <v>2024 JAN-JUN D75</v>
      </c>
      <c r="B216" s="7">
        <f t="shared" si="44"/>
        <v>46114</v>
      </c>
      <c r="C216" s="7">
        <f t="shared" si="44"/>
        <v>46120</v>
      </c>
      <c r="D216" s="24">
        <v>3280</v>
      </c>
      <c r="E216" s="24">
        <v>337</v>
      </c>
      <c r="F216" s="24">
        <v>4</v>
      </c>
      <c r="G216" s="24">
        <v>3</v>
      </c>
      <c r="H216" s="24">
        <v>81490</v>
      </c>
      <c r="I216" s="38" t="s">
        <v>1505</v>
      </c>
      <c r="J216" s="24">
        <v>15553234</v>
      </c>
      <c r="K216" s="24" t="s">
        <v>3620</v>
      </c>
      <c r="L216" s="24" t="s">
        <v>3625</v>
      </c>
      <c r="M216" s="41">
        <v>359900</v>
      </c>
      <c r="N216" s="40">
        <f t="shared" si="45"/>
        <v>0.75</v>
      </c>
      <c r="O216" s="42">
        <f t="shared" si="43"/>
        <v>89975</v>
      </c>
      <c r="P216" s="40" t="str">
        <f t="shared" si="46"/>
        <v>PERCENTAGE</v>
      </c>
    </row>
    <row r="217" spans="1:16" s="31" customFormat="1" x14ac:dyDescent="0.25">
      <c r="A217" s="24" t="str">
        <f t="shared" si="44"/>
        <v>2024 JAN-JUN D75</v>
      </c>
      <c r="B217" s="7">
        <f t="shared" si="44"/>
        <v>46114</v>
      </c>
      <c r="C217" s="7">
        <f t="shared" si="44"/>
        <v>46120</v>
      </c>
      <c r="D217" s="24">
        <v>3280</v>
      </c>
      <c r="E217" s="24">
        <v>337</v>
      </c>
      <c r="F217" s="24">
        <v>4</v>
      </c>
      <c r="G217" s="24">
        <v>3</v>
      </c>
      <c r="H217" s="24">
        <v>81490</v>
      </c>
      <c r="I217" s="38" t="s">
        <v>1505</v>
      </c>
      <c r="J217" s="24">
        <v>15553243</v>
      </c>
      <c r="K217" s="24" t="s">
        <v>3620</v>
      </c>
      <c r="L217" s="24" t="s">
        <v>3626</v>
      </c>
      <c r="M217" s="41">
        <v>359900</v>
      </c>
      <c r="N217" s="40">
        <f t="shared" si="45"/>
        <v>0.75</v>
      </c>
      <c r="O217" s="42">
        <f t="shared" si="43"/>
        <v>89975</v>
      </c>
      <c r="P217" s="40" t="str">
        <f t="shared" si="46"/>
        <v>PERCENTAGE</v>
      </c>
    </row>
    <row r="218" spans="1:16" s="31" customFormat="1" x14ac:dyDescent="0.25">
      <c r="A218" s="24" t="str">
        <f t="shared" si="44"/>
        <v>2024 JAN-JUN D75</v>
      </c>
      <c r="B218" s="7">
        <f t="shared" si="44"/>
        <v>46114</v>
      </c>
      <c r="C218" s="7">
        <f t="shared" si="44"/>
        <v>46120</v>
      </c>
      <c r="D218" s="24">
        <v>3280</v>
      </c>
      <c r="E218" s="24">
        <v>337</v>
      </c>
      <c r="F218" s="24">
        <v>4</v>
      </c>
      <c r="G218" s="24">
        <v>3</v>
      </c>
      <c r="H218" s="24">
        <v>81490</v>
      </c>
      <c r="I218" s="38" t="s">
        <v>1505</v>
      </c>
      <c r="J218" s="24">
        <v>15553252</v>
      </c>
      <c r="K218" s="24" t="s">
        <v>3627</v>
      </c>
      <c r="L218" s="24" t="s">
        <v>3628</v>
      </c>
      <c r="M218" s="41">
        <v>349900</v>
      </c>
      <c r="N218" s="40">
        <f t="shared" si="45"/>
        <v>0.75</v>
      </c>
      <c r="O218" s="42">
        <f t="shared" si="43"/>
        <v>87475</v>
      </c>
      <c r="P218" s="40" t="str">
        <f t="shared" si="46"/>
        <v>PERCENTAGE</v>
      </c>
    </row>
    <row r="219" spans="1:16" s="31" customFormat="1" x14ac:dyDescent="0.25">
      <c r="A219" s="24" t="str">
        <f t="shared" si="44"/>
        <v>2024 JAN-JUN D75</v>
      </c>
      <c r="B219" s="7">
        <f t="shared" si="44"/>
        <v>46114</v>
      </c>
      <c r="C219" s="7">
        <f t="shared" si="44"/>
        <v>46120</v>
      </c>
      <c r="D219" s="24">
        <v>3280</v>
      </c>
      <c r="E219" s="24">
        <v>337</v>
      </c>
      <c r="F219" s="24">
        <v>4</v>
      </c>
      <c r="G219" s="24">
        <v>3</v>
      </c>
      <c r="H219" s="24">
        <v>81490</v>
      </c>
      <c r="I219" s="38" t="s">
        <v>1505</v>
      </c>
      <c r="J219" s="24">
        <v>15553261</v>
      </c>
      <c r="K219" s="24" t="s">
        <v>3627</v>
      </c>
      <c r="L219" s="24" t="s">
        <v>3629</v>
      </c>
      <c r="M219" s="41">
        <v>349900</v>
      </c>
      <c r="N219" s="40">
        <f t="shared" si="45"/>
        <v>0.75</v>
      </c>
      <c r="O219" s="42">
        <f t="shared" si="43"/>
        <v>87475</v>
      </c>
      <c r="P219" s="40" t="str">
        <f t="shared" si="46"/>
        <v>PERCENTAGE</v>
      </c>
    </row>
    <row r="220" spans="1:16" s="31" customFormat="1" x14ac:dyDescent="0.25">
      <c r="A220" s="24" t="str">
        <f t="shared" si="44"/>
        <v>2024 JAN-JUN D75</v>
      </c>
      <c r="B220" s="7">
        <f t="shared" si="44"/>
        <v>46114</v>
      </c>
      <c r="C220" s="7">
        <f t="shared" si="44"/>
        <v>46120</v>
      </c>
      <c r="D220" s="24">
        <v>3280</v>
      </c>
      <c r="E220" s="24">
        <v>337</v>
      </c>
      <c r="F220" s="24">
        <v>4</v>
      </c>
      <c r="G220" s="24">
        <v>3</v>
      </c>
      <c r="H220" s="24">
        <v>81490</v>
      </c>
      <c r="I220" s="38" t="s">
        <v>1505</v>
      </c>
      <c r="J220" s="24">
        <v>15553270</v>
      </c>
      <c r="K220" s="24" t="s">
        <v>3627</v>
      </c>
      <c r="L220" s="24" t="s">
        <v>3630</v>
      </c>
      <c r="M220" s="41">
        <v>349900</v>
      </c>
      <c r="N220" s="40">
        <f t="shared" si="45"/>
        <v>0.75</v>
      </c>
      <c r="O220" s="42">
        <f t="shared" si="43"/>
        <v>87475</v>
      </c>
      <c r="P220" s="40" t="str">
        <f t="shared" si="46"/>
        <v>PERCENTAGE</v>
      </c>
    </row>
    <row r="221" spans="1:16" s="31" customFormat="1" x14ac:dyDescent="0.25">
      <c r="A221" s="24" t="str">
        <f t="shared" si="44"/>
        <v>2024 JAN-JUN D75</v>
      </c>
      <c r="B221" s="7">
        <f t="shared" si="44"/>
        <v>46114</v>
      </c>
      <c r="C221" s="7">
        <f t="shared" si="44"/>
        <v>46120</v>
      </c>
      <c r="D221" s="24">
        <v>3280</v>
      </c>
      <c r="E221" s="24">
        <v>337</v>
      </c>
      <c r="F221" s="24">
        <v>4</v>
      </c>
      <c r="G221" s="24">
        <v>3</v>
      </c>
      <c r="H221" s="24">
        <v>81490</v>
      </c>
      <c r="I221" s="38" t="s">
        <v>1505</v>
      </c>
      <c r="J221" s="24">
        <v>15553289</v>
      </c>
      <c r="K221" s="24" t="s">
        <v>3627</v>
      </c>
      <c r="L221" s="24" t="s">
        <v>3631</v>
      </c>
      <c r="M221" s="41">
        <v>359900</v>
      </c>
      <c r="N221" s="40">
        <f t="shared" si="45"/>
        <v>0.75</v>
      </c>
      <c r="O221" s="42">
        <f t="shared" si="43"/>
        <v>89975</v>
      </c>
      <c r="P221" s="40" t="str">
        <f t="shared" si="46"/>
        <v>PERCENTAGE</v>
      </c>
    </row>
    <row r="222" spans="1:16" s="31" customFormat="1" x14ac:dyDescent="0.25">
      <c r="A222" s="24" t="str">
        <f t="shared" si="44"/>
        <v>2024 JAN-JUN D75</v>
      </c>
      <c r="B222" s="7">
        <f t="shared" si="44"/>
        <v>46114</v>
      </c>
      <c r="C222" s="7">
        <f t="shared" si="44"/>
        <v>46120</v>
      </c>
      <c r="D222" s="24">
        <v>3280</v>
      </c>
      <c r="E222" s="24">
        <v>337</v>
      </c>
      <c r="F222" s="24">
        <v>4</v>
      </c>
      <c r="G222" s="24">
        <v>3</v>
      </c>
      <c r="H222" s="24">
        <v>81490</v>
      </c>
      <c r="I222" s="38" t="s">
        <v>1505</v>
      </c>
      <c r="J222" s="24">
        <v>15553298</v>
      </c>
      <c r="K222" s="24" t="s">
        <v>3627</v>
      </c>
      <c r="L222" s="24" t="s">
        <v>3632</v>
      </c>
      <c r="M222" s="41">
        <v>359900</v>
      </c>
      <c r="N222" s="40">
        <f t="shared" si="45"/>
        <v>0.75</v>
      </c>
      <c r="O222" s="42">
        <f t="shared" si="43"/>
        <v>89975</v>
      </c>
      <c r="P222" s="40" t="str">
        <f t="shared" si="46"/>
        <v>PERCENTAGE</v>
      </c>
    </row>
    <row r="223" spans="1:16" s="31" customFormat="1" x14ac:dyDescent="0.25">
      <c r="A223" s="24" t="str">
        <f t="shared" si="44"/>
        <v>2024 JAN-JUN D75</v>
      </c>
      <c r="B223" s="7">
        <f t="shared" si="44"/>
        <v>46114</v>
      </c>
      <c r="C223" s="7">
        <f t="shared" si="44"/>
        <v>46120</v>
      </c>
      <c r="D223" s="24">
        <v>3280</v>
      </c>
      <c r="E223" s="24">
        <v>337</v>
      </c>
      <c r="F223" s="24">
        <v>4</v>
      </c>
      <c r="G223" s="24">
        <v>3</v>
      </c>
      <c r="H223" s="24">
        <v>81490</v>
      </c>
      <c r="I223" s="38" t="s">
        <v>1505</v>
      </c>
      <c r="J223" s="24">
        <v>15553305</v>
      </c>
      <c r="K223" s="24" t="s">
        <v>3627</v>
      </c>
      <c r="L223" s="24" t="s">
        <v>3633</v>
      </c>
      <c r="M223" s="41">
        <v>359900</v>
      </c>
      <c r="N223" s="40">
        <f t="shared" si="45"/>
        <v>0.75</v>
      </c>
      <c r="O223" s="42">
        <f t="shared" si="43"/>
        <v>89975</v>
      </c>
      <c r="P223" s="40" t="str">
        <f t="shared" si="46"/>
        <v>PERCENTAGE</v>
      </c>
    </row>
    <row r="224" spans="1:16" s="31" customFormat="1" x14ac:dyDescent="0.25">
      <c r="A224" s="24" t="str">
        <f t="shared" si="44"/>
        <v>2024 JAN-JUN D75</v>
      </c>
      <c r="B224" s="7">
        <f t="shared" si="44"/>
        <v>46114</v>
      </c>
      <c r="C224" s="7">
        <f t="shared" si="44"/>
        <v>46120</v>
      </c>
      <c r="D224" s="24">
        <v>3280</v>
      </c>
      <c r="E224" s="24">
        <v>337</v>
      </c>
      <c r="F224" s="24">
        <v>4</v>
      </c>
      <c r="G224" s="24">
        <v>3</v>
      </c>
      <c r="H224" s="24">
        <v>81490</v>
      </c>
      <c r="I224" s="38" t="s">
        <v>1505</v>
      </c>
      <c r="J224" s="24">
        <v>15553430</v>
      </c>
      <c r="K224" s="24" t="s">
        <v>3745</v>
      </c>
      <c r="L224" s="24" t="s">
        <v>3746</v>
      </c>
      <c r="M224" s="41">
        <v>349900</v>
      </c>
      <c r="N224" s="40">
        <f t="shared" si="45"/>
        <v>0.75</v>
      </c>
      <c r="O224" s="42">
        <f t="shared" si="43"/>
        <v>87475</v>
      </c>
      <c r="P224" s="40" t="str">
        <f t="shared" si="46"/>
        <v>PERCENTAGE</v>
      </c>
    </row>
    <row r="225" spans="1:16" s="31" customFormat="1" x14ac:dyDescent="0.25">
      <c r="A225" s="24" t="str">
        <f t="shared" si="44"/>
        <v>2024 JAN-JUN D75</v>
      </c>
      <c r="B225" s="7">
        <f t="shared" si="44"/>
        <v>46114</v>
      </c>
      <c r="C225" s="7">
        <f t="shared" si="44"/>
        <v>46120</v>
      </c>
      <c r="D225" s="24">
        <v>3280</v>
      </c>
      <c r="E225" s="24">
        <v>337</v>
      </c>
      <c r="F225" s="24">
        <v>4</v>
      </c>
      <c r="G225" s="24">
        <v>3</v>
      </c>
      <c r="H225" s="24">
        <v>81490</v>
      </c>
      <c r="I225" s="38" t="s">
        <v>1505</v>
      </c>
      <c r="J225" s="24">
        <v>15553449</v>
      </c>
      <c r="K225" s="24" t="s">
        <v>3745</v>
      </c>
      <c r="L225" s="24" t="s">
        <v>3747</v>
      </c>
      <c r="M225" s="41">
        <v>349900</v>
      </c>
      <c r="N225" s="40">
        <f t="shared" si="45"/>
        <v>0.75</v>
      </c>
      <c r="O225" s="42">
        <f t="shared" si="43"/>
        <v>87475</v>
      </c>
      <c r="P225" s="40" t="str">
        <f t="shared" si="46"/>
        <v>PERCENTAGE</v>
      </c>
    </row>
    <row r="226" spans="1:16" s="31" customFormat="1" x14ac:dyDescent="0.25">
      <c r="A226" s="24" t="str">
        <f t="shared" si="44"/>
        <v>2024 JAN-JUN D75</v>
      </c>
      <c r="B226" s="7">
        <f t="shared" si="44"/>
        <v>46114</v>
      </c>
      <c r="C226" s="7">
        <f t="shared" si="44"/>
        <v>46120</v>
      </c>
      <c r="D226" s="24">
        <v>3280</v>
      </c>
      <c r="E226" s="24">
        <v>337</v>
      </c>
      <c r="F226" s="24">
        <v>4</v>
      </c>
      <c r="G226" s="24">
        <v>3</v>
      </c>
      <c r="H226" s="24">
        <v>81490</v>
      </c>
      <c r="I226" s="38" t="s">
        <v>1505</v>
      </c>
      <c r="J226" s="24">
        <v>15553458</v>
      </c>
      <c r="K226" s="24" t="s">
        <v>3745</v>
      </c>
      <c r="L226" s="24" t="s">
        <v>3748</v>
      </c>
      <c r="M226" s="41">
        <v>349900</v>
      </c>
      <c r="N226" s="40">
        <f t="shared" si="45"/>
        <v>0.75</v>
      </c>
      <c r="O226" s="42">
        <f t="shared" si="43"/>
        <v>87475</v>
      </c>
      <c r="P226" s="40" t="str">
        <f t="shared" si="46"/>
        <v>PERCENTAGE</v>
      </c>
    </row>
    <row r="227" spans="1:16" s="31" customFormat="1" x14ac:dyDescent="0.25">
      <c r="A227" s="24" t="str">
        <f t="shared" si="44"/>
        <v>2024 JAN-JUN D75</v>
      </c>
      <c r="B227" s="7">
        <f t="shared" si="44"/>
        <v>46114</v>
      </c>
      <c r="C227" s="7">
        <f t="shared" si="44"/>
        <v>46120</v>
      </c>
      <c r="D227" s="24">
        <v>3280</v>
      </c>
      <c r="E227" s="24">
        <v>337</v>
      </c>
      <c r="F227" s="24">
        <v>4</v>
      </c>
      <c r="G227" s="24">
        <v>3</v>
      </c>
      <c r="H227" s="24">
        <v>81490</v>
      </c>
      <c r="I227" s="38" t="s">
        <v>1505</v>
      </c>
      <c r="J227" s="24">
        <v>15553467</v>
      </c>
      <c r="K227" s="24" t="s">
        <v>3745</v>
      </c>
      <c r="L227" s="24" t="s">
        <v>3749</v>
      </c>
      <c r="M227" s="41">
        <v>359900</v>
      </c>
      <c r="N227" s="40">
        <f t="shared" si="45"/>
        <v>0.75</v>
      </c>
      <c r="O227" s="42">
        <f t="shared" si="43"/>
        <v>89975</v>
      </c>
      <c r="P227" s="40" t="str">
        <f t="shared" si="46"/>
        <v>PERCENTAGE</v>
      </c>
    </row>
    <row r="228" spans="1:16" s="31" customFormat="1" x14ac:dyDescent="0.25">
      <c r="A228" s="24" t="str">
        <f t="shared" si="44"/>
        <v>2024 JAN-JUN D75</v>
      </c>
      <c r="B228" s="7">
        <f t="shared" si="44"/>
        <v>46114</v>
      </c>
      <c r="C228" s="7">
        <f t="shared" si="44"/>
        <v>46120</v>
      </c>
      <c r="D228" s="24">
        <v>3280</v>
      </c>
      <c r="E228" s="24">
        <v>337</v>
      </c>
      <c r="F228" s="24">
        <v>4</v>
      </c>
      <c r="G228" s="24">
        <v>3</v>
      </c>
      <c r="H228" s="24">
        <v>81490</v>
      </c>
      <c r="I228" s="38" t="s">
        <v>1505</v>
      </c>
      <c r="J228" s="24">
        <v>15553476</v>
      </c>
      <c r="K228" s="24" t="s">
        <v>3745</v>
      </c>
      <c r="L228" s="24" t="s">
        <v>3751</v>
      </c>
      <c r="M228" s="41">
        <v>359900</v>
      </c>
      <c r="N228" s="40">
        <f t="shared" si="45"/>
        <v>0.75</v>
      </c>
      <c r="O228" s="42">
        <f t="shared" si="43"/>
        <v>89975</v>
      </c>
      <c r="P228" s="40" t="str">
        <f t="shared" si="46"/>
        <v>PERCENTAGE</v>
      </c>
    </row>
    <row r="229" spans="1:16" s="31" customFormat="1" x14ac:dyDescent="0.25">
      <c r="A229" s="24" t="str">
        <f t="shared" si="44"/>
        <v>2024 JAN-JUN D75</v>
      </c>
      <c r="B229" s="7">
        <f t="shared" si="44"/>
        <v>46114</v>
      </c>
      <c r="C229" s="7">
        <f t="shared" si="44"/>
        <v>46120</v>
      </c>
      <c r="D229" s="24">
        <v>3280</v>
      </c>
      <c r="E229" s="24">
        <v>337</v>
      </c>
      <c r="F229" s="24">
        <v>4</v>
      </c>
      <c r="G229" s="24">
        <v>3</v>
      </c>
      <c r="H229" s="24">
        <v>81490</v>
      </c>
      <c r="I229" s="38" t="s">
        <v>1505</v>
      </c>
      <c r="J229" s="24">
        <v>15553485</v>
      </c>
      <c r="K229" s="24" t="s">
        <v>3745</v>
      </c>
      <c r="L229" s="24" t="s">
        <v>3750</v>
      </c>
      <c r="M229" s="41">
        <v>359900</v>
      </c>
      <c r="N229" s="40">
        <f t="shared" si="45"/>
        <v>0.75</v>
      </c>
      <c r="O229" s="42">
        <f t="shared" si="43"/>
        <v>89975</v>
      </c>
      <c r="P229" s="40" t="str">
        <f t="shared" si="46"/>
        <v>PERCENTAGE</v>
      </c>
    </row>
    <row r="230" spans="1:16" s="31" customFormat="1" x14ac:dyDescent="0.25">
      <c r="A230" s="24" t="str">
        <f t="shared" si="44"/>
        <v>2024 JAN-JUN D75</v>
      </c>
      <c r="B230" s="7">
        <f t="shared" si="44"/>
        <v>46114</v>
      </c>
      <c r="C230" s="7">
        <f t="shared" si="44"/>
        <v>46120</v>
      </c>
      <c r="D230" s="24">
        <v>3280</v>
      </c>
      <c r="E230" s="24">
        <v>337</v>
      </c>
      <c r="F230" s="24">
        <v>4</v>
      </c>
      <c r="G230" s="24">
        <v>3</v>
      </c>
      <c r="H230" s="24">
        <v>81490</v>
      </c>
      <c r="I230" s="38" t="s">
        <v>1505</v>
      </c>
      <c r="J230" s="24">
        <v>15553494</v>
      </c>
      <c r="K230" s="24" t="s">
        <v>3634</v>
      </c>
      <c r="L230" s="24" t="s">
        <v>3635</v>
      </c>
      <c r="M230" s="41">
        <v>349900</v>
      </c>
      <c r="N230" s="40">
        <f t="shared" si="45"/>
        <v>0.75</v>
      </c>
      <c r="O230" s="42">
        <f t="shared" si="43"/>
        <v>87475</v>
      </c>
      <c r="P230" s="40" t="str">
        <f t="shared" si="46"/>
        <v>PERCENTAGE</v>
      </c>
    </row>
    <row r="231" spans="1:16" s="31" customFormat="1" x14ac:dyDescent="0.25">
      <c r="A231" s="24" t="str">
        <f t="shared" si="44"/>
        <v>2024 JAN-JUN D75</v>
      </c>
      <c r="B231" s="7">
        <f t="shared" si="44"/>
        <v>46114</v>
      </c>
      <c r="C231" s="7">
        <f t="shared" si="44"/>
        <v>46120</v>
      </c>
      <c r="D231" s="24">
        <v>3280</v>
      </c>
      <c r="E231" s="24">
        <v>337</v>
      </c>
      <c r="F231" s="24">
        <v>4</v>
      </c>
      <c r="G231" s="24">
        <v>3</v>
      </c>
      <c r="H231" s="24">
        <v>81490</v>
      </c>
      <c r="I231" s="38" t="s">
        <v>1505</v>
      </c>
      <c r="J231" s="24">
        <v>15553501</v>
      </c>
      <c r="K231" s="24" t="s">
        <v>3634</v>
      </c>
      <c r="L231" s="24" t="s">
        <v>3636</v>
      </c>
      <c r="M231" s="41">
        <v>349900</v>
      </c>
      <c r="N231" s="40">
        <f t="shared" si="45"/>
        <v>0.75</v>
      </c>
      <c r="O231" s="42">
        <f t="shared" si="43"/>
        <v>87475</v>
      </c>
      <c r="P231" s="40" t="str">
        <f t="shared" si="46"/>
        <v>PERCENTAGE</v>
      </c>
    </row>
    <row r="232" spans="1:16" s="31" customFormat="1" x14ac:dyDescent="0.25">
      <c r="A232" s="24" t="str">
        <f t="shared" si="44"/>
        <v>2024 JAN-JUN D75</v>
      </c>
      <c r="B232" s="7">
        <f t="shared" si="44"/>
        <v>46114</v>
      </c>
      <c r="C232" s="7">
        <f t="shared" si="44"/>
        <v>46120</v>
      </c>
      <c r="D232" s="24">
        <v>3280</v>
      </c>
      <c r="E232" s="24">
        <v>337</v>
      </c>
      <c r="F232" s="24">
        <v>4</v>
      </c>
      <c r="G232" s="24">
        <v>3</v>
      </c>
      <c r="H232" s="24">
        <v>81490</v>
      </c>
      <c r="I232" s="38" t="s">
        <v>1505</v>
      </c>
      <c r="J232" s="24">
        <v>15553510</v>
      </c>
      <c r="K232" s="24" t="s">
        <v>3634</v>
      </c>
      <c r="L232" s="24" t="s">
        <v>3637</v>
      </c>
      <c r="M232" s="41">
        <v>349900</v>
      </c>
      <c r="N232" s="40">
        <f t="shared" si="45"/>
        <v>0.75</v>
      </c>
      <c r="O232" s="42">
        <f t="shared" si="43"/>
        <v>87475</v>
      </c>
      <c r="P232" s="40" t="str">
        <f t="shared" si="46"/>
        <v>PERCENTAGE</v>
      </c>
    </row>
    <row r="233" spans="1:16" s="31" customFormat="1" x14ac:dyDescent="0.25">
      <c r="A233" s="24" t="str">
        <f t="shared" si="44"/>
        <v>2024 JAN-JUN D75</v>
      </c>
      <c r="B233" s="7">
        <f t="shared" si="44"/>
        <v>46114</v>
      </c>
      <c r="C233" s="7">
        <f t="shared" si="44"/>
        <v>46120</v>
      </c>
      <c r="D233" s="24">
        <v>3280</v>
      </c>
      <c r="E233" s="24">
        <v>337</v>
      </c>
      <c r="F233" s="24">
        <v>4</v>
      </c>
      <c r="G233" s="24">
        <v>3</v>
      </c>
      <c r="H233" s="24">
        <v>81490</v>
      </c>
      <c r="I233" s="38" t="s">
        <v>1505</v>
      </c>
      <c r="J233" s="24">
        <v>15553529</v>
      </c>
      <c r="K233" s="24" t="s">
        <v>3634</v>
      </c>
      <c r="L233" s="24" t="s">
        <v>3638</v>
      </c>
      <c r="M233" s="41">
        <v>359900</v>
      </c>
      <c r="N233" s="40">
        <f t="shared" si="45"/>
        <v>0.75</v>
      </c>
      <c r="O233" s="42">
        <f t="shared" si="43"/>
        <v>89975</v>
      </c>
      <c r="P233" s="40" t="str">
        <f t="shared" si="46"/>
        <v>PERCENTAGE</v>
      </c>
    </row>
    <row r="234" spans="1:16" s="31" customFormat="1" x14ac:dyDescent="0.25">
      <c r="A234" s="24" t="str">
        <f t="shared" si="44"/>
        <v>2024 JAN-JUN D75</v>
      </c>
      <c r="B234" s="7">
        <f t="shared" si="44"/>
        <v>46114</v>
      </c>
      <c r="C234" s="7">
        <f t="shared" si="44"/>
        <v>46120</v>
      </c>
      <c r="D234" s="24">
        <v>3280</v>
      </c>
      <c r="E234" s="24">
        <v>337</v>
      </c>
      <c r="F234" s="24">
        <v>4</v>
      </c>
      <c r="G234" s="24">
        <v>3</v>
      </c>
      <c r="H234" s="24">
        <v>81490</v>
      </c>
      <c r="I234" s="38" t="s">
        <v>1505</v>
      </c>
      <c r="J234" s="24">
        <v>15553538</v>
      </c>
      <c r="K234" s="24" t="s">
        <v>3634</v>
      </c>
      <c r="L234" s="24" t="s">
        <v>3639</v>
      </c>
      <c r="M234" s="41">
        <v>359900</v>
      </c>
      <c r="N234" s="40">
        <f t="shared" si="45"/>
        <v>0.75</v>
      </c>
      <c r="O234" s="42">
        <f t="shared" si="43"/>
        <v>89975</v>
      </c>
      <c r="P234" s="40" t="str">
        <f t="shared" si="46"/>
        <v>PERCENTAGE</v>
      </c>
    </row>
    <row r="235" spans="1:16" s="31" customFormat="1" x14ac:dyDescent="0.25">
      <c r="A235" s="24" t="str">
        <f t="shared" si="44"/>
        <v>2024 JAN-JUN D75</v>
      </c>
      <c r="B235" s="7">
        <f t="shared" si="44"/>
        <v>46114</v>
      </c>
      <c r="C235" s="7">
        <f t="shared" si="44"/>
        <v>46120</v>
      </c>
      <c r="D235" s="24">
        <v>3280</v>
      </c>
      <c r="E235" s="24">
        <v>337</v>
      </c>
      <c r="F235" s="24">
        <v>4</v>
      </c>
      <c r="G235" s="24">
        <v>3</v>
      </c>
      <c r="H235" s="24">
        <v>81490</v>
      </c>
      <c r="I235" s="38" t="s">
        <v>1505</v>
      </c>
      <c r="J235" s="24">
        <v>15553547</v>
      </c>
      <c r="K235" s="24" t="s">
        <v>3634</v>
      </c>
      <c r="L235" s="24" t="s">
        <v>3640</v>
      </c>
      <c r="M235" s="41">
        <v>359900</v>
      </c>
      <c r="N235" s="40">
        <f t="shared" si="45"/>
        <v>0.75</v>
      </c>
      <c r="O235" s="42">
        <f t="shared" si="43"/>
        <v>89975</v>
      </c>
      <c r="P235" s="40" t="str">
        <f t="shared" si="46"/>
        <v>PERCENTAGE</v>
      </c>
    </row>
    <row r="236" spans="1:16" s="31" customFormat="1" x14ac:dyDescent="0.25">
      <c r="A236" s="24" t="str">
        <f t="shared" si="44"/>
        <v>2024 JAN-JUN D75</v>
      </c>
      <c r="B236" s="7">
        <f t="shared" si="44"/>
        <v>46114</v>
      </c>
      <c r="C236" s="7">
        <f t="shared" si="44"/>
        <v>46120</v>
      </c>
      <c r="D236" s="24">
        <v>3280</v>
      </c>
      <c r="E236" s="24">
        <v>337</v>
      </c>
      <c r="F236" s="24">
        <v>4</v>
      </c>
      <c r="G236" s="24">
        <v>1</v>
      </c>
      <c r="H236" s="24">
        <v>81698</v>
      </c>
      <c r="I236" s="38" t="s">
        <v>1505</v>
      </c>
      <c r="J236" s="24">
        <v>15394568</v>
      </c>
      <c r="K236" s="24" t="s">
        <v>3787</v>
      </c>
      <c r="L236" s="24" t="s">
        <v>3788</v>
      </c>
      <c r="M236" s="41">
        <v>269900</v>
      </c>
      <c r="N236" s="40">
        <f t="shared" si="45"/>
        <v>0.75</v>
      </c>
      <c r="O236" s="42">
        <f t="shared" si="43"/>
        <v>67475</v>
      </c>
      <c r="P236" s="40" t="str">
        <f t="shared" si="46"/>
        <v>PERCENTAGE</v>
      </c>
    </row>
    <row r="237" spans="1:16" s="31" customFormat="1" x14ac:dyDescent="0.25">
      <c r="A237" s="24" t="str">
        <f t="shared" si="44"/>
        <v>2024 JAN-JUN D75</v>
      </c>
      <c r="B237" s="7">
        <f t="shared" si="44"/>
        <v>46114</v>
      </c>
      <c r="C237" s="7">
        <f t="shared" si="44"/>
        <v>46120</v>
      </c>
      <c r="D237" s="24">
        <v>3280</v>
      </c>
      <c r="E237" s="24">
        <v>337</v>
      </c>
      <c r="F237" s="24">
        <v>4</v>
      </c>
      <c r="G237" s="24">
        <v>1</v>
      </c>
      <c r="H237" s="24">
        <v>81698</v>
      </c>
      <c r="I237" s="38" t="s">
        <v>1505</v>
      </c>
      <c r="J237" s="24">
        <v>15394586</v>
      </c>
      <c r="K237" s="24" t="s">
        <v>3787</v>
      </c>
      <c r="L237" s="24" t="s">
        <v>3789</v>
      </c>
      <c r="M237" s="41">
        <v>269900</v>
      </c>
      <c r="N237" s="40">
        <f t="shared" si="45"/>
        <v>0.75</v>
      </c>
      <c r="O237" s="42">
        <f t="shared" si="43"/>
        <v>67475</v>
      </c>
      <c r="P237" s="40" t="str">
        <f t="shared" si="46"/>
        <v>PERCENTAGE</v>
      </c>
    </row>
    <row r="238" spans="1:16" s="31" customFormat="1" x14ac:dyDescent="0.25">
      <c r="A238" s="24" t="str">
        <f t="shared" si="44"/>
        <v>2024 JAN-JUN D75</v>
      </c>
      <c r="B238" s="7">
        <f t="shared" si="44"/>
        <v>46114</v>
      </c>
      <c r="C238" s="7">
        <f t="shared" si="44"/>
        <v>46120</v>
      </c>
      <c r="D238" s="24">
        <v>3280</v>
      </c>
      <c r="E238" s="24">
        <v>337</v>
      </c>
      <c r="F238" s="24">
        <v>4</v>
      </c>
      <c r="G238" s="24">
        <v>1</v>
      </c>
      <c r="H238" s="24">
        <v>81698</v>
      </c>
      <c r="I238" s="38" t="s">
        <v>1505</v>
      </c>
      <c r="J238" s="24">
        <v>15394611</v>
      </c>
      <c r="K238" s="24" t="s">
        <v>3787</v>
      </c>
      <c r="L238" s="24" t="s">
        <v>3790</v>
      </c>
      <c r="M238" s="41">
        <v>269900</v>
      </c>
      <c r="N238" s="40">
        <f t="shared" si="45"/>
        <v>0.75</v>
      </c>
      <c r="O238" s="42">
        <f t="shared" si="43"/>
        <v>67475</v>
      </c>
      <c r="P238" s="40" t="str">
        <f t="shared" si="46"/>
        <v>PERCENTAGE</v>
      </c>
    </row>
    <row r="239" spans="1:16" s="31" customFormat="1" x14ac:dyDescent="0.25">
      <c r="A239" s="24" t="str">
        <f t="shared" si="44"/>
        <v>2024 JAN-JUN D75</v>
      </c>
      <c r="B239" s="7">
        <f t="shared" si="44"/>
        <v>46114</v>
      </c>
      <c r="C239" s="7">
        <f t="shared" si="44"/>
        <v>46120</v>
      </c>
      <c r="D239" s="24">
        <v>3280</v>
      </c>
      <c r="E239" s="24">
        <v>337</v>
      </c>
      <c r="F239" s="24">
        <v>4</v>
      </c>
      <c r="G239" s="24">
        <v>1</v>
      </c>
      <c r="H239" s="24">
        <v>81698</v>
      </c>
      <c r="I239" s="38" t="s">
        <v>1505</v>
      </c>
      <c r="J239" s="24">
        <v>15394620</v>
      </c>
      <c r="K239" s="24" t="s">
        <v>3787</v>
      </c>
      <c r="L239" s="24" t="s">
        <v>3791</v>
      </c>
      <c r="M239" s="41">
        <v>279900</v>
      </c>
      <c r="N239" s="40">
        <f t="shared" si="45"/>
        <v>0.75</v>
      </c>
      <c r="O239" s="42">
        <f t="shared" si="43"/>
        <v>69975</v>
      </c>
      <c r="P239" s="40" t="str">
        <f t="shared" si="46"/>
        <v>PERCENTAGE</v>
      </c>
    </row>
    <row r="240" spans="1:16" s="31" customFormat="1" x14ac:dyDescent="0.25">
      <c r="A240" s="24" t="str">
        <f t="shared" si="44"/>
        <v>2024 JAN-JUN D75</v>
      </c>
      <c r="B240" s="7">
        <f t="shared" si="44"/>
        <v>46114</v>
      </c>
      <c r="C240" s="7">
        <f t="shared" si="44"/>
        <v>46120</v>
      </c>
      <c r="D240" s="24">
        <v>3280</v>
      </c>
      <c r="E240" s="24">
        <v>337</v>
      </c>
      <c r="F240" s="24">
        <v>4</v>
      </c>
      <c r="G240" s="24">
        <v>1</v>
      </c>
      <c r="H240" s="24">
        <v>81698</v>
      </c>
      <c r="I240" s="38" t="s">
        <v>1505</v>
      </c>
      <c r="J240" s="24">
        <v>15394639</v>
      </c>
      <c r="K240" s="24" t="s">
        <v>3787</v>
      </c>
      <c r="L240" s="24" t="s">
        <v>3792</v>
      </c>
      <c r="M240" s="41">
        <v>279900</v>
      </c>
      <c r="N240" s="40">
        <f t="shared" si="45"/>
        <v>0.75</v>
      </c>
      <c r="O240" s="42">
        <f t="shared" si="43"/>
        <v>69975</v>
      </c>
      <c r="P240" s="40" t="str">
        <f t="shared" si="46"/>
        <v>PERCENTAGE</v>
      </c>
    </row>
    <row r="241" spans="1:16" s="31" customFormat="1" x14ac:dyDescent="0.25">
      <c r="A241" s="24" t="str">
        <f t="shared" si="44"/>
        <v>2024 JAN-JUN D75</v>
      </c>
      <c r="B241" s="7">
        <f t="shared" si="44"/>
        <v>46114</v>
      </c>
      <c r="C241" s="7">
        <f t="shared" si="44"/>
        <v>46120</v>
      </c>
      <c r="D241" s="24">
        <v>3280</v>
      </c>
      <c r="E241" s="24">
        <v>337</v>
      </c>
      <c r="F241" s="24">
        <v>4</v>
      </c>
      <c r="G241" s="24">
        <v>1</v>
      </c>
      <c r="H241" s="24">
        <v>81698</v>
      </c>
      <c r="I241" s="38" t="s">
        <v>1505</v>
      </c>
      <c r="J241" s="24">
        <v>15394648</v>
      </c>
      <c r="K241" s="24" t="s">
        <v>3787</v>
      </c>
      <c r="L241" s="24" t="s">
        <v>3793</v>
      </c>
      <c r="M241" s="41">
        <v>279900</v>
      </c>
      <c r="N241" s="40">
        <f t="shared" si="45"/>
        <v>0.75</v>
      </c>
      <c r="O241" s="42">
        <f t="shared" si="43"/>
        <v>69975</v>
      </c>
      <c r="P241" s="40" t="str">
        <f t="shared" si="46"/>
        <v>PERCENTAGE</v>
      </c>
    </row>
    <row r="242" spans="1:16" s="31" customFormat="1" x14ac:dyDescent="0.25">
      <c r="A242" s="24" t="str">
        <f t="shared" si="44"/>
        <v>2024 JAN-JUN D75</v>
      </c>
      <c r="B242" s="7">
        <f t="shared" si="44"/>
        <v>46114</v>
      </c>
      <c r="C242" s="7">
        <f t="shared" si="44"/>
        <v>46120</v>
      </c>
      <c r="D242" s="24">
        <v>3280</v>
      </c>
      <c r="E242" s="24">
        <v>337</v>
      </c>
      <c r="F242" s="24">
        <v>4</v>
      </c>
      <c r="G242" s="24">
        <v>2</v>
      </c>
      <c r="H242" s="24">
        <v>81622</v>
      </c>
      <c r="I242" s="38" t="s">
        <v>1505</v>
      </c>
      <c r="J242" s="24">
        <v>15395834</v>
      </c>
      <c r="K242" s="24" t="s">
        <v>3850</v>
      </c>
      <c r="L242" s="24" t="s">
        <v>3851</v>
      </c>
      <c r="M242" s="41">
        <v>239900</v>
      </c>
      <c r="N242" s="40">
        <f t="shared" si="45"/>
        <v>0.75</v>
      </c>
      <c r="O242" s="42">
        <f t="shared" si="43"/>
        <v>59975</v>
      </c>
      <c r="P242" s="40" t="str">
        <f t="shared" si="46"/>
        <v>PERCENTAGE</v>
      </c>
    </row>
    <row r="243" spans="1:16" s="31" customFormat="1" x14ac:dyDescent="0.25">
      <c r="A243" s="24" t="str">
        <f t="shared" si="44"/>
        <v>2024 JAN-JUN D75</v>
      </c>
      <c r="B243" s="7">
        <f t="shared" si="44"/>
        <v>46114</v>
      </c>
      <c r="C243" s="7">
        <f t="shared" si="44"/>
        <v>46120</v>
      </c>
      <c r="D243" s="24">
        <v>3280</v>
      </c>
      <c r="E243" s="24">
        <v>337</v>
      </c>
      <c r="F243" s="24">
        <v>4</v>
      </c>
      <c r="G243" s="24">
        <v>2</v>
      </c>
      <c r="H243" s="24">
        <v>81622</v>
      </c>
      <c r="I243" s="38" t="s">
        <v>1505</v>
      </c>
      <c r="J243" s="24">
        <v>15395843</v>
      </c>
      <c r="K243" s="24" t="s">
        <v>3850</v>
      </c>
      <c r="L243" s="24" t="s">
        <v>3852</v>
      </c>
      <c r="M243" s="41">
        <v>239900</v>
      </c>
      <c r="N243" s="40">
        <f t="shared" si="45"/>
        <v>0.75</v>
      </c>
      <c r="O243" s="42">
        <f t="shared" si="43"/>
        <v>59975</v>
      </c>
      <c r="P243" s="40" t="str">
        <f t="shared" si="46"/>
        <v>PERCENTAGE</v>
      </c>
    </row>
    <row r="244" spans="1:16" s="31" customFormat="1" x14ac:dyDescent="0.25">
      <c r="A244" s="24" t="str">
        <f t="shared" si="44"/>
        <v>2024 JAN-JUN D75</v>
      </c>
      <c r="B244" s="7">
        <f t="shared" si="44"/>
        <v>46114</v>
      </c>
      <c r="C244" s="7">
        <f t="shared" si="44"/>
        <v>46120</v>
      </c>
      <c r="D244" s="24">
        <v>3280</v>
      </c>
      <c r="E244" s="24">
        <v>337</v>
      </c>
      <c r="F244" s="24">
        <v>4</v>
      </c>
      <c r="G244" s="24">
        <v>2</v>
      </c>
      <c r="H244" s="24">
        <v>81622</v>
      </c>
      <c r="I244" s="38" t="s">
        <v>1505</v>
      </c>
      <c r="J244" s="24">
        <v>15395852</v>
      </c>
      <c r="K244" s="24" t="s">
        <v>3850</v>
      </c>
      <c r="L244" s="24" t="s">
        <v>3853</v>
      </c>
      <c r="M244" s="41">
        <v>239900</v>
      </c>
      <c r="N244" s="40">
        <f t="shared" si="45"/>
        <v>0.75</v>
      </c>
      <c r="O244" s="42">
        <f t="shared" si="43"/>
        <v>59975</v>
      </c>
      <c r="P244" s="40" t="str">
        <f t="shared" si="46"/>
        <v>PERCENTAGE</v>
      </c>
    </row>
    <row r="245" spans="1:16" s="31" customFormat="1" x14ac:dyDescent="0.25">
      <c r="A245" s="24" t="str">
        <f t="shared" si="44"/>
        <v>2024 JAN-JUN D75</v>
      </c>
      <c r="B245" s="7">
        <f t="shared" si="44"/>
        <v>46114</v>
      </c>
      <c r="C245" s="7">
        <f t="shared" si="44"/>
        <v>46120</v>
      </c>
      <c r="D245" s="24">
        <v>3280</v>
      </c>
      <c r="E245" s="24">
        <v>337</v>
      </c>
      <c r="F245" s="24">
        <v>4</v>
      </c>
      <c r="G245" s="24">
        <v>2</v>
      </c>
      <c r="H245" s="24">
        <v>81622</v>
      </c>
      <c r="I245" s="38" t="s">
        <v>1505</v>
      </c>
      <c r="J245" s="24">
        <v>15395861</v>
      </c>
      <c r="K245" s="24" t="s">
        <v>3850</v>
      </c>
      <c r="L245" s="24" t="s">
        <v>3854</v>
      </c>
      <c r="M245" s="41">
        <v>249900</v>
      </c>
      <c r="N245" s="40">
        <f t="shared" si="45"/>
        <v>0.75</v>
      </c>
      <c r="O245" s="42">
        <f t="shared" si="43"/>
        <v>62475</v>
      </c>
      <c r="P245" s="40" t="str">
        <f t="shared" si="46"/>
        <v>PERCENTAGE</v>
      </c>
    </row>
    <row r="246" spans="1:16" s="31" customFormat="1" x14ac:dyDescent="0.25">
      <c r="A246" s="24" t="str">
        <f t="shared" si="44"/>
        <v>2024 JAN-JUN D75</v>
      </c>
      <c r="B246" s="7">
        <f t="shared" si="44"/>
        <v>46114</v>
      </c>
      <c r="C246" s="7">
        <f t="shared" si="44"/>
        <v>46120</v>
      </c>
      <c r="D246" s="24">
        <v>3280</v>
      </c>
      <c r="E246" s="24">
        <v>337</v>
      </c>
      <c r="F246" s="24">
        <v>4</v>
      </c>
      <c r="G246" s="24">
        <v>2</v>
      </c>
      <c r="H246" s="24">
        <v>81622</v>
      </c>
      <c r="I246" s="38" t="s">
        <v>1505</v>
      </c>
      <c r="J246" s="24">
        <v>15395914</v>
      </c>
      <c r="K246" s="24" t="s">
        <v>3850</v>
      </c>
      <c r="L246" s="24" t="s">
        <v>3855</v>
      </c>
      <c r="M246" s="41">
        <v>249900</v>
      </c>
      <c r="N246" s="40">
        <f t="shared" si="45"/>
        <v>0.75</v>
      </c>
      <c r="O246" s="42">
        <f t="shared" si="43"/>
        <v>62475</v>
      </c>
      <c r="P246" s="40" t="str">
        <f t="shared" si="46"/>
        <v>PERCENTAGE</v>
      </c>
    </row>
    <row r="247" spans="1:16" s="31" customFormat="1" x14ac:dyDescent="0.25">
      <c r="A247" s="24" t="str">
        <f t="shared" si="44"/>
        <v>2024 JAN-JUN D75</v>
      </c>
      <c r="B247" s="7">
        <f t="shared" si="44"/>
        <v>46114</v>
      </c>
      <c r="C247" s="7">
        <f t="shared" si="44"/>
        <v>46120</v>
      </c>
      <c r="D247" s="24">
        <v>3280</v>
      </c>
      <c r="E247" s="24">
        <v>337</v>
      </c>
      <c r="F247" s="24">
        <v>4</v>
      </c>
      <c r="G247" s="24">
        <v>2</v>
      </c>
      <c r="H247" s="24">
        <v>81622</v>
      </c>
      <c r="I247" s="38" t="s">
        <v>1505</v>
      </c>
      <c r="J247" s="24">
        <v>15395923</v>
      </c>
      <c r="K247" s="24" t="s">
        <v>3850</v>
      </c>
      <c r="L247" s="24" t="s">
        <v>3856</v>
      </c>
      <c r="M247" s="41">
        <v>249900</v>
      </c>
      <c r="N247" s="40">
        <f t="shared" si="45"/>
        <v>0.75</v>
      </c>
      <c r="O247" s="42">
        <f t="shared" si="43"/>
        <v>62475</v>
      </c>
      <c r="P247" s="40" t="str">
        <f t="shared" si="46"/>
        <v>PERCENTAGE</v>
      </c>
    </row>
    <row r="248" spans="1:16" s="31" customFormat="1" x14ac:dyDescent="0.25">
      <c r="A248" s="24" t="str">
        <f t="shared" si="44"/>
        <v>2024 JAN-JUN D75</v>
      </c>
      <c r="B248" s="7">
        <f t="shared" si="44"/>
        <v>46114</v>
      </c>
      <c r="C248" s="7">
        <f t="shared" si="44"/>
        <v>46120</v>
      </c>
      <c r="D248" s="24">
        <v>3280</v>
      </c>
      <c r="E248" s="24">
        <v>337</v>
      </c>
      <c r="F248" s="24">
        <v>4</v>
      </c>
      <c r="G248" s="24">
        <v>2</v>
      </c>
      <c r="H248" s="24">
        <v>81632</v>
      </c>
      <c r="I248" s="38" t="s">
        <v>1505</v>
      </c>
      <c r="J248" s="24">
        <v>15396164</v>
      </c>
      <c r="K248" s="24" t="s">
        <v>3857</v>
      </c>
      <c r="L248" s="24" t="s">
        <v>3858</v>
      </c>
      <c r="M248" s="41">
        <v>239900</v>
      </c>
      <c r="N248" s="40">
        <f t="shared" si="45"/>
        <v>0.75</v>
      </c>
      <c r="O248" s="42">
        <f t="shared" si="43"/>
        <v>59975</v>
      </c>
      <c r="P248" s="40" t="str">
        <f t="shared" si="46"/>
        <v>PERCENTAGE</v>
      </c>
    </row>
    <row r="249" spans="1:16" s="31" customFormat="1" x14ac:dyDescent="0.25">
      <c r="A249" s="24" t="str">
        <f t="shared" si="44"/>
        <v>2024 JAN-JUN D75</v>
      </c>
      <c r="B249" s="7">
        <f t="shared" si="44"/>
        <v>46114</v>
      </c>
      <c r="C249" s="7">
        <f t="shared" si="44"/>
        <v>46120</v>
      </c>
      <c r="D249" s="24">
        <v>3280</v>
      </c>
      <c r="E249" s="24">
        <v>337</v>
      </c>
      <c r="F249" s="24">
        <v>4</v>
      </c>
      <c r="G249" s="24">
        <v>2</v>
      </c>
      <c r="H249" s="24">
        <v>81632</v>
      </c>
      <c r="I249" s="38" t="s">
        <v>1505</v>
      </c>
      <c r="J249" s="24">
        <v>15396182</v>
      </c>
      <c r="K249" s="24" t="s">
        <v>3857</v>
      </c>
      <c r="L249" s="24" t="s">
        <v>3859</v>
      </c>
      <c r="M249" s="41">
        <v>239900</v>
      </c>
      <c r="N249" s="40">
        <f t="shared" si="45"/>
        <v>0.75</v>
      </c>
      <c r="O249" s="42">
        <f t="shared" si="43"/>
        <v>59975</v>
      </c>
      <c r="P249" s="40" t="str">
        <f t="shared" si="46"/>
        <v>PERCENTAGE</v>
      </c>
    </row>
    <row r="250" spans="1:16" s="31" customFormat="1" x14ac:dyDescent="0.25">
      <c r="A250" s="24" t="str">
        <f t="shared" si="44"/>
        <v>2024 JAN-JUN D75</v>
      </c>
      <c r="B250" s="7">
        <f t="shared" si="44"/>
        <v>46114</v>
      </c>
      <c r="C250" s="7">
        <f t="shared" si="44"/>
        <v>46120</v>
      </c>
      <c r="D250" s="24">
        <v>3280</v>
      </c>
      <c r="E250" s="24">
        <v>337</v>
      </c>
      <c r="F250" s="24">
        <v>4</v>
      </c>
      <c r="G250" s="24">
        <v>2</v>
      </c>
      <c r="H250" s="24">
        <v>81632</v>
      </c>
      <c r="I250" s="38" t="s">
        <v>1505</v>
      </c>
      <c r="J250" s="24">
        <v>15396191</v>
      </c>
      <c r="K250" s="24" t="s">
        <v>3857</v>
      </c>
      <c r="L250" s="24" t="s">
        <v>3860</v>
      </c>
      <c r="M250" s="41">
        <v>239900</v>
      </c>
      <c r="N250" s="40">
        <f t="shared" si="45"/>
        <v>0.75</v>
      </c>
      <c r="O250" s="42">
        <f t="shared" si="43"/>
        <v>59975</v>
      </c>
      <c r="P250" s="40" t="str">
        <f t="shared" si="46"/>
        <v>PERCENTAGE</v>
      </c>
    </row>
    <row r="251" spans="1:16" s="31" customFormat="1" x14ac:dyDescent="0.25">
      <c r="A251" s="24" t="str">
        <f t="shared" si="44"/>
        <v>2024 JAN-JUN D75</v>
      </c>
      <c r="B251" s="7">
        <f t="shared" si="44"/>
        <v>46114</v>
      </c>
      <c r="C251" s="7">
        <f t="shared" si="44"/>
        <v>46120</v>
      </c>
      <c r="D251" s="24">
        <v>3280</v>
      </c>
      <c r="E251" s="24">
        <v>337</v>
      </c>
      <c r="F251" s="24">
        <v>4</v>
      </c>
      <c r="G251" s="24">
        <v>2</v>
      </c>
      <c r="H251" s="24">
        <v>81632</v>
      </c>
      <c r="I251" s="38" t="s">
        <v>1505</v>
      </c>
      <c r="J251" s="24">
        <v>15396208</v>
      </c>
      <c r="K251" s="24" t="s">
        <v>3857</v>
      </c>
      <c r="L251" s="24" t="s">
        <v>3861</v>
      </c>
      <c r="M251" s="41">
        <v>249900</v>
      </c>
      <c r="N251" s="40">
        <f t="shared" si="45"/>
        <v>0.75</v>
      </c>
      <c r="O251" s="42">
        <f t="shared" si="43"/>
        <v>62475</v>
      </c>
      <c r="P251" s="40" t="str">
        <f t="shared" si="46"/>
        <v>PERCENTAGE</v>
      </c>
    </row>
    <row r="252" spans="1:16" s="31" customFormat="1" x14ac:dyDescent="0.25">
      <c r="A252" s="24" t="str">
        <f t="shared" si="44"/>
        <v>2024 JAN-JUN D75</v>
      </c>
      <c r="B252" s="7">
        <f t="shared" si="44"/>
        <v>46114</v>
      </c>
      <c r="C252" s="7">
        <f t="shared" si="44"/>
        <v>46120</v>
      </c>
      <c r="D252" s="24">
        <v>3280</v>
      </c>
      <c r="E252" s="24">
        <v>337</v>
      </c>
      <c r="F252" s="24">
        <v>4</v>
      </c>
      <c r="G252" s="24">
        <v>2</v>
      </c>
      <c r="H252" s="24">
        <v>81632</v>
      </c>
      <c r="I252" s="38" t="s">
        <v>1505</v>
      </c>
      <c r="J252" s="24">
        <v>15396217</v>
      </c>
      <c r="K252" s="24" t="s">
        <v>3857</v>
      </c>
      <c r="L252" s="24" t="s">
        <v>3862</v>
      </c>
      <c r="M252" s="41">
        <v>249900</v>
      </c>
      <c r="N252" s="40">
        <f t="shared" si="45"/>
        <v>0.75</v>
      </c>
      <c r="O252" s="42">
        <f t="shared" si="43"/>
        <v>62475</v>
      </c>
      <c r="P252" s="40" t="str">
        <f t="shared" si="46"/>
        <v>PERCENTAGE</v>
      </c>
    </row>
    <row r="253" spans="1:16" s="31" customFormat="1" x14ac:dyDescent="0.25">
      <c r="A253" s="24" t="str">
        <f t="shared" si="44"/>
        <v>2024 JAN-JUN D75</v>
      </c>
      <c r="B253" s="7">
        <f t="shared" si="44"/>
        <v>46114</v>
      </c>
      <c r="C253" s="7">
        <f t="shared" si="44"/>
        <v>46120</v>
      </c>
      <c r="D253" s="24">
        <v>3280</v>
      </c>
      <c r="E253" s="24">
        <v>337</v>
      </c>
      <c r="F253" s="24">
        <v>4</v>
      </c>
      <c r="G253" s="24">
        <v>2</v>
      </c>
      <c r="H253" s="24">
        <v>81632</v>
      </c>
      <c r="I253" s="38" t="s">
        <v>1505</v>
      </c>
      <c r="J253" s="24">
        <v>15396226</v>
      </c>
      <c r="K253" s="24" t="s">
        <v>3857</v>
      </c>
      <c r="L253" s="24" t="s">
        <v>3863</v>
      </c>
      <c r="M253" s="41">
        <v>249900</v>
      </c>
      <c r="N253" s="40">
        <f t="shared" si="45"/>
        <v>0.75</v>
      </c>
      <c r="O253" s="42">
        <f t="shared" si="43"/>
        <v>62475</v>
      </c>
      <c r="P253" s="40" t="str">
        <f t="shared" si="46"/>
        <v>PERCENTAGE</v>
      </c>
    </row>
    <row r="254" spans="1:16" s="31" customFormat="1" x14ac:dyDescent="0.25">
      <c r="A254" s="24" t="str">
        <f t="shared" si="44"/>
        <v>2024 JAN-JUN D75</v>
      </c>
      <c r="B254" s="7">
        <f t="shared" si="44"/>
        <v>46114</v>
      </c>
      <c r="C254" s="7">
        <f t="shared" si="44"/>
        <v>46120</v>
      </c>
      <c r="D254" s="24">
        <v>3280</v>
      </c>
      <c r="E254" s="24">
        <v>337</v>
      </c>
      <c r="F254" s="24">
        <v>4</v>
      </c>
      <c r="G254" s="24">
        <v>2</v>
      </c>
      <c r="H254" s="24">
        <v>81490</v>
      </c>
      <c r="I254" s="38" t="s">
        <v>1505</v>
      </c>
      <c r="J254" s="24">
        <v>15395585</v>
      </c>
      <c r="K254" s="24" t="s">
        <v>3885</v>
      </c>
      <c r="L254" s="24" t="s">
        <v>3886</v>
      </c>
      <c r="M254" s="41">
        <v>249900</v>
      </c>
      <c r="N254" s="40">
        <f t="shared" si="45"/>
        <v>0.75</v>
      </c>
      <c r="O254" s="42">
        <f t="shared" si="43"/>
        <v>62475</v>
      </c>
      <c r="P254" s="40" t="str">
        <f t="shared" si="46"/>
        <v>PERCENTAGE</v>
      </c>
    </row>
    <row r="255" spans="1:16" s="31" customFormat="1" x14ac:dyDescent="0.25">
      <c r="A255" s="24" t="str">
        <f t="shared" si="44"/>
        <v>2024 JAN-JUN D75</v>
      </c>
      <c r="B255" s="7">
        <f t="shared" si="44"/>
        <v>46114</v>
      </c>
      <c r="C255" s="7">
        <f t="shared" si="44"/>
        <v>46120</v>
      </c>
      <c r="D255" s="24">
        <v>3280</v>
      </c>
      <c r="E255" s="24">
        <v>337</v>
      </c>
      <c r="F255" s="24">
        <v>4</v>
      </c>
      <c r="G255" s="24">
        <v>2</v>
      </c>
      <c r="H255" s="24">
        <v>81490</v>
      </c>
      <c r="I255" s="38" t="s">
        <v>1505</v>
      </c>
      <c r="J255" s="24">
        <v>15395683</v>
      </c>
      <c r="K255" s="24" t="s">
        <v>3885</v>
      </c>
      <c r="L255" s="24" t="s">
        <v>3887</v>
      </c>
      <c r="M255" s="41">
        <v>249900</v>
      </c>
      <c r="N255" s="40">
        <f t="shared" si="45"/>
        <v>0.75</v>
      </c>
      <c r="O255" s="42">
        <f t="shared" si="43"/>
        <v>62475</v>
      </c>
      <c r="P255" s="40" t="str">
        <f t="shared" si="46"/>
        <v>PERCENTAGE</v>
      </c>
    </row>
    <row r="256" spans="1:16" s="31" customFormat="1" x14ac:dyDescent="0.25">
      <c r="A256" s="24" t="str">
        <f t="shared" si="44"/>
        <v>2024 JAN-JUN D75</v>
      </c>
      <c r="B256" s="7">
        <f t="shared" si="44"/>
        <v>46114</v>
      </c>
      <c r="C256" s="7">
        <f t="shared" si="44"/>
        <v>46120</v>
      </c>
      <c r="D256" s="24">
        <v>3280</v>
      </c>
      <c r="E256" s="24">
        <v>337</v>
      </c>
      <c r="F256" s="24">
        <v>4</v>
      </c>
      <c r="G256" s="24">
        <v>2</v>
      </c>
      <c r="H256" s="24">
        <v>81490</v>
      </c>
      <c r="I256" s="38" t="s">
        <v>1505</v>
      </c>
      <c r="J256" s="24">
        <v>15395736</v>
      </c>
      <c r="K256" s="24" t="s">
        <v>3885</v>
      </c>
      <c r="L256" s="24" t="s">
        <v>3888</v>
      </c>
      <c r="M256" s="41">
        <v>249900</v>
      </c>
      <c r="N256" s="40">
        <f t="shared" si="45"/>
        <v>0.75</v>
      </c>
      <c r="O256" s="42">
        <f t="shared" si="43"/>
        <v>62475</v>
      </c>
      <c r="P256" s="40" t="str">
        <f t="shared" si="46"/>
        <v>PERCENTAGE</v>
      </c>
    </row>
    <row r="257" spans="1:16" s="31" customFormat="1" x14ac:dyDescent="0.25">
      <c r="A257" s="24" t="str">
        <f t="shared" si="44"/>
        <v>2024 JAN-JUN D75</v>
      </c>
      <c r="B257" s="7">
        <f t="shared" si="44"/>
        <v>46114</v>
      </c>
      <c r="C257" s="7">
        <f t="shared" si="44"/>
        <v>46120</v>
      </c>
      <c r="D257" s="24">
        <v>3280</v>
      </c>
      <c r="E257" s="24">
        <v>337</v>
      </c>
      <c r="F257" s="24">
        <v>4</v>
      </c>
      <c r="G257" s="24">
        <v>2</v>
      </c>
      <c r="H257" s="24">
        <v>81490</v>
      </c>
      <c r="I257" s="38" t="s">
        <v>1505</v>
      </c>
      <c r="J257" s="24">
        <v>15395745</v>
      </c>
      <c r="K257" s="24" t="s">
        <v>3885</v>
      </c>
      <c r="L257" s="24" t="s">
        <v>3889</v>
      </c>
      <c r="M257" s="41">
        <v>259900</v>
      </c>
      <c r="N257" s="40">
        <f t="shared" si="45"/>
        <v>0.75</v>
      </c>
      <c r="O257" s="42">
        <f t="shared" si="43"/>
        <v>64975</v>
      </c>
      <c r="P257" s="40" t="str">
        <f t="shared" si="46"/>
        <v>PERCENTAGE</v>
      </c>
    </row>
    <row r="258" spans="1:16" s="31" customFormat="1" x14ac:dyDescent="0.25">
      <c r="A258" s="24" t="str">
        <f t="shared" si="44"/>
        <v>2024 JAN-JUN D75</v>
      </c>
      <c r="B258" s="7">
        <f t="shared" si="44"/>
        <v>46114</v>
      </c>
      <c r="C258" s="7">
        <f t="shared" si="44"/>
        <v>46120</v>
      </c>
      <c r="D258" s="24">
        <v>3280</v>
      </c>
      <c r="E258" s="24">
        <v>337</v>
      </c>
      <c r="F258" s="24">
        <v>4</v>
      </c>
      <c r="G258" s="24">
        <v>2</v>
      </c>
      <c r="H258" s="24">
        <v>81490</v>
      </c>
      <c r="I258" s="38" t="s">
        <v>1505</v>
      </c>
      <c r="J258" s="24">
        <v>15395754</v>
      </c>
      <c r="K258" s="24" t="s">
        <v>3885</v>
      </c>
      <c r="L258" s="24" t="s">
        <v>3890</v>
      </c>
      <c r="M258" s="41">
        <v>259900</v>
      </c>
      <c r="N258" s="40">
        <f t="shared" si="45"/>
        <v>0.75</v>
      </c>
      <c r="O258" s="42">
        <f t="shared" si="43"/>
        <v>64975</v>
      </c>
      <c r="P258" s="40" t="str">
        <f t="shared" si="46"/>
        <v>PERCENTAGE</v>
      </c>
    </row>
    <row r="259" spans="1:16" s="31" customFormat="1" x14ac:dyDescent="0.25">
      <c r="A259" s="24" t="str">
        <f t="shared" si="44"/>
        <v>2024 JAN-JUN D75</v>
      </c>
      <c r="B259" s="7">
        <f t="shared" si="44"/>
        <v>46114</v>
      </c>
      <c r="C259" s="7">
        <f t="shared" si="44"/>
        <v>46120</v>
      </c>
      <c r="D259" s="24">
        <v>3280</v>
      </c>
      <c r="E259" s="24">
        <v>337</v>
      </c>
      <c r="F259" s="24">
        <v>4</v>
      </c>
      <c r="G259" s="24">
        <v>2</v>
      </c>
      <c r="H259" s="24">
        <v>81490</v>
      </c>
      <c r="I259" s="38" t="s">
        <v>1505</v>
      </c>
      <c r="J259" s="24">
        <v>15395763</v>
      </c>
      <c r="K259" s="24" t="s">
        <v>3885</v>
      </c>
      <c r="L259" s="24" t="s">
        <v>3891</v>
      </c>
      <c r="M259" s="41">
        <v>259900</v>
      </c>
      <c r="N259" s="40">
        <f t="shared" si="45"/>
        <v>0.75</v>
      </c>
      <c r="O259" s="42">
        <f t="shared" ref="O259:O322" si="47">M259-((75*M259)/100)</f>
        <v>64975</v>
      </c>
      <c r="P259" s="40" t="str">
        <f t="shared" si="46"/>
        <v>PERCENTAGE</v>
      </c>
    </row>
    <row r="260" spans="1:16" s="31" customFormat="1" x14ac:dyDescent="0.25">
      <c r="A260" s="24" t="str">
        <f t="shared" ref="A260:C323" si="48">A259</f>
        <v>2024 JAN-JUN D75</v>
      </c>
      <c r="B260" s="7">
        <f t="shared" si="48"/>
        <v>46114</v>
      </c>
      <c r="C260" s="7">
        <f t="shared" si="48"/>
        <v>46120</v>
      </c>
      <c r="D260" s="24">
        <v>3280</v>
      </c>
      <c r="E260" s="24">
        <v>337</v>
      </c>
      <c r="F260" s="24">
        <v>4</v>
      </c>
      <c r="G260" s="24">
        <v>2</v>
      </c>
      <c r="H260" s="24">
        <v>81490</v>
      </c>
      <c r="I260" s="38" t="s">
        <v>1505</v>
      </c>
      <c r="J260" s="24">
        <v>15395067</v>
      </c>
      <c r="K260" s="24" t="s">
        <v>3892</v>
      </c>
      <c r="L260" s="24" t="s">
        <v>3893</v>
      </c>
      <c r="M260" s="41">
        <v>249900</v>
      </c>
      <c r="N260" s="40">
        <f t="shared" ref="N260:N323" si="49">N259</f>
        <v>0.75</v>
      </c>
      <c r="O260" s="42">
        <f t="shared" si="47"/>
        <v>62475</v>
      </c>
      <c r="P260" s="40" t="str">
        <f t="shared" ref="P260:P323" si="50">P259</f>
        <v>PERCENTAGE</v>
      </c>
    </row>
    <row r="261" spans="1:16" s="31" customFormat="1" x14ac:dyDescent="0.25">
      <c r="A261" s="24" t="str">
        <f t="shared" si="48"/>
        <v>2024 JAN-JUN D75</v>
      </c>
      <c r="B261" s="7">
        <f t="shared" si="48"/>
        <v>46114</v>
      </c>
      <c r="C261" s="7">
        <f t="shared" si="48"/>
        <v>46120</v>
      </c>
      <c r="D261" s="24">
        <v>3280</v>
      </c>
      <c r="E261" s="24">
        <v>337</v>
      </c>
      <c r="F261" s="24">
        <v>4</v>
      </c>
      <c r="G261" s="24">
        <v>2</v>
      </c>
      <c r="H261" s="24">
        <v>81490</v>
      </c>
      <c r="I261" s="38" t="s">
        <v>1505</v>
      </c>
      <c r="J261" s="24">
        <v>15395085</v>
      </c>
      <c r="K261" s="24" t="s">
        <v>3892</v>
      </c>
      <c r="L261" s="24" t="s">
        <v>3894</v>
      </c>
      <c r="M261" s="41">
        <v>249900</v>
      </c>
      <c r="N261" s="40">
        <f t="shared" si="49"/>
        <v>0.75</v>
      </c>
      <c r="O261" s="42">
        <f t="shared" si="47"/>
        <v>62475</v>
      </c>
      <c r="P261" s="40" t="str">
        <f t="shared" si="50"/>
        <v>PERCENTAGE</v>
      </c>
    </row>
    <row r="262" spans="1:16" s="31" customFormat="1" x14ac:dyDescent="0.25">
      <c r="A262" s="24" t="str">
        <f t="shared" si="48"/>
        <v>2024 JAN-JUN D75</v>
      </c>
      <c r="B262" s="7">
        <f t="shared" si="48"/>
        <v>46114</v>
      </c>
      <c r="C262" s="7">
        <f t="shared" si="48"/>
        <v>46120</v>
      </c>
      <c r="D262" s="24">
        <v>3280</v>
      </c>
      <c r="E262" s="24">
        <v>337</v>
      </c>
      <c r="F262" s="24">
        <v>4</v>
      </c>
      <c r="G262" s="24">
        <v>2</v>
      </c>
      <c r="H262" s="24">
        <v>81490</v>
      </c>
      <c r="I262" s="38" t="s">
        <v>1505</v>
      </c>
      <c r="J262" s="24">
        <v>15395101</v>
      </c>
      <c r="K262" s="24" t="s">
        <v>3892</v>
      </c>
      <c r="L262" s="24" t="s">
        <v>3895</v>
      </c>
      <c r="M262" s="41">
        <v>249900</v>
      </c>
      <c r="N262" s="40">
        <f t="shared" si="49"/>
        <v>0.75</v>
      </c>
      <c r="O262" s="42">
        <f t="shared" si="47"/>
        <v>62475</v>
      </c>
      <c r="P262" s="40" t="str">
        <f t="shared" si="50"/>
        <v>PERCENTAGE</v>
      </c>
    </row>
    <row r="263" spans="1:16" s="31" customFormat="1" x14ac:dyDescent="0.25">
      <c r="A263" s="24" t="str">
        <f t="shared" si="48"/>
        <v>2024 JAN-JUN D75</v>
      </c>
      <c r="B263" s="7">
        <f t="shared" si="48"/>
        <v>46114</v>
      </c>
      <c r="C263" s="7">
        <f t="shared" si="48"/>
        <v>46120</v>
      </c>
      <c r="D263" s="24">
        <v>3280</v>
      </c>
      <c r="E263" s="24">
        <v>337</v>
      </c>
      <c r="F263" s="24">
        <v>4</v>
      </c>
      <c r="G263" s="24">
        <v>2</v>
      </c>
      <c r="H263" s="24">
        <v>81490</v>
      </c>
      <c r="I263" s="38" t="s">
        <v>1505</v>
      </c>
      <c r="J263" s="24">
        <v>15395147</v>
      </c>
      <c r="K263" s="24" t="s">
        <v>3892</v>
      </c>
      <c r="L263" s="24" t="s">
        <v>3896</v>
      </c>
      <c r="M263" s="41">
        <v>259900</v>
      </c>
      <c r="N263" s="40">
        <f t="shared" si="49"/>
        <v>0.75</v>
      </c>
      <c r="O263" s="42">
        <f t="shared" si="47"/>
        <v>64975</v>
      </c>
      <c r="P263" s="40" t="str">
        <f t="shared" si="50"/>
        <v>PERCENTAGE</v>
      </c>
    </row>
    <row r="264" spans="1:16" s="31" customFormat="1" x14ac:dyDescent="0.25">
      <c r="A264" s="24" t="str">
        <f t="shared" si="48"/>
        <v>2024 JAN-JUN D75</v>
      </c>
      <c r="B264" s="7">
        <f t="shared" si="48"/>
        <v>46114</v>
      </c>
      <c r="C264" s="7">
        <f t="shared" si="48"/>
        <v>46120</v>
      </c>
      <c r="D264" s="24">
        <v>3280</v>
      </c>
      <c r="E264" s="24">
        <v>337</v>
      </c>
      <c r="F264" s="24">
        <v>4</v>
      </c>
      <c r="G264" s="24">
        <v>2</v>
      </c>
      <c r="H264" s="24">
        <v>81490</v>
      </c>
      <c r="I264" s="38" t="s">
        <v>1505</v>
      </c>
      <c r="J264" s="24">
        <v>15395156</v>
      </c>
      <c r="K264" s="24" t="s">
        <v>3892</v>
      </c>
      <c r="L264" s="24" t="s">
        <v>3897</v>
      </c>
      <c r="M264" s="41">
        <v>259900</v>
      </c>
      <c r="N264" s="40">
        <f t="shared" si="49"/>
        <v>0.75</v>
      </c>
      <c r="O264" s="42">
        <f t="shared" si="47"/>
        <v>64975</v>
      </c>
      <c r="P264" s="40" t="str">
        <f t="shared" si="50"/>
        <v>PERCENTAGE</v>
      </c>
    </row>
    <row r="265" spans="1:16" s="31" customFormat="1" x14ac:dyDescent="0.25">
      <c r="A265" s="24" t="str">
        <f t="shared" si="48"/>
        <v>2024 JAN-JUN D75</v>
      </c>
      <c r="B265" s="7">
        <f t="shared" si="48"/>
        <v>46114</v>
      </c>
      <c r="C265" s="7">
        <f t="shared" si="48"/>
        <v>46120</v>
      </c>
      <c r="D265" s="24">
        <v>3280</v>
      </c>
      <c r="E265" s="24">
        <v>337</v>
      </c>
      <c r="F265" s="24">
        <v>4</v>
      </c>
      <c r="G265" s="24">
        <v>2</v>
      </c>
      <c r="H265" s="24">
        <v>81490</v>
      </c>
      <c r="I265" s="38" t="s">
        <v>1505</v>
      </c>
      <c r="J265" s="24">
        <v>15395165</v>
      </c>
      <c r="K265" s="24" t="s">
        <v>3892</v>
      </c>
      <c r="L265" s="24" t="s">
        <v>3898</v>
      </c>
      <c r="M265" s="41">
        <v>259900</v>
      </c>
      <c r="N265" s="40">
        <f t="shared" si="49"/>
        <v>0.75</v>
      </c>
      <c r="O265" s="42">
        <f t="shared" si="47"/>
        <v>64975</v>
      </c>
      <c r="P265" s="40" t="str">
        <f t="shared" si="50"/>
        <v>PERCENTAGE</v>
      </c>
    </row>
    <row r="266" spans="1:16" s="31" customFormat="1" x14ac:dyDescent="0.25">
      <c r="A266" s="24" t="str">
        <f t="shared" si="48"/>
        <v>2024 JAN-JUN D75</v>
      </c>
      <c r="B266" s="7">
        <f t="shared" si="48"/>
        <v>46114</v>
      </c>
      <c r="C266" s="7">
        <f t="shared" si="48"/>
        <v>46120</v>
      </c>
      <c r="D266" s="24">
        <v>3280</v>
      </c>
      <c r="E266" s="24">
        <v>337</v>
      </c>
      <c r="F266" s="24">
        <v>4</v>
      </c>
      <c r="G266" s="24">
        <v>2</v>
      </c>
      <c r="H266" s="24">
        <v>81306</v>
      </c>
      <c r="I266" s="38" t="s">
        <v>1505</v>
      </c>
      <c r="J266" s="24">
        <v>15396717</v>
      </c>
      <c r="K266" s="24" t="s">
        <v>3864</v>
      </c>
      <c r="L266" s="24" t="s">
        <v>3865</v>
      </c>
      <c r="M266" s="41">
        <v>239900</v>
      </c>
      <c r="N266" s="40">
        <f t="shared" si="49"/>
        <v>0.75</v>
      </c>
      <c r="O266" s="42">
        <f t="shared" si="47"/>
        <v>59975</v>
      </c>
      <c r="P266" s="40" t="str">
        <f t="shared" si="50"/>
        <v>PERCENTAGE</v>
      </c>
    </row>
    <row r="267" spans="1:16" s="31" customFormat="1" x14ac:dyDescent="0.25">
      <c r="A267" s="24" t="str">
        <f t="shared" si="48"/>
        <v>2024 JAN-JUN D75</v>
      </c>
      <c r="B267" s="7">
        <f t="shared" si="48"/>
        <v>46114</v>
      </c>
      <c r="C267" s="7">
        <f t="shared" si="48"/>
        <v>46120</v>
      </c>
      <c r="D267" s="24">
        <v>3280</v>
      </c>
      <c r="E267" s="24">
        <v>337</v>
      </c>
      <c r="F267" s="24">
        <v>4</v>
      </c>
      <c r="G267" s="24">
        <v>2</v>
      </c>
      <c r="H267" s="24">
        <v>81306</v>
      </c>
      <c r="I267" s="38" t="s">
        <v>1505</v>
      </c>
      <c r="J267" s="24">
        <v>15396726</v>
      </c>
      <c r="K267" s="24" t="s">
        <v>3864</v>
      </c>
      <c r="L267" s="24" t="s">
        <v>3866</v>
      </c>
      <c r="M267" s="41">
        <v>239900</v>
      </c>
      <c r="N267" s="40">
        <f t="shared" si="49"/>
        <v>0.75</v>
      </c>
      <c r="O267" s="42">
        <f t="shared" si="47"/>
        <v>59975</v>
      </c>
      <c r="P267" s="40" t="str">
        <f t="shared" si="50"/>
        <v>PERCENTAGE</v>
      </c>
    </row>
    <row r="268" spans="1:16" s="31" customFormat="1" x14ac:dyDescent="0.25">
      <c r="A268" s="24" t="str">
        <f t="shared" si="48"/>
        <v>2024 JAN-JUN D75</v>
      </c>
      <c r="B268" s="7">
        <f t="shared" si="48"/>
        <v>46114</v>
      </c>
      <c r="C268" s="7">
        <f t="shared" si="48"/>
        <v>46120</v>
      </c>
      <c r="D268" s="24">
        <v>3280</v>
      </c>
      <c r="E268" s="24">
        <v>337</v>
      </c>
      <c r="F268" s="24">
        <v>4</v>
      </c>
      <c r="G268" s="24">
        <v>2</v>
      </c>
      <c r="H268" s="24">
        <v>81306</v>
      </c>
      <c r="I268" s="38" t="s">
        <v>1505</v>
      </c>
      <c r="J268" s="24">
        <v>15396735</v>
      </c>
      <c r="K268" s="24" t="s">
        <v>3864</v>
      </c>
      <c r="L268" s="24" t="s">
        <v>3867</v>
      </c>
      <c r="M268" s="41">
        <v>239900</v>
      </c>
      <c r="N268" s="40">
        <f t="shared" si="49"/>
        <v>0.75</v>
      </c>
      <c r="O268" s="42">
        <f t="shared" si="47"/>
        <v>59975</v>
      </c>
      <c r="P268" s="40" t="str">
        <f t="shared" si="50"/>
        <v>PERCENTAGE</v>
      </c>
    </row>
    <row r="269" spans="1:16" s="31" customFormat="1" x14ac:dyDescent="0.25">
      <c r="A269" s="24" t="str">
        <f t="shared" si="48"/>
        <v>2024 JAN-JUN D75</v>
      </c>
      <c r="B269" s="7">
        <f t="shared" si="48"/>
        <v>46114</v>
      </c>
      <c r="C269" s="7">
        <f t="shared" si="48"/>
        <v>46120</v>
      </c>
      <c r="D269" s="24">
        <v>3280</v>
      </c>
      <c r="E269" s="24">
        <v>337</v>
      </c>
      <c r="F269" s="24">
        <v>4</v>
      </c>
      <c r="G269" s="24">
        <v>2</v>
      </c>
      <c r="H269" s="24">
        <v>81306</v>
      </c>
      <c r="I269" s="38" t="s">
        <v>1505</v>
      </c>
      <c r="J269" s="24">
        <v>15396744</v>
      </c>
      <c r="K269" s="24" t="s">
        <v>3864</v>
      </c>
      <c r="L269" s="24" t="s">
        <v>3868</v>
      </c>
      <c r="M269" s="41">
        <v>249900</v>
      </c>
      <c r="N269" s="40">
        <f t="shared" si="49"/>
        <v>0.75</v>
      </c>
      <c r="O269" s="42">
        <f t="shared" si="47"/>
        <v>62475</v>
      </c>
      <c r="P269" s="40" t="str">
        <f t="shared" si="50"/>
        <v>PERCENTAGE</v>
      </c>
    </row>
    <row r="270" spans="1:16" s="31" customFormat="1" x14ac:dyDescent="0.25">
      <c r="A270" s="24" t="str">
        <f t="shared" si="48"/>
        <v>2024 JAN-JUN D75</v>
      </c>
      <c r="B270" s="7">
        <f t="shared" si="48"/>
        <v>46114</v>
      </c>
      <c r="C270" s="7">
        <f t="shared" si="48"/>
        <v>46120</v>
      </c>
      <c r="D270" s="24">
        <v>3280</v>
      </c>
      <c r="E270" s="24">
        <v>337</v>
      </c>
      <c r="F270" s="24">
        <v>4</v>
      </c>
      <c r="G270" s="24">
        <v>2</v>
      </c>
      <c r="H270" s="24">
        <v>81306</v>
      </c>
      <c r="I270" s="38" t="s">
        <v>1505</v>
      </c>
      <c r="J270" s="24">
        <v>15396753</v>
      </c>
      <c r="K270" s="24" t="s">
        <v>3864</v>
      </c>
      <c r="L270" s="24" t="s">
        <v>3869</v>
      </c>
      <c r="M270" s="41">
        <v>249900</v>
      </c>
      <c r="N270" s="40">
        <f t="shared" si="49"/>
        <v>0.75</v>
      </c>
      <c r="O270" s="42">
        <f t="shared" si="47"/>
        <v>62475</v>
      </c>
      <c r="P270" s="40" t="str">
        <f t="shared" si="50"/>
        <v>PERCENTAGE</v>
      </c>
    </row>
    <row r="271" spans="1:16" s="31" customFormat="1" x14ac:dyDescent="0.25">
      <c r="A271" s="24" t="str">
        <f t="shared" si="48"/>
        <v>2024 JAN-JUN D75</v>
      </c>
      <c r="B271" s="7">
        <f t="shared" si="48"/>
        <v>46114</v>
      </c>
      <c r="C271" s="7">
        <f t="shared" si="48"/>
        <v>46120</v>
      </c>
      <c r="D271" s="24">
        <v>3280</v>
      </c>
      <c r="E271" s="24">
        <v>337</v>
      </c>
      <c r="F271" s="24">
        <v>4</v>
      </c>
      <c r="G271" s="24">
        <v>2</v>
      </c>
      <c r="H271" s="24">
        <v>81306</v>
      </c>
      <c r="I271" s="38" t="s">
        <v>1505</v>
      </c>
      <c r="J271" s="24">
        <v>15396762</v>
      </c>
      <c r="K271" s="24" t="s">
        <v>3864</v>
      </c>
      <c r="L271" s="24" t="s">
        <v>3870</v>
      </c>
      <c r="M271" s="41">
        <v>249900</v>
      </c>
      <c r="N271" s="40">
        <f t="shared" si="49"/>
        <v>0.75</v>
      </c>
      <c r="O271" s="42">
        <f t="shared" si="47"/>
        <v>62475</v>
      </c>
      <c r="P271" s="40" t="str">
        <f t="shared" si="50"/>
        <v>PERCENTAGE</v>
      </c>
    </row>
    <row r="272" spans="1:16" s="31" customFormat="1" x14ac:dyDescent="0.25">
      <c r="A272" s="24" t="str">
        <f t="shared" si="48"/>
        <v>2024 JAN-JUN D75</v>
      </c>
      <c r="B272" s="7">
        <f t="shared" si="48"/>
        <v>46114</v>
      </c>
      <c r="C272" s="7">
        <f t="shared" si="48"/>
        <v>46120</v>
      </c>
      <c r="D272" s="24">
        <v>3280</v>
      </c>
      <c r="E272" s="24">
        <v>337</v>
      </c>
      <c r="F272" s="24">
        <v>4</v>
      </c>
      <c r="G272" s="24">
        <v>2</v>
      </c>
      <c r="H272" s="24">
        <v>81306</v>
      </c>
      <c r="I272" s="38" t="s">
        <v>1505</v>
      </c>
      <c r="J272" s="24">
        <v>15397074</v>
      </c>
      <c r="K272" s="24" t="s">
        <v>3899</v>
      </c>
      <c r="L272" s="24" t="s">
        <v>3900</v>
      </c>
      <c r="M272" s="41">
        <v>249900</v>
      </c>
      <c r="N272" s="40">
        <f t="shared" si="49"/>
        <v>0.75</v>
      </c>
      <c r="O272" s="42">
        <f t="shared" si="47"/>
        <v>62475</v>
      </c>
      <c r="P272" s="40" t="str">
        <f t="shared" si="50"/>
        <v>PERCENTAGE</v>
      </c>
    </row>
    <row r="273" spans="1:16" s="31" customFormat="1" x14ac:dyDescent="0.25">
      <c r="A273" s="24" t="str">
        <f t="shared" si="48"/>
        <v>2024 JAN-JUN D75</v>
      </c>
      <c r="B273" s="7">
        <f t="shared" si="48"/>
        <v>46114</v>
      </c>
      <c r="C273" s="7">
        <f t="shared" si="48"/>
        <v>46120</v>
      </c>
      <c r="D273" s="24">
        <v>3280</v>
      </c>
      <c r="E273" s="24">
        <v>337</v>
      </c>
      <c r="F273" s="24">
        <v>4</v>
      </c>
      <c r="G273" s="24">
        <v>2</v>
      </c>
      <c r="H273" s="24">
        <v>81306</v>
      </c>
      <c r="I273" s="38" t="s">
        <v>1505</v>
      </c>
      <c r="J273" s="24">
        <v>15397083</v>
      </c>
      <c r="K273" s="24" t="s">
        <v>3899</v>
      </c>
      <c r="L273" s="24" t="s">
        <v>3901</v>
      </c>
      <c r="M273" s="41">
        <v>249900</v>
      </c>
      <c r="N273" s="40">
        <f t="shared" si="49"/>
        <v>0.75</v>
      </c>
      <c r="O273" s="42">
        <f t="shared" si="47"/>
        <v>62475</v>
      </c>
      <c r="P273" s="40" t="str">
        <f t="shared" si="50"/>
        <v>PERCENTAGE</v>
      </c>
    </row>
    <row r="274" spans="1:16" s="31" customFormat="1" x14ac:dyDescent="0.25">
      <c r="A274" s="24" t="str">
        <f t="shared" si="48"/>
        <v>2024 JAN-JUN D75</v>
      </c>
      <c r="B274" s="7">
        <f t="shared" si="48"/>
        <v>46114</v>
      </c>
      <c r="C274" s="7">
        <f t="shared" si="48"/>
        <v>46120</v>
      </c>
      <c r="D274" s="24">
        <v>3280</v>
      </c>
      <c r="E274" s="24">
        <v>337</v>
      </c>
      <c r="F274" s="24">
        <v>4</v>
      </c>
      <c r="G274" s="24">
        <v>2</v>
      </c>
      <c r="H274" s="24">
        <v>81306</v>
      </c>
      <c r="I274" s="38" t="s">
        <v>1505</v>
      </c>
      <c r="J274" s="24">
        <v>15397092</v>
      </c>
      <c r="K274" s="24" t="s">
        <v>3899</v>
      </c>
      <c r="L274" s="24" t="s">
        <v>3902</v>
      </c>
      <c r="M274" s="41">
        <v>249900</v>
      </c>
      <c r="N274" s="40">
        <f t="shared" si="49"/>
        <v>0.75</v>
      </c>
      <c r="O274" s="42">
        <f t="shared" si="47"/>
        <v>62475</v>
      </c>
      <c r="P274" s="40" t="str">
        <f t="shared" si="50"/>
        <v>PERCENTAGE</v>
      </c>
    </row>
    <row r="275" spans="1:16" s="31" customFormat="1" x14ac:dyDescent="0.25">
      <c r="A275" s="24" t="str">
        <f t="shared" si="48"/>
        <v>2024 JAN-JUN D75</v>
      </c>
      <c r="B275" s="7">
        <f t="shared" si="48"/>
        <v>46114</v>
      </c>
      <c r="C275" s="7">
        <f t="shared" si="48"/>
        <v>46120</v>
      </c>
      <c r="D275" s="24">
        <v>3280</v>
      </c>
      <c r="E275" s="24">
        <v>337</v>
      </c>
      <c r="F275" s="24">
        <v>4</v>
      </c>
      <c r="G275" s="24">
        <v>2</v>
      </c>
      <c r="H275" s="24">
        <v>81306</v>
      </c>
      <c r="I275" s="38" t="s">
        <v>1505</v>
      </c>
      <c r="J275" s="24">
        <v>15397109</v>
      </c>
      <c r="K275" s="24" t="s">
        <v>3899</v>
      </c>
      <c r="L275" s="24" t="s">
        <v>3903</v>
      </c>
      <c r="M275" s="41">
        <v>259900</v>
      </c>
      <c r="N275" s="40">
        <f t="shared" si="49"/>
        <v>0.75</v>
      </c>
      <c r="O275" s="42">
        <f t="shared" si="47"/>
        <v>64975</v>
      </c>
      <c r="P275" s="40" t="str">
        <f t="shared" si="50"/>
        <v>PERCENTAGE</v>
      </c>
    </row>
    <row r="276" spans="1:16" s="31" customFormat="1" x14ac:dyDescent="0.25">
      <c r="A276" s="24" t="str">
        <f t="shared" si="48"/>
        <v>2024 JAN-JUN D75</v>
      </c>
      <c r="B276" s="7">
        <f t="shared" si="48"/>
        <v>46114</v>
      </c>
      <c r="C276" s="7">
        <f t="shared" si="48"/>
        <v>46120</v>
      </c>
      <c r="D276" s="24">
        <v>3280</v>
      </c>
      <c r="E276" s="24">
        <v>337</v>
      </c>
      <c r="F276" s="24">
        <v>4</v>
      </c>
      <c r="G276" s="24">
        <v>2</v>
      </c>
      <c r="H276" s="24">
        <v>81306</v>
      </c>
      <c r="I276" s="38" t="s">
        <v>1505</v>
      </c>
      <c r="J276" s="24">
        <v>15397118</v>
      </c>
      <c r="K276" s="24" t="s">
        <v>3899</v>
      </c>
      <c r="L276" s="24" t="s">
        <v>3904</v>
      </c>
      <c r="M276" s="41">
        <v>259900</v>
      </c>
      <c r="N276" s="40">
        <f t="shared" si="49"/>
        <v>0.75</v>
      </c>
      <c r="O276" s="42">
        <f t="shared" si="47"/>
        <v>64975</v>
      </c>
      <c r="P276" s="40" t="str">
        <f t="shared" si="50"/>
        <v>PERCENTAGE</v>
      </c>
    </row>
    <row r="277" spans="1:16" s="31" customFormat="1" x14ac:dyDescent="0.25">
      <c r="A277" s="24" t="str">
        <f t="shared" si="48"/>
        <v>2024 JAN-JUN D75</v>
      </c>
      <c r="B277" s="7">
        <f t="shared" si="48"/>
        <v>46114</v>
      </c>
      <c r="C277" s="7">
        <f t="shared" si="48"/>
        <v>46120</v>
      </c>
      <c r="D277" s="24">
        <v>3280</v>
      </c>
      <c r="E277" s="24">
        <v>337</v>
      </c>
      <c r="F277" s="24">
        <v>4</v>
      </c>
      <c r="G277" s="24">
        <v>2</v>
      </c>
      <c r="H277" s="24">
        <v>81306</v>
      </c>
      <c r="I277" s="38" t="s">
        <v>1505</v>
      </c>
      <c r="J277" s="24">
        <v>15397127</v>
      </c>
      <c r="K277" s="24" t="s">
        <v>3899</v>
      </c>
      <c r="L277" s="24" t="s">
        <v>3905</v>
      </c>
      <c r="M277" s="41">
        <v>259900</v>
      </c>
      <c r="N277" s="40">
        <f t="shared" si="49"/>
        <v>0.75</v>
      </c>
      <c r="O277" s="42">
        <f t="shared" si="47"/>
        <v>64975</v>
      </c>
      <c r="P277" s="40" t="str">
        <f t="shared" si="50"/>
        <v>PERCENTAGE</v>
      </c>
    </row>
    <row r="278" spans="1:16" s="31" customFormat="1" x14ac:dyDescent="0.25">
      <c r="A278" s="24" t="str">
        <f t="shared" si="48"/>
        <v>2024 JAN-JUN D75</v>
      </c>
      <c r="B278" s="7">
        <f t="shared" si="48"/>
        <v>46114</v>
      </c>
      <c r="C278" s="7">
        <f t="shared" si="48"/>
        <v>46120</v>
      </c>
      <c r="D278" s="24">
        <v>3280</v>
      </c>
      <c r="E278" s="24">
        <v>337</v>
      </c>
      <c r="F278" s="24">
        <v>4</v>
      </c>
      <c r="G278" s="24">
        <v>2</v>
      </c>
      <c r="H278" s="24">
        <v>81698</v>
      </c>
      <c r="I278" s="38" t="s">
        <v>1505</v>
      </c>
      <c r="J278" s="24">
        <v>15394924</v>
      </c>
      <c r="K278" s="24" t="s">
        <v>3871</v>
      </c>
      <c r="L278" s="24" t="s">
        <v>3872</v>
      </c>
      <c r="M278" s="41">
        <v>239900</v>
      </c>
      <c r="N278" s="40">
        <f t="shared" si="49"/>
        <v>0.75</v>
      </c>
      <c r="O278" s="42">
        <f t="shared" si="47"/>
        <v>59975</v>
      </c>
      <c r="P278" s="40" t="str">
        <f t="shared" si="50"/>
        <v>PERCENTAGE</v>
      </c>
    </row>
    <row r="279" spans="1:16" s="31" customFormat="1" x14ac:dyDescent="0.25">
      <c r="A279" s="24" t="str">
        <f t="shared" si="48"/>
        <v>2024 JAN-JUN D75</v>
      </c>
      <c r="B279" s="7">
        <f t="shared" si="48"/>
        <v>46114</v>
      </c>
      <c r="C279" s="7">
        <f t="shared" si="48"/>
        <v>46120</v>
      </c>
      <c r="D279" s="24">
        <v>3280</v>
      </c>
      <c r="E279" s="24">
        <v>337</v>
      </c>
      <c r="F279" s="24">
        <v>4</v>
      </c>
      <c r="G279" s="24">
        <v>2</v>
      </c>
      <c r="H279" s="24">
        <v>81698</v>
      </c>
      <c r="I279" s="38" t="s">
        <v>1505</v>
      </c>
      <c r="J279" s="24">
        <v>15394933</v>
      </c>
      <c r="K279" s="24" t="s">
        <v>3871</v>
      </c>
      <c r="L279" s="24" t="s">
        <v>3873</v>
      </c>
      <c r="M279" s="41">
        <v>239900</v>
      </c>
      <c r="N279" s="40">
        <f t="shared" si="49"/>
        <v>0.75</v>
      </c>
      <c r="O279" s="42">
        <f t="shared" si="47"/>
        <v>59975</v>
      </c>
      <c r="P279" s="40" t="str">
        <f t="shared" si="50"/>
        <v>PERCENTAGE</v>
      </c>
    </row>
    <row r="280" spans="1:16" s="31" customFormat="1" x14ac:dyDescent="0.25">
      <c r="A280" s="24" t="str">
        <f t="shared" si="48"/>
        <v>2024 JAN-JUN D75</v>
      </c>
      <c r="B280" s="7">
        <f t="shared" si="48"/>
        <v>46114</v>
      </c>
      <c r="C280" s="7">
        <f t="shared" si="48"/>
        <v>46120</v>
      </c>
      <c r="D280" s="24">
        <v>3280</v>
      </c>
      <c r="E280" s="24">
        <v>337</v>
      </c>
      <c r="F280" s="24">
        <v>4</v>
      </c>
      <c r="G280" s="24">
        <v>2</v>
      </c>
      <c r="H280" s="24">
        <v>81698</v>
      </c>
      <c r="I280" s="38" t="s">
        <v>1505</v>
      </c>
      <c r="J280" s="24">
        <v>15394942</v>
      </c>
      <c r="K280" s="24" t="s">
        <v>3871</v>
      </c>
      <c r="L280" s="24" t="s">
        <v>3874</v>
      </c>
      <c r="M280" s="41">
        <v>239900</v>
      </c>
      <c r="N280" s="40">
        <f t="shared" si="49"/>
        <v>0.75</v>
      </c>
      <c r="O280" s="42">
        <f t="shared" si="47"/>
        <v>59975</v>
      </c>
      <c r="P280" s="40" t="str">
        <f t="shared" si="50"/>
        <v>PERCENTAGE</v>
      </c>
    </row>
    <row r="281" spans="1:16" s="31" customFormat="1" x14ac:dyDescent="0.25">
      <c r="A281" s="24" t="str">
        <f t="shared" si="48"/>
        <v>2024 JAN-JUN D75</v>
      </c>
      <c r="B281" s="7">
        <f t="shared" si="48"/>
        <v>46114</v>
      </c>
      <c r="C281" s="7">
        <f t="shared" si="48"/>
        <v>46120</v>
      </c>
      <c r="D281" s="24">
        <v>3280</v>
      </c>
      <c r="E281" s="24">
        <v>337</v>
      </c>
      <c r="F281" s="24">
        <v>4</v>
      </c>
      <c r="G281" s="24">
        <v>2</v>
      </c>
      <c r="H281" s="24">
        <v>81698</v>
      </c>
      <c r="I281" s="38" t="s">
        <v>1505</v>
      </c>
      <c r="J281" s="24">
        <v>15394951</v>
      </c>
      <c r="K281" s="24" t="s">
        <v>3871</v>
      </c>
      <c r="L281" s="24" t="s">
        <v>3875</v>
      </c>
      <c r="M281" s="41">
        <v>249900</v>
      </c>
      <c r="N281" s="40">
        <f t="shared" si="49"/>
        <v>0.75</v>
      </c>
      <c r="O281" s="42">
        <f t="shared" si="47"/>
        <v>62475</v>
      </c>
      <c r="P281" s="40" t="str">
        <f t="shared" si="50"/>
        <v>PERCENTAGE</v>
      </c>
    </row>
    <row r="282" spans="1:16" s="31" customFormat="1" x14ac:dyDescent="0.25">
      <c r="A282" s="24" t="str">
        <f t="shared" si="48"/>
        <v>2024 JAN-JUN D75</v>
      </c>
      <c r="B282" s="7">
        <f t="shared" si="48"/>
        <v>46114</v>
      </c>
      <c r="C282" s="7">
        <f t="shared" si="48"/>
        <v>46120</v>
      </c>
      <c r="D282" s="24">
        <v>3280</v>
      </c>
      <c r="E282" s="24">
        <v>337</v>
      </c>
      <c r="F282" s="24">
        <v>4</v>
      </c>
      <c r="G282" s="24">
        <v>2</v>
      </c>
      <c r="H282" s="24">
        <v>81698</v>
      </c>
      <c r="I282" s="38" t="s">
        <v>1505</v>
      </c>
      <c r="J282" s="24">
        <v>15394960</v>
      </c>
      <c r="K282" s="24" t="s">
        <v>3871</v>
      </c>
      <c r="L282" s="24" t="s">
        <v>3876</v>
      </c>
      <c r="M282" s="41">
        <v>249900</v>
      </c>
      <c r="N282" s="40">
        <f t="shared" si="49"/>
        <v>0.75</v>
      </c>
      <c r="O282" s="42">
        <f t="shared" si="47"/>
        <v>62475</v>
      </c>
      <c r="P282" s="40" t="str">
        <f t="shared" si="50"/>
        <v>PERCENTAGE</v>
      </c>
    </row>
    <row r="283" spans="1:16" s="31" customFormat="1" x14ac:dyDescent="0.25">
      <c r="A283" s="24" t="str">
        <f t="shared" si="48"/>
        <v>2024 JAN-JUN D75</v>
      </c>
      <c r="B283" s="7">
        <f t="shared" si="48"/>
        <v>46114</v>
      </c>
      <c r="C283" s="7">
        <f t="shared" si="48"/>
        <v>46120</v>
      </c>
      <c r="D283" s="24">
        <v>3280</v>
      </c>
      <c r="E283" s="24">
        <v>337</v>
      </c>
      <c r="F283" s="24">
        <v>4</v>
      </c>
      <c r="G283" s="24">
        <v>2</v>
      </c>
      <c r="H283" s="24">
        <v>81698</v>
      </c>
      <c r="I283" s="38" t="s">
        <v>1505</v>
      </c>
      <c r="J283" s="24">
        <v>15394979</v>
      </c>
      <c r="K283" s="24" t="s">
        <v>3871</v>
      </c>
      <c r="L283" s="24" t="s">
        <v>3877</v>
      </c>
      <c r="M283" s="41">
        <v>249900</v>
      </c>
      <c r="N283" s="40">
        <f t="shared" si="49"/>
        <v>0.75</v>
      </c>
      <c r="O283" s="42">
        <f t="shared" si="47"/>
        <v>62475</v>
      </c>
      <c r="P283" s="40" t="str">
        <f t="shared" si="50"/>
        <v>PERCENTAGE</v>
      </c>
    </row>
    <row r="284" spans="1:16" s="31" customFormat="1" x14ac:dyDescent="0.25">
      <c r="A284" s="24" t="str">
        <f t="shared" si="48"/>
        <v>2024 JAN-JUN D75</v>
      </c>
      <c r="B284" s="7">
        <f t="shared" si="48"/>
        <v>46114</v>
      </c>
      <c r="C284" s="7">
        <f t="shared" si="48"/>
        <v>46120</v>
      </c>
      <c r="D284" s="24">
        <v>3280</v>
      </c>
      <c r="E284" s="24">
        <v>337</v>
      </c>
      <c r="F284" s="24">
        <v>4</v>
      </c>
      <c r="G284" s="24">
        <v>2</v>
      </c>
      <c r="H284" s="24">
        <v>81306</v>
      </c>
      <c r="I284" s="38" t="s">
        <v>1505</v>
      </c>
      <c r="J284" s="24">
        <v>16702697</v>
      </c>
      <c r="K284" s="24" t="s">
        <v>3878</v>
      </c>
      <c r="L284" s="24" t="s">
        <v>3879</v>
      </c>
      <c r="M284" s="41">
        <v>249900</v>
      </c>
      <c r="N284" s="40">
        <f t="shared" si="49"/>
        <v>0.75</v>
      </c>
      <c r="O284" s="42">
        <f t="shared" si="47"/>
        <v>62475</v>
      </c>
      <c r="P284" s="40" t="str">
        <f t="shared" si="50"/>
        <v>PERCENTAGE</v>
      </c>
    </row>
    <row r="285" spans="1:16" s="31" customFormat="1" x14ac:dyDescent="0.25">
      <c r="A285" s="24" t="str">
        <f t="shared" si="48"/>
        <v>2024 JAN-JUN D75</v>
      </c>
      <c r="B285" s="7">
        <f t="shared" si="48"/>
        <v>46114</v>
      </c>
      <c r="C285" s="7">
        <f t="shared" si="48"/>
        <v>46120</v>
      </c>
      <c r="D285" s="24">
        <v>3280</v>
      </c>
      <c r="E285" s="24">
        <v>337</v>
      </c>
      <c r="F285" s="24">
        <v>4</v>
      </c>
      <c r="G285" s="24">
        <v>2</v>
      </c>
      <c r="H285" s="24">
        <v>81306</v>
      </c>
      <c r="I285" s="38" t="s">
        <v>1505</v>
      </c>
      <c r="J285" s="24">
        <v>16702704</v>
      </c>
      <c r="K285" s="24" t="s">
        <v>3878</v>
      </c>
      <c r="L285" s="24" t="s">
        <v>3880</v>
      </c>
      <c r="M285" s="41">
        <v>249900</v>
      </c>
      <c r="N285" s="40">
        <f t="shared" si="49"/>
        <v>0.75</v>
      </c>
      <c r="O285" s="42">
        <f t="shared" si="47"/>
        <v>62475</v>
      </c>
      <c r="P285" s="40" t="str">
        <f t="shared" si="50"/>
        <v>PERCENTAGE</v>
      </c>
    </row>
    <row r="286" spans="1:16" s="31" customFormat="1" x14ac:dyDescent="0.25">
      <c r="A286" s="24" t="str">
        <f t="shared" si="48"/>
        <v>2024 JAN-JUN D75</v>
      </c>
      <c r="B286" s="7">
        <f t="shared" si="48"/>
        <v>46114</v>
      </c>
      <c r="C286" s="7">
        <f t="shared" si="48"/>
        <v>46120</v>
      </c>
      <c r="D286" s="24">
        <v>3280</v>
      </c>
      <c r="E286" s="24">
        <v>337</v>
      </c>
      <c r="F286" s="24">
        <v>4</v>
      </c>
      <c r="G286" s="24">
        <v>2</v>
      </c>
      <c r="H286" s="24">
        <v>81306</v>
      </c>
      <c r="I286" s="38" t="s">
        <v>1505</v>
      </c>
      <c r="J286" s="24">
        <v>16702713</v>
      </c>
      <c r="K286" s="24" t="s">
        <v>3878</v>
      </c>
      <c r="L286" s="24" t="s">
        <v>3881</v>
      </c>
      <c r="M286" s="41">
        <v>249900</v>
      </c>
      <c r="N286" s="40">
        <f t="shared" si="49"/>
        <v>0.75</v>
      </c>
      <c r="O286" s="42">
        <f t="shared" si="47"/>
        <v>62475</v>
      </c>
      <c r="P286" s="40" t="str">
        <f t="shared" si="50"/>
        <v>PERCENTAGE</v>
      </c>
    </row>
    <row r="287" spans="1:16" s="31" customFormat="1" x14ac:dyDescent="0.25">
      <c r="A287" s="24" t="str">
        <f t="shared" si="48"/>
        <v>2024 JAN-JUN D75</v>
      </c>
      <c r="B287" s="7">
        <f t="shared" si="48"/>
        <v>46114</v>
      </c>
      <c r="C287" s="7">
        <f t="shared" si="48"/>
        <v>46120</v>
      </c>
      <c r="D287" s="24">
        <v>3280</v>
      </c>
      <c r="E287" s="24">
        <v>337</v>
      </c>
      <c r="F287" s="24">
        <v>4</v>
      </c>
      <c r="G287" s="24">
        <v>2</v>
      </c>
      <c r="H287" s="24">
        <v>81306</v>
      </c>
      <c r="I287" s="38" t="s">
        <v>1505</v>
      </c>
      <c r="J287" s="24">
        <v>16702722</v>
      </c>
      <c r="K287" s="24" t="s">
        <v>3878</v>
      </c>
      <c r="L287" s="24" t="s">
        <v>3882</v>
      </c>
      <c r="M287" s="41">
        <v>259900</v>
      </c>
      <c r="N287" s="40">
        <f t="shared" si="49"/>
        <v>0.75</v>
      </c>
      <c r="O287" s="42">
        <f t="shared" si="47"/>
        <v>64975</v>
      </c>
      <c r="P287" s="40" t="str">
        <f t="shared" si="50"/>
        <v>PERCENTAGE</v>
      </c>
    </row>
    <row r="288" spans="1:16" s="31" customFormat="1" x14ac:dyDescent="0.25">
      <c r="A288" s="24" t="str">
        <f t="shared" si="48"/>
        <v>2024 JAN-JUN D75</v>
      </c>
      <c r="B288" s="7">
        <f t="shared" si="48"/>
        <v>46114</v>
      </c>
      <c r="C288" s="7">
        <f t="shared" si="48"/>
        <v>46120</v>
      </c>
      <c r="D288" s="24">
        <v>3280</v>
      </c>
      <c r="E288" s="24">
        <v>337</v>
      </c>
      <c r="F288" s="24">
        <v>4</v>
      </c>
      <c r="G288" s="24">
        <v>2</v>
      </c>
      <c r="H288" s="24">
        <v>81306</v>
      </c>
      <c r="I288" s="38" t="s">
        <v>1505</v>
      </c>
      <c r="J288" s="24">
        <v>16702731</v>
      </c>
      <c r="K288" s="24" t="s">
        <v>3878</v>
      </c>
      <c r="L288" s="24" t="s">
        <v>3883</v>
      </c>
      <c r="M288" s="41">
        <v>259900</v>
      </c>
      <c r="N288" s="40">
        <f t="shared" si="49"/>
        <v>0.75</v>
      </c>
      <c r="O288" s="42">
        <f t="shared" si="47"/>
        <v>64975</v>
      </c>
      <c r="P288" s="40" t="str">
        <f t="shared" si="50"/>
        <v>PERCENTAGE</v>
      </c>
    </row>
    <row r="289" spans="1:16" s="31" customFormat="1" x14ac:dyDescent="0.25">
      <c r="A289" s="24" t="str">
        <f t="shared" si="48"/>
        <v>2024 JAN-JUN D75</v>
      </c>
      <c r="B289" s="7">
        <f t="shared" si="48"/>
        <v>46114</v>
      </c>
      <c r="C289" s="7">
        <f t="shared" si="48"/>
        <v>46120</v>
      </c>
      <c r="D289" s="24">
        <v>3280</v>
      </c>
      <c r="E289" s="24">
        <v>337</v>
      </c>
      <c r="F289" s="24">
        <v>4</v>
      </c>
      <c r="G289" s="24">
        <v>2</v>
      </c>
      <c r="H289" s="24">
        <v>81306</v>
      </c>
      <c r="I289" s="38" t="s">
        <v>1505</v>
      </c>
      <c r="J289" s="24">
        <v>16702740</v>
      </c>
      <c r="K289" s="24" t="s">
        <v>3878</v>
      </c>
      <c r="L289" s="24" t="s">
        <v>3884</v>
      </c>
      <c r="M289" s="41">
        <v>259900</v>
      </c>
      <c r="N289" s="40">
        <f t="shared" si="49"/>
        <v>0.75</v>
      </c>
      <c r="O289" s="42">
        <f t="shared" si="47"/>
        <v>64975</v>
      </c>
      <c r="P289" s="40" t="str">
        <f t="shared" si="50"/>
        <v>PERCENTAGE</v>
      </c>
    </row>
    <row r="290" spans="1:16" s="31" customFormat="1" x14ac:dyDescent="0.25">
      <c r="A290" s="24" t="str">
        <f t="shared" si="48"/>
        <v>2024 JAN-JUN D75</v>
      </c>
      <c r="B290" s="7">
        <f t="shared" si="48"/>
        <v>46114</v>
      </c>
      <c r="C290" s="7">
        <f t="shared" si="48"/>
        <v>46120</v>
      </c>
      <c r="D290" s="24">
        <v>3280</v>
      </c>
      <c r="E290" s="24">
        <v>337</v>
      </c>
      <c r="F290" s="24">
        <v>4</v>
      </c>
      <c r="G290" s="24">
        <v>3</v>
      </c>
      <c r="H290" s="24">
        <v>81490</v>
      </c>
      <c r="I290" s="38" t="s">
        <v>1505</v>
      </c>
      <c r="J290" s="24">
        <v>15553912</v>
      </c>
      <c r="K290" s="24" t="s">
        <v>3780</v>
      </c>
      <c r="L290" s="24" t="s">
        <v>3781</v>
      </c>
      <c r="M290" s="41">
        <v>349900</v>
      </c>
      <c r="N290" s="40">
        <f t="shared" si="49"/>
        <v>0.75</v>
      </c>
      <c r="O290" s="42">
        <f t="shared" si="47"/>
        <v>87475</v>
      </c>
      <c r="P290" s="40" t="str">
        <f t="shared" si="50"/>
        <v>PERCENTAGE</v>
      </c>
    </row>
    <row r="291" spans="1:16" s="31" customFormat="1" x14ac:dyDescent="0.25">
      <c r="A291" s="24" t="str">
        <f t="shared" si="48"/>
        <v>2024 JAN-JUN D75</v>
      </c>
      <c r="B291" s="7">
        <f t="shared" si="48"/>
        <v>46114</v>
      </c>
      <c r="C291" s="7">
        <f t="shared" si="48"/>
        <v>46120</v>
      </c>
      <c r="D291" s="24">
        <v>3280</v>
      </c>
      <c r="E291" s="24">
        <v>337</v>
      </c>
      <c r="F291" s="24">
        <v>4</v>
      </c>
      <c r="G291" s="24">
        <v>3</v>
      </c>
      <c r="H291" s="24">
        <v>81490</v>
      </c>
      <c r="I291" s="38" t="s">
        <v>1505</v>
      </c>
      <c r="J291" s="24">
        <v>15553921</v>
      </c>
      <c r="K291" s="24" t="s">
        <v>3780</v>
      </c>
      <c r="L291" s="24" t="s">
        <v>3782</v>
      </c>
      <c r="M291" s="41">
        <v>349900</v>
      </c>
      <c r="N291" s="40">
        <f t="shared" si="49"/>
        <v>0.75</v>
      </c>
      <c r="O291" s="42">
        <f t="shared" si="47"/>
        <v>87475</v>
      </c>
      <c r="P291" s="40" t="str">
        <f t="shared" si="50"/>
        <v>PERCENTAGE</v>
      </c>
    </row>
    <row r="292" spans="1:16" s="31" customFormat="1" x14ac:dyDescent="0.25">
      <c r="A292" s="24" t="str">
        <f t="shared" si="48"/>
        <v>2024 JAN-JUN D75</v>
      </c>
      <c r="B292" s="7">
        <f t="shared" si="48"/>
        <v>46114</v>
      </c>
      <c r="C292" s="7">
        <f t="shared" si="48"/>
        <v>46120</v>
      </c>
      <c r="D292" s="24">
        <v>3280</v>
      </c>
      <c r="E292" s="24">
        <v>337</v>
      </c>
      <c r="F292" s="24">
        <v>4</v>
      </c>
      <c r="G292" s="24">
        <v>3</v>
      </c>
      <c r="H292" s="24">
        <v>81490</v>
      </c>
      <c r="I292" s="38" t="s">
        <v>1505</v>
      </c>
      <c r="J292" s="24">
        <v>15553930</v>
      </c>
      <c r="K292" s="24" t="s">
        <v>3780</v>
      </c>
      <c r="L292" s="24" t="s">
        <v>3783</v>
      </c>
      <c r="M292" s="41">
        <v>349900</v>
      </c>
      <c r="N292" s="40">
        <f t="shared" si="49"/>
        <v>0.75</v>
      </c>
      <c r="O292" s="42">
        <f t="shared" si="47"/>
        <v>87475</v>
      </c>
      <c r="P292" s="40" t="str">
        <f t="shared" si="50"/>
        <v>PERCENTAGE</v>
      </c>
    </row>
    <row r="293" spans="1:16" s="31" customFormat="1" x14ac:dyDescent="0.25">
      <c r="A293" s="24" t="str">
        <f t="shared" si="48"/>
        <v>2024 JAN-JUN D75</v>
      </c>
      <c r="B293" s="7">
        <f t="shared" si="48"/>
        <v>46114</v>
      </c>
      <c r="C293" s="7">
        <f t="shared" si="48"/>
        <v>46120</v>
      </c>
      <c r="D293" s="24">
        <v>3280</v>
      </c>
      <c r="E293" s="24">
        <v>337</v>
      </c>
      <c r="F293" s="24">
        <v>4</v>
      </c>
      <c r="G293" s="24">
        <v>3</v>
      </c>
      <c r="H293" s="24">
        <v>81490</v>
      </c>
      <c r="I293" s="38" t="s">
        <v>1505</v>
      </c>
      <c r="J293" s="24">
        <v>15553949</v>
      </c>
      <c r="K293" s="24" t="s">
        <v>3780</v>
      </c>
      <c r="L293" s="24" t="s">
        <v>3784</v>
      </c>
      <c r="M293" s="41">
        <v>359900</v>
      </c>
      <c r="N293" s="40">
        <f t="shared" si="49"/>
        <v>0.75</v>
      </c>
      <c r="O293" s="42">
        <f t="shared" si="47"/>
        <v>89975</v>
      </c>
      <c r="P293" s="40" t="str">
        <f t="shared" si="50"/>
        <v>PERCENTAGE</v>
      </c>
    </row>
    <row r="294" spans="1:16" s="31" customFormat="1" x14ac:dyDescent="0.25">
      <c r="A294" s="24" t="str">
        <f t="shared" si="48"/>
        <v>2024 JAN-JUN D75</v>
      </c>
      <c r="B294" s="7">
        <f t="shared" si="48"/>
        <v>46114</v>
      </c>
      <c r="C294" s="7">
        <f t="shared" si="48"/>
        <v>46120</v>
      </c>
      <c r="D294" s="24">
        <v>3280</v>
      </c>
      <c r="E294" s="24">
        <v>337</v>
      </c>
      <c r="F294" s="24">
        <v>4</v>
      </c>
      <c r="G294" s="24">
        <v>3</v>
      </c>
      <c r="H294" s="24">
        <v>81490</v>
      </c>
      <c r="I294" s="38" t="s">
        <v>1505</v>
      </c>
      <c r="J294" s="24">
        <v>15553958</v>
      </c>
      <c r="K294" s="24" t="s">
        <v>3780</v>
      </c>
      <c r="L294" s="24" t="s">
        <v>3785</v>
      </c>
      <c r="M294" s="41">
        <v>359900</v>
      </c>
      <c r="N294" s="40">
        <f t="shared" si="49"/>
        <v>0.75</v>
      </c>
      <c r="O294" s="42">
        <f t="shared" si="47"/>
        <v>89975</v>
      </c>
      <c r="P294" s="40" t="str">
        <f t="shared" si="50"/>
        <v>PERCENTAGE</v>
      </c>
    </row>
    <row r="295" spans="1:16" s="31" customFormat="1" x14ac:dyDescent="0.25">
      <c r="A295" s="24" t="str">
        <f t="shared" si="48"/>
        <v>2024 JAN-JUN D75</v>
      </c>
      <c r="B295" s="7">
        <f t="shared" si="48"/>
        <v>46114</v>
      </c>
      <c r="C295" s="7">
        <f t="shared" si="48"/>
        <v>46120</v>
      </c>
      <c r="D295" s="24">
        <v>3280</v>
      </c>
      <c r="E295" s="24">
        <v>337</v>
      </c>
      <c r="F295" s="24">
        <v>4</v>
      </c>
      <c r="G295" s="24">
        <v>3</v>
      </c>
      <c r="H295" s="24">
        <v>81490</v>
      </c>
      <c r="I295" s="38" t="s">
        <v>1505</v>
      </c>
      <c r="J295" s="24">
        <v>15553967</v>
      </c>
      <c r="K295" s="24" t="s">
        <v>3780</v>
      </c>
      <c r="L295" s="24" t="s">
        <v>3786</v>
      </c>
      <c r="M295" s="41">
        <v>359900</v>
      </c>
      <c r="N295" s="40">
        <f t="shared" si="49"/>
        <v>0.75</v>
      </c>
      <c r="O295" s="42">
        <f t="shared" si="47"/>
        <v>89975</v>
      </c>
      <c r="P295" s="40" t="str">
        <f t="shared" si="50"/>
        <v>PERCENTAGE</v>
      </c>
    </row>
    <row r="296" spans="1:16" s="31" customFormat="1" x14ac:dyDescent="0.25">
      <c r="A296" s="24" t="str">
        <f t="shared" si="48"/>
        <v>2024 JAN-JUN D75</v>
      </c>
      <c r="B296" s="7">
        <f t="shared" si="48"/>
        <v>46114</v>
      </c>
      <c r="C296" s="7">
        <f t="shared" si="48"/>
        <v>46120</v>
      </c>
      <c r="D296" s="24">
        <v>3280</v>
      </c>
      <c r="E296" s="24">
        <v>337</v>
      </c>
      <c r="F296" s="24">
        <v>4</v>
      </c>
      <c r="G296" s="37">
        <v>2</v>
      </c>
      <c r="H296" s="37">
        <v>81632</v>
      </c>
      <c r="I296" s="38" t="s">
        <v>1505</v>
      </c>
      <c r="J296" s="37">
        <v>18629933</v>
      </c>
      <c r="K296" s="37" t="s">
        <v>3921</v>
      </c>
      <c r="L296" s="37" t="s">
        <v>3927</v>
      </c>
      <c r="M296" s="39">
        <v>249900</v>
      </c>
      <c r="N296" s="40">
        <f t="shared" si="49"/>
        <v>0.75</v>
      </c>
      <c r="O296" s="42">
        <f t="shared" si="47"/>
        <v>62475</v>
      </c>
      <c r="P296" s="40" t="str">
        <f t="shared" si="50"/>
        <v>PERCENTAGE</v>
      </c>
    </row>
    <row r="297" spans="1:16" s="31" customFormat="1" x14ac:dyDescent="0.25">
      <c r="A297" s="24" t="str">
        <f t="shared" si="48"/>
        <v>2024 JAN-JUN D75</v>
      </c>
      <c r="B297" s="7">
        <f t="shared" si="48"/>
        <v>46114</v>
      </c>
      <c r="C297" s="7">
        <f t="shared" si="48"/>
        <v>46120</v>
      </c>
      <c r="D297" s="24">
        <v>3280</v>
      </c>
      <c r="E297" s="24">
        <v>337</v>
      </c>
      <c r="F297" s="24">
        <v>4</v>
      </c>
      <c r="G297" s="37">
        <v>2</v>
      </c>
      <c r="H297" s="37">
        <v>81632</v>
      </c>
      <c r="I297" s="38" t="s">
        <v>1505</v>
      </c>
      <c r="J297" s="37">
        <v>18629942</v>
      </c>
      <c r="K297" s="37" t="s">
        <v>3921</v>
      </c>
      <c r="L297" s="37" t="s">
        <v>3928</v>
      </c>
      <c r="M297" s="39">
        <v>249900</v>
      </c>
      <c r="N297" s="40">
        <f t="shared" si="49"/>
        <v>0.75</v>
      </c>
      <c r="O297" s="42">
        <f t="shared" si="47"/>
        <v>62475</v>
      </c>
      <c r="P297" s="40" t="str">
        <f t="shared" si="50"/>
        <v>PERCENTAGE</v>
      </c>
    </row>
    <row r="298" spans="1:16" s="31" customFormat="1" x14ac:dyDescent="0.25">
      <c r="A298" s="24" t="str">
        <f t="shared" si="48"/>
        <v>2024 JAN-JUN D75</v>
      </c>
      <c r="B298" s="7">
        <f t="shared" si="48"/>
        <v>46114</v>
      </c>
      <c r="C298" s="7">
        <f t="shared" si="48"/>
        <v>46120</v>
      </c>
      <c r="D298" s="24">
        <v>3280</v>
      </c>
      <c r="E298" s="24">
        <v>337</v>
      </c>
      <c r="F298" s="24">
        <v>4</v>
      </c>
      <c r="G298" s="37">
        <v>2</v>
      </c>
      <c r="H298" s="37">
        <v>81632</v>
      </c>
      <c r="I298" s="38" t="s">
        <v>1505</v>
      </c>
      <c r="J298" s="37">
        <v>18629951</v>
      </c>
      <c r="K298" s="37" t="s">
        <v>3921</v>
      </c>
      <c r="L298" s="37" t="s">
        <v>3929</v>
      </c>
      <c r="M298" s="39">
        <v>249900</v>
      </c>
      <c r="N298" s="40">
        <f t="shared" si="49"/>
        <v>0.75</v>
      </c>
      <c r="O298" s="42">
        <f t="shared" si="47"/>
        <v>62475</v>
      </c>
      <c r="P298" s="40" t="str">
        <f t="shared" si="50"/>
        <v>PERCENTAGE</v>
      </c>
    </row>
    <row r="299" spans="1:16" s="31" customFormat="1" x14ac:dyDescent="0.25">
      <c r="A299" s="24" t="str">
        <f t="shared" si="48"/>
        <v>2024 JAN-JUN D75</v>
      </c>
      <c r="B299" s="7">
        <f t="shared" si="48"/>
        <v>46114</v>
      </c>
      <c r="C299" s="7">
        <f t="shared" si="48"/>
        <v>46120</v>
      </c>
      <c r="D299" s="24">
        <v>3280</v>
      </c>
      <c r="E299" s="24">
        <v>337</v>
      </c>
      <c r="F299" s="24">
        <v>4</v>
      </c>
      <c r="G299" s="37">
        <v>2</v>
      </c>
      <c r="H299" s="37">
        <v>81632</v>
      </c>
      <c r="I299" s="38" t="s">
        <v>1505</v>
      </c>
      <c r="J299" s="37">
        <v>18629960</v>
      </c>
      <c r="K299" s="37" t="s">
        <v>3921</v>
      </c>
      <c r="L299" s="37" t="s">
        <v>3930</v>
      </c>
      <c r="M299" s="39">
        <v>259900</v>
      </c>
      <c r="N299" s="40">
        <f t="shared" si="49"/>
        <v>0.75</v>
      </c>
      <c r="O299" s="42">
        <f t="shared" si="47"/>
        <v>64975</v>
      </c>
      <c r="P299" s="40" t="str">
        <f t="shared" si="50"/>
        <v>PERCENTAGE</v>
      </c>
    </row>
    <row r="300" spans="1:16" s="31" customFormat="1" x14ac:dyDescent="0.25">
      <c r="A300" s="24" t="str">
        <f t="shared" si="48"/>
        <v>2024 JAN-JUN D75</v>
      </c>
      <c r="B300" s="7">
        <f t="shared" si="48"/>
        <v>46114</v>
      </c>
      <c r="C300" s="7">
        <f t="shared" si="48"/>
        <v>46120</v>
      </c>
      <c r="D300" s="24">
        <v>3280</v>
      </c>
      <c r="E300" s="24">
        <v>337</v>
      </c>
      <c r="F300" s="24">
        <v>4</v>
      </c>
      <c r="G300" s="37">
        <v>2</v>
      </c>
      <c r="H300" s="37">
        <v>81632</v>
      </c>
      <c r="I300" s="38" t="s">
        <v>1505</v>
      </c>
      <c r="J300" s="37">
        <v>18629979</v>
      </c>
      <c r="K300" s="37" t="s">
        <v>3921</v>
      </c>
      <c r="L300" s="37" t="s">
        <v>3931</v>
      </c>
      <c r="M300" s="39">
        <v>259900</v>
      </c>
      <c r="N300" s="40">
        <f t="shared" si="49"/>
        <v>0.75</v>
      </c>
      <c r="O300" s="42">
        <f t="shared" si="47"/>
        <v>64975</v>
      </c>
      <c r="P300" s="40" t="str">
        <f t="shared" si="50"/>
        <v>PERCENTAGE</v>
      </c>
    </row>
    <row r="301" spans="1:16" s="31" customFormat="1" x14ac:dyDescent="0.25">
      <c r="A301" s="24" t="str">
        <f t="shared" si="48"/>
        <v>2024 JAN-JUN D75</v>
      </c>
      <c r="B301" s="7">
        <f t="shared" si="48"/>
        <v>46114</v>
      </c>
      <c r="C301" s="7">
        <f t="shared" si="48"/>
        <v>46120</v>
      </c>
      <c r="D301" s="24">
        <v>3280</v>
      </c>
      <c r="E301" s="24">
        <v>337</v>
      </c>
      <c r="F301" s="24">
        <v>4</v>
      </c>
      <c r="G301" s="37">
        <v>2</v>
      </c>
      <c r="H301" s="37">
        <v>81632</v>
      </c>
      <c r="I301" s="38" t="s">
        <v>1505</v>
      </c>
      <c r="J301" s="37">
        <v>18629988</v>
      </c>
      <c r="K301" s="37" t="s">
        <v>3921</v>
      </c>
      <c r="L301" s="37" t="s">
        <v>3932</v>
      </c>
      <c r="M301" s="39">
        <v>259900</v>
      </c>
      <c r="N301" s="40">
        <f t="shared" si="49"/>
        <v>0.75</v>
      </c>
      <c r="O301" s="42">
        <f t="shared" si="47"/>
        <v>64975</v>
      </c>
      <c r="P301" s="40" t="str">
        <f t="shared" si="50"/>
        <v>PERCENTAGE</v>
      </c>
    </row>
    <row r="302" spans="1:16" s="31" customFormat="1" x14ac:dyDescent="0.25">
      <c r="A302" s="24" t="str">
        <f t="shared" si="48"/>
        <v>2024 JAN-JUN D75</v>
      </c>
      <c r="B302" s="7">
        <f t="shared" si="48"/>
        <v>46114</v>
      </c>
      <c r="C302" s="7">
        <f t="shared" si="48"/>
        <v>46120</v>
      </c>
      <c r="D302" s="24">
        <v>3280</v>
      </c>
      <c r="E302" s="24">
        <v>337</v>
      </c>
      <c r="F302" s="24">
        <v>4</v>
      </c>
      <c r="G302" s="37">
        <v>2</v>
      </c>
      <c r="H302" s="37">
        <v>81632</v>
      </c>
      <c r="I302" s="38" t="s">
        <v>1505</v>
      </c>
      <c r="J302" s="37">
        <v>18629808</v>
      </c>
      <c r="K302" s="37" t="s">
        <v>3922</v>
      </c>
      <c r="L302" s="37" t="s">
        <v>3933</v>
      </c>
      <c r="M302" s="39">
        <v>249900</v>
      </c>
      <c r="N302" s="40">
        <f t="shared" si="49"/>
        <v>0.75</v>
      </c>
      <c r="O302" s="42">
        <f t="shared" si="47"/>
        <v>62475</v>
      </c>
      <c r="P302" s="40" t="str">
        <f t="shared" si="50"/>
        <v>PERCENTAGE</v>
      </c>
    </row>
    <row r="303" spans="1:16" s="31" customFormat="1" x14ac:dyDescent="0.25">
      <c r="A303" s="24" t="str">
        <f t="shared" si="48"/>
        <v>2024 JAN-JUN D75</v>
      </c>
      <c r="B303" s="7">
        <f t="shared" si="48"/>
        <v>46114</v>
      </c>
      <c r="C303" s="7">
        <f t="shared" si="48"/>
        <v>46120</v>
      </c>
      <c r="D303" s="24">
        <v>3280</v>
      </c>
      <c r="E303" s="24">
        <v>337</v>
      </c>
      <c r="F303" s="24">
        <v>4</v>
      </c>
      <c r="G303" s="37">
        <v>2</v>
      </c>
      <c r="H303" s="37">
        <v>81632</v>
      </c>
      <c r="I303" s="38" t="s">
        <v>1505</v>
      </c>
      <c r="J303" s="37">
        <v>18629817</v>
      </c>
      <c r="K303" s="37" t="s">
        <v>3922</v>
      </c>
      <c r="L303" s="37" t="s">
        <v>3934</v>
      </c>
      <c r="M303" s="39">
        <v>249900</v>
      </c>
      <c r="N303" s="40">
        <f t="shared" si="49"/>
        <v>0.75</v>
      </c>
      <c r="O303" s="42">
        <f t="shared" si="47"/>
        <v>62475</v>
      </c>
      <c r="P303" s="40" t="str">
        <f t="shared" si="50"/>
        <v>PERCENTAGE</v>
      </c>
    </row>
    <row r="304" spans="1:16" s="31" customFormat="1" x14ac:dyDescent="0.25">
      <c r="A304" s="24" t="str">
        <f t="shared" si="48"/>
        <v>2024 JAN-JUN D75</v>
      </c>
      <c r="B304" s="7">
        <f t="shared" si="48"/>
        <v>46114</v>
      </c>
      <c r="C304" s="7">
        <f t="shared" si="48"/>
        <v>46120</v>
      </c>
      <c r="D304" s="24">
        <v>3280</v>
      </c>
      <c r="E304" s="24">
        <v>337</v>
      </c>
      <c r="F304" s="24">
        <v>4</v>
      </c>
      <c r="G304" s="37">
        <v>2</v>
      </c>
      <c r="H304" s="37">
        <v>81632</v>
      </c>
      <c r="I304" s="38" t="s">
        <v>1505</v>
      </c>
      <c r="J304" s="37">
        <v>18629826</v>
      </c>
      <c r="K304" s="37" t="s">
        <v>3922</v>
      </c>
      <c r="L304" s="37" t="s">
        <v>3935</v>
      </c>
      <c r="M304" s="39">
        <v>249900</v>
      </c>
      <c r="N304" s="40">
        <f t="shared" si="49"/>
        <v>0.75</v>
      </c>
      <c r="O304" s="42">
        <f t="shared" si="47"/>
        <v>62475</v>
      </c>
      <c r="P304" s="40" t="str">
        <f t="shared" si="50"/>
        <v>PERCENTAGE</v>
      </c>
    </row>
    <row r="305" spans="1:16" s="31" customFormat="1" x14ac:dyDescent="0.25">
      <c r="A305" s="24" t="str">
        <f t="shared" si="48"/>
        <v>2024 JAN-JUN D75</v>
      </c>
      <c r="B305" s="7">
        <f t="shared" si="48"/>
        <v>46114</v>
      </c>
      <c r="C305" s="7">
        <f t="shared" si="48"/>
        <v>46120</v>
      </c>
      <c r="D305" s="24">
        <v>3280</v>
      </c>
      <c r="E305" s="24">
        <v>337</v>
      </c>
      <c r="F305" s="24">
        <v>4</v>
      </c>
      <c r="G305" s="37">
        <v>2</v>
      </c>
      <c r="H305" s="37">
        <v>81632</v>
      </c>
      <c r="I305" s="38" t="s">
        <v>1505</v>
      </c>
      <c r="J305" s="37">
        <v>18629835</v>
      </c>
      <c r="K305" s="37" t="s">
        <v>3922</v>
      </c>
      <c r="L305" s="37" t="s">
        <v>3936</v>
      </c>
      <c r="M305" s="39">
        <v>259900</v>
      </c>
      <c r="N305" s="40">
        <f t="shared" si="49"/>
        <v>0.75</v>
      </c>
      <c r="O305" s="42">
        <f t="shared" si="47"/>
        <v>64975</v>
      </c>
      <c r="P305" s="40" t="str">
        <f t="shared" si="50"/>
        <v>PERCENTAGE</v>
      </c>
    </row>
    <row r="306" spans="1:16" s="31" customFormat="1" x14ac:dyDescent="0.25">
      <c r="A306" s="24" t="str">
        <f t="shared" si="48"/>
        <v>2024 JAN-JUN D75</v>
      </c>
      <c r="B306" s="7">
        <f t="shared" si="48"/>
        <v>46114</v>
      </c>
      <c r="C306" s="7">
        <f t="shared" si="48"/>
        <v>46120</v>
      </c>
      <c r="D306" s="24">
        <v>3280</v>
      </c>
      <c r="E306" s="24">
        <v>337</v>
      </c>
      <c r="F306" s="24">
        <v>4</v>
      </c>
      <c r="G306" s="37">
        <v>2</v>
      </c>
      <c r="H306" s="37">
        <v>81632</v>
      </c>
      <c r="I306" s="38" t="s">
        <v>1505</v>
      </c>
      <c r="J306" s="37">
        <v>18629844</v>
      </c>
      <c r="K306" s="37" t="s">
        <v>3922</v>
      </c>
      <c r="L306" s="37" t="s">
        <v>3937</v>
      </c>
      <c r="M306" s="39">
        <v>259900</v>
      </c>
      <c r="N306" s="40">
        <f t="shared" si="49"/>
        <v>0.75</v>
      </c>
      <c r="O306" s="42">
        <f t="shared" si="47"/>
        <v>64975</v>
      </c>
      <c r="P306" s="40" t="str">
        <f t="shared" si="50"/>
        <v>PERCENTAGE</v>
      </c>
    </row>
    <row r="307" spans="1:16" s="31" customFormat="1" x14ac:dyDescent="0.25">
      <c r="A307" s="24" t="str">
        <f t="shared" si="48"/>
        <v>2024 JAN-JUN D75</v>
      </c>
      <c r="B307" s="7">
        <f t="shared" si="48"/>
        <v>46114</v>
      </c>
      <c r="C307" s="7">
        <f t="shared" si="48"/>
        <v>46120</v>
      </c>
      <c r="D307" s="24">
        <v>3280</v>
      </c>
      <c r="E307" s="24">
        <v>337</v>
      </c>
      <c r="F307" s="24">
        <v>4</v>
      </c>
      <c r="G307" s="37">
        <v>2</v>
      </c>
      <c r="H307" s="37">
        <v>81632</v>
      </c>
      <c r="I307" s="38" t="s">
        <v>1505</v>
      </c>
      <c r="J307" s="37">
        <v>18629853</v>
      </c>
      <c r="K307" s="37" t="s">
        <v>3922</v>
      </c>
      <c r="L307" s="37" t="s">
        <v>3938</v>
      </c>
      <c r="M307" s="39">
        <v>259900</v>
      </c>
      <c r="N307" s="40">
        <f t="shared" si="49"/>
        <v>0.75</v>
      </c>
      <c r="O307" s="42">
        <f t="shared" si="47"/>
        <v>64975</v>
      </c>
      <c r="P307" s="40" t="str">
        <f t="shared" si="50"/>
        <v>PERCENTAGE</v>
      </c>
    </row>
    <row r="308" spans="1:16" s="31" customFormat="1" x14ac:dyDescent="0.25">
      <c r="A308" s="24" t="str">
        <f t="shared" si="48"/>
        <v>2024 JAN-JUN D75</v>
      </c>
      <c r="B308" s="7">
        <f t="shared" si="48"/>
        <v>46114</v>
      </c>
      <c r="C308" s="7">
        <f t="shared" si="48"/>
        <v>46120</v>
      </c>
      <c r="D308" s="24">
        <v>3280</v>
      </c>
      <c r="E308" s="24">
        <v>337</v>
      </c>
      <c r="F308" s="24">
        <v>4</v>
      </c>
      <c r="G308" s="37">
        <v>2</v>
      </c>
      <c r="H308" s="37">
        <v>81632</v>
      </c>
      <c r="I308" s="38" t="s">
        <v>1505</v>
      </c>
      <c r="J308" s="37">
        <v>18630074</v>
      </c>
      <c r="K308" s="37" t="s">
        <v>3923</v>
      </c>
      <c r="L308" s="37" t="s">
        <v>3939</v>
      </c>
      <c r="M308" s="39">
        <v>249900</v>
      </c>
      <c r="N308" s="40">
        <f t="shared" si="49"/>
        <v>0.75</v>
      </c>
      <c r="O308" s="42">
        <f t="shared" si="47"/>
        <v>62475</v>
      </c>
      <c r="P308" s="40" t="str">
        <f t="shared" si="50"/>
        <v>PERCENTAGE</v>
      </c>
    </row>
    <row r="309" spans="1:16" s="31" customFormat="1" x14ac:dyDescent="0.25">
      <c r="A309" s="24" t="str">
        <f t="shared" si="48"/>
        <v>2024 JAN-JUN D75</v>
      </c>
      <c r="B309" s="7">
        <f t="shared" si="48"/>
        <v>46114</v>
      </c>
      <c r="C309" s="7">
        <f t="shared" si="48"/>
        <v>46120</v>
      </c>
      <c r="D309" s="24">
        <v>3280</v>
      </c>
      <c r="E309" s="24">
        <v>337</v>
      </c>
      <c r="F309" s="24">
        <v>4</v>
      </c>
      <c r="G309" s="37">
        <v>2</v>
      </c>
      <c r="H309" s="37">
        <v>81632</v>
      </c>
      <c r="I309" s="38" t="s">
        <v>1505</v>
      </c>
      <c r="J309" s="37">
        <v>18630118</v>
      </c>
      <c r="K309" s="37" t="s">
        <v>3923</v>
      </c>
      <c r="L309" s="37" t="s">
        <v>3940</v>
      </c>
      <c r="M309" s="39">
        <v>249900</v>
      </c>
      <c r="N309" s="40">
        <f t="shared" si="49"/>
        <v>0.75</v>
      </c>
      <c r="O309" s="42">
        <f t="shared" si="47"/>
        <v>62475</v>
      </c>
      <c r="P309" s="40" t="str">
        <f t="shared" si="50"/>
        <v>PERCENTAGE</v>
      </c>
    </row>
    <row r="310" spans="1:16" s="31" customFormat="1" x14ac:dyDescent="0.25">
      <c r="A310" s="24" t="str">
        <f t="shared" si="48"/>
        <v>2024 JAN-JUN D75</v>
      </c>
      <c r="B310" s="7">
        <f t="shared" si="48"/>
        <v>46114</v>
      </c>
      <c r="C310" s="7">
        <f t="shared" si="48"/>
        <v>46120</v>
      </c>
      <c r="D310" s="24">
        <v>3280</v>
      </c>
      <c r="E310" s="24">
        <v>337</v>
      </c>
      <c r="F310" s="24">
        <v>4</v>
      </c>
      <c r="G310" s="37">
        <v>2</v>
      </c>
      <c r="H310" s="37">
        <v>81632</v>
      </c>
      <c r="I310" s="38" t="s">
        <v>1505</v>
      </c>
      <c r="J310" s="37">
        <v>18630127</v>
      </c>
      <c r="K310" s="37" t="s">
        <v>3923</v>
      </c>
      <c r="L310" s="37" t="s">
        <v>3941</v>
      </c>
      <c r="M310" s="39">
        <v>249900</v>
      </c>
      <c r="N310" s="40">
        <f t="shared" si="49"/>
        <v>0.75</v>
      </c>
      <c r="O310" s="42">
        <f t="shared" si="47"/>
        <v>62475</v>
      </c>
      <c r="P310" s="40" t="str">
        <f t="shared" si="50"/>
        <v>PERCENTAGE</v>
      </c>
    </row>
    <row r="311" spans="1:16" s="31" customFormat="1" x14ac:dyDescent="0.25">
      <c r="A311" s="24" t="str">
        <f t="shared" si="48"/>
        <v>2024 JAN-JUN D75</v>
      </c>
      <c r="B311" s="7">
        <f t="shared" si="48"/>
        <v>46114</v>
      </c>
      <c r="C311" s="7">
        <f t="shared" si="48"/>
        <v>46120</v>
      </c>
      <c r="D311" s="24">
        <v>3280</v>
      </c>
      <c r="E311" s="24">
        <v>337</v>
      </c>
      <c r="F311" s="24">
        <v>4</v>
      </c>
      <c r="G311" s="37">
        <v>2</v>
      </c>
      <c r="H311" s="37">
        <v>81632</v>
      </c>
      <c r="I311" s="38" t="s">
        <v>1505</v>
      </c>
      <c r="J311" s="37">
        <v>18630136</v>
      </c>
      <c r="K311" s="37" t="s">
        <v>3923</v>
      </c>
      <c r="L311" s="37" t="s">
        <v>3942</v>
      </c>
      <c r="M311" s="39">
        <v>259900</v>
      </c>
      <c r="N311" s="40">
        <f t="shared" si="49"/>
        <v>0.75</v>
      </c>
      <c r="O311" s="42">
        <f t="shared" si="47"/>
        <v>64975</v>
      </c>
      <c r="P311" s="40" t="str">
        <f t="shared" si="50"/>
        <v>PERCENTAGE</v>
      </c>
    </row>
    <row r="312" spans="1:16" s="31" customFormat="1" x14ac:dyDescent="0.25">
      <c r="A312" s="24" t="str">
        <f t="shared" si="48"/>
        <v>2024 JAN-JUN D75</v>
      </c>
      <c r="B312" s="7">
        <f t="shared" si="48"/>
        <v>46114</v>
      </c>
      <c r="C312" s="7">
        <f t="shared" si="48"/>
        <v>46120</v>
      </c>
      <c r="D312" s="24">
        <v>3280</v>
      </c>
      <c r="E312" s="24">
        <v>337</v>
      </c>
      <c r="F312" s="24">
        <v>4</v>
      </c>
      <c r="G312" s="37">
        <v>2</v>
      </c>
      <c r="H312" s="37">
        <v>81632</v>
      </c>
      <c r="I312" s="38" t="s">
        <v>1505</v>
      </c>
      <c r="J312" s="37">
        <v>18630145</v>
      </c>
      <c r="K312" s="37" t="s">
        <v>3923</v>
      </c>
      <c r="L312" s="37" t="s">
        <v>3943</v>
      </c>
      <c r="M312" s="39">
        <v>259900</v>
      </c>
      <c r="N312" s="40">
        <f t="shared" si="49"/>
        <v>0.75</v>
      </c>
      <c r="O312" s="42">
        <f t="shared" si="47"/>
        <v>64975</v>
      </c>
      <c r="P312" s="40" t="str">
        <f t="shared" si="50"/>
        <v>PERCENTAGE</v>
      </c>
    </row>
    <row r="313" spans="1:16" s="31" customFormat="1" x14ac:dyDescent="0.25">
      <c r="A313" s="24" t="str">
        <f t="shared" si="48"/>
        <v>2024 JAN-JUN D75</v>
      </c>
      <c r="B313" s="7">
        <f t="shared" si="48"/>
        <v>46114</v>
      </c>
      <c r="C313" s="7">
        <f t="shared" si="48"/>
        <v>46120</v>
      </c>
      <c r="D313" s="24">
        <v>3280</v>
      </c>
      <c r="E313" s="24">
        <v>337</v>
      </c>
      <c r="F313" s="24">
        <v>4</v>
      </c>
      <c r="G313" s="37">
        <v>2</v>
      </c>
      <c r="H313" s="37">
        <v>81632</v>
      </c>
      <c r="I313" s="38" t="s">
        <v>1505</v>
      </c>
      <c r="J313" s="37">
        <v>18630154</v>
      </c>
      <c r="K313" s="37" t="s">
        <v>3923</v>
      </c>
      <c r="L313" s="37" t="s">
        <v>3944</v>
      </c>
      <c r="M313" s="39">
        <v>259900</v>
      </c>
      <c r="N313" s="40">
        <f t="shared" si="49"/>
        <v>0.75</v>
      </c>
      <c r="O313" s="42">
        <f t="shared" si="47"/>
        <v>64975</v>
      </c>
      <c r="P313" s="40" t="str">
        <f t="shared" si="50"/>
        <v>PERCENTAGE</v>
      </c>
    </row>
    <row r="314" spans="1:16" s="31" customFormat="1" x14ac:dyDescent="0.25">
      <c r="A314" s="24" t="str">
        <f t="shared" si="48"/>
        <v>2024 JAN-JUN D75</v>
      </c>
      <c r="B314" s="7">
        <f t="shared" si="48"/>
        <v>46114</v>
      </c>
      <c r="C314" s="7">
        <f t="shared" si="48"/>
        <v>46120</v>
      </c>
      <c r="D314" s="24">
        <v>3280</v>
      </c>
      <c r="E314" s="24">
        <v>337</v>
      </c>
      <c r="F314" s="24">
        <v>4</v>
      </c>
      <c r="G314" s="37">
        <v>2</v>
      </c>
      <c r="H314" s="37">
        <v>81632</v>
      </c>
      <c r="I314" s="38" t="s">
        <v>1505</v>
      </c>
      <c r="J314" s="37">
        <v>18629746</v>
      </c>
      <c r="K314" s="37" t="s">
        <v>3924</v>
      </c>
      <c r="L314" s="37" t="s">
        <v>3945</v>
      </c>
      <c r="M314" s="39">
        <v>249900</v>
      </c>
      <c r="N314" s="40">
        <f t="shared" si="49"/>
        <v>0.75</v>
      </c>
      <c r="O314" s="42">
        <f t="shared" si="47"/>
        <v>62475</v>
      </c>
      <c r="P314" s="40" t="str">
        <f t="shared" si="50"/>
        <v>PERCENTAGE</v>
      </c>
    </row>
    <row r="315" spans="1:16" s="31" customFormat="1" x14ac:dyDescent="0.25">
      <c r="A315" s="24" t="str">
        <f t="shared" si="48"/>
        <v>2024 JAN-JUN D75</v>
      </c>
      <c r="B315" s="7">
        <f t="shared" si="48"/>
        <v>46114</v>
      </c>
      <c r="C315" s="7">
        <f t="shared" si="48"/>
        <v>46120</v>
      </c>
      <c r="D315" s="24">
        <v>3280</v>
      </c>
      <c r="E315" s="24">
        <v>337</v>
      </c>
      <c r="F315" s="24">
        <v>4</v>
      </c>
      <c r="G315" s="37">
        <v>2</v>
      </c>
      <c r="H315" s="37">
        <v>81632</v>
      </c>
      <c r="I315" s="38" t="s">
        <v>1505</v>
      </c>
      <c r="J315" s="37">
        <v>18629755</v>
      </c>
      <c r="K315" s="37" t="s">
        <v>3924</v>
      </c>
      <c r="L315" s="37" t="s">
        <v>3946</v>
      </c>
      <c r="M315" s="39">
        <v>249900</v>
      </c>
      <c r="N315" s="40">
        <f t="shared" si="49"/>
        <v>0.75</v>
      </c>
      <c r="O315" s="42">
        <f t="shared" si="47"/>
        <v>62475</v>
      </c>
      <c r="P315" s="40" t="str">
        <f t="shared" si="50"/>
        <v>PERCENTAGE</v>
      </c>
    </row>
    <row r="316" spans="1:16" s="31" customFormat="1" x14ac:dyDescent="0.25">
      <c r="A316" s="24" t="str">
        <f t="shared" si="48"/>
        <v>2024 JAN-JUN D75</v>
      </c>
      <c r="B316" s="7">
        <f t="shared" si="48"/>
        <v>46114</v>
      </c>
      <c r="C316" s="7">
        <f t="shared" si="48"/>
        <v>46120</v>
      </c>
      <c r="D316" s="24">
        <v>3280</v>
      </c>
      <c r="E316" s="24">
        <v>337</v>
      </c>
      <c r="F316" s="24">
        <v>4</v>
      </c>
      <c r="G316" s="37">
        <v>2</v>
      </c>
      <c r="H316" s="37">
        <v>81632</v>
      </c>
      <c r="I316" s="38" t="s">
        <v>1505</v>
      </c>
      <c r="J316" s="37">
        <v>18629764</v>
      </c>
      <c r="K316" s="37" t="s">
        <v>3924</v>
      </c>
      <c r="L316" s="37" t="s">
        <v>3947</v>
      </c>
      <c r="M316" s="39">
        <v>249900</v>
      </c>
      <c r="N316" s="40">
        <f t="shared" si="49"/>
        <v>0.75</v>
      </c>
      <c r="O316" s="42">
        <f t="shared" si="47"/>
        <v>62475</v>
      </c>
      <c r="P316" s="40" t="str">
        <f t="shared" si="50"/>
        <v>PERCENTAGE</v>
      </c>
    </row>
    <row r="317" spans="1:16" s="31" customFormat="1" x14ac:dyDescent="0.25">
      <c r="A317" s="24" t="str">
        <f t="shared" si="48"/>
        <v>2024 JAN-JUN D75</v>
      </c>
      <c r="B317" s="7">
        <f t="shared" si="48"/>
        <v>46114</v>
      </c>
      <c r="C317" s="7">
        <f t="shared" si="48"/>
        <v>46120</v>
      </c>
      <c r="D317" s="24">
        <v>3280</v>
      </c>
      <c r="E317" s="24">
        <v>337</v>
      </c>
      <c r="F317" s="24">
        <v>4</v>
      </c>
      <c r="G317" s="37">
        <v>2</v>
      </c>
      <c r="H317" s="37">
        <v>81632</v>
      </c>
      <c r="I317" s="38" t="s">
        <v>1505</v>
      </c>
      <c r="J317" s="37">
        <v>18629773</v>
      </c>
      <c r="K317" s="37" t="s">
        <v>3924</v>
      </c>
      <c r="L317" s="37" t="s">
        <v>3948</v>
      </c>
      <c r="M317" s="39">
        <v>259900</v>
      </c>
      <c r="N317" s="40">
        <f t="shared" si="49"/>
        <v>0.75</v>
      </c>
      <c r="O317" s="42">
        <f t="shared" si="47"/>
        <v>64975</v>
      </c>
      <c r="P317" s="40" t="str">
        <f t="shared" si="50"/>
        <v>PERCENTAGE</v>
      </c>
    </row>
    <row r="318" spans="1:16" s="31" customFormat="1" x14ac:dyDescent="0.25">
      <c r="A318" s="24" t="str">
        <f t="shared" si="48"/>
        <v>2024 JAN-JUN D75</v>
      </c>
      <c r="B318" s="7">
        <f t="shared" si="48"/>
        <v>46114</v>
      </c>
      <c r="C318" s="7">
        <f t="shared" si="48"/>
        <v>46120</v>
      </c>
      <c r="D318" s="24">
        <v>3280</v>
      </c>
      <c r="E318" s="24">
        <v>337</v>
      </c>
      <c r="F318" s="24">
        <v>4</v>
      </c>
      <c r="G318" s="37">
        <v>2</v>
      </c>
      <c r="H318" s="37">
        <v>81632</v>
      </c>
      <c r="I318" s="38" t="s">
        <v>1505</v>
      </c>
      <c r="J318" s="37">
        <v>18629782</v>
      </c>
      <c r="K318" s="37" t="s">
        <v>3924</v>
      </c>
      <c r="L318" s="37" t="s">
        <v>3949</v>
      </c>
      <c r="M318" s="39">
        <v>259900</v>
      </c>
      <c r="N318" s="40">
        <f t="shared" si="49"/>
        <v>0.75</v>
      </c>
      <c r="O318" s="42">
        <f t="shared" si="47"/>
        <v>64975</v>
      </c>
      <c r="P318" s="40" t="str">
        <f t="shared" si="50"/>
        <v>PERCENTAGE</v>
      </c>
    </row>
    <row r="319" spans="1:16" s="31" customFormat="1" x14ac:dyDescent="0.25">
      <c r="A319" s="24" t="str">
        <f t="shared" si="48"/>
        <v>2024 JAN-JUN D75</v>
      </c>
      <c r="B319" s="7">
        <f t="shared" si="48"/>
        <v>46114</v>
      </c>
      <c r="C319" s="7">
        <f t="shared" si="48"/>
        <v>46120</v>
      </c>
      <c r="D319" s="24">
        <v>3280</v>
      </c>
      <c r="E319" s="24">
        <v>337</v>
      </c>
      <c r="F319" s="24">
        <v>4</v>
      </c>
      <c r="G319" s="37">
        <v>2</v>
      </c>
      <c r="H319" s="37">
        <v>81632</v>
      </c>
      <c r="I319" s="38" t="s">
        <v>1505</v>
      </c>
      <c r="J319" s="37">
        <v>18629791</v>
      </c>
      <c r="K319" s="37" t="s">
        <v>3924</v>
      </c>
      <c r="L319" s="37" t="s">
        <v>3950</v>
      </c>
      <c r="M319" s="39">
        <v>259900</v>
      </c>
      <c r="N319" s="40">
        <f t="shared" si="49"/>
        <v>0.75</v>
      </c>
      <c r="O319" s="42">
        <f t="shared" si="47"/>
        <v>64975</v>
      </c>
      <c r="P319" s="40" t="str">
        <f t="shared" si="50"/>
        <v>PERCENTAGE</v>
      </c>
    </row>
    <row r="320" spans="1:16" s="31" customFormat="1" x14ac:dyDescent="0.25">
      <c r="A320" s="24" t="str">
        <f t="shared" si="48"/>
        <v>2024 JAN-JUN D75</v>
      </c>
      <c r="B320" s="7">
        <f t="shared" si="48"/>
        <v>46114</v>
      </c>
      <c r="C320" s="7">
        <f t="shared" si="48"/>
        <v>46120</v>
      </c>
      <c r="D320" s="24">
        <v>3280</v>
      </c>
      <c r="E320" s="24">
        <v>337</v>
      </c>
      <c r="F320" s="24">
        <v>4</v>
      </c>
      <c r="G320" s="37">
        <v>2</v>
      </c>
      <c r="H320" s="37">
        <v>81632</v>
      </c>
      <c r="I320" s="38" t="s">
        <v>1505</v>
      </c>
      <c r="J320" s="37">
        <v>18629871</v>
      </c>
      <c r="K320" s="37" t="s">
        <v>3925</v>
      </c>
      <c r="L320" s="37" t="s">
        <v>3951</v>
      </c>
      <c r="M320" s="39">
        <v>249900</v>
      </c>
      <c r="N320" s="40">
        <f t="shared" si="49"/>
        <v>0.75</v>
      </c>
      <c r="O320" s="42">
        <f t="shared" si="47"/>
        <v>62475</v>
      </c>
      <c r="P320" s="40" t="str">
        <f t="shared" si="50"/>
        <v>PERCENTAGE</v>
      </c>
    </row>
    <row r="321" spans="1:16" s="31" customFormat="1" x14ac:dyDescent="0.25">
      <c r="A321" s="24" t="str">
        <f t="shared" si="48"/>
        <v>2024 JAN-JUN D75</v>
      </c>
      <c r="B321" s="7">
        <f t="shared" si="48"/>
        <v>46114</v>
      </c>
      <c r="C321" s="7">
        <f t="shared" si="48"/>
        <v>46120</v>
      </c>
      <c r="D321" s="24">
        <v>3280</v>
      </c>
      <c r="E321" s="24">
        <v>337</v>
      </c>
      <c r="F321" s="24">
        <v>4</v>
      </c>
      <c r="G321" s="37">
        <v>2</v>
      </c>
      <c r="H321" s="37">
        <v>81632</v>
      </c>
      <c r="I321" s="38" t="s">
        <v>1505</v>
      </c>
      <c r="J321" s="37">
        <v>18629880</v>
      </c>
      <c r="K321" s="37" t="s">
        <v>3925</v>
      </c>
      <c r="L321" s="37" t="s">
        <v>3952</v>
      </c>
      <c r="M321" s="39">
        <v>249900</v>
      </c>
      <c r="N321" s="40">
        <f t="shared" si="49"/>
        <v>0.75</v>
      </c>
      <c r="O321" s="42">
        <f t="shared" si="47"/>
        <v>62475</v>
      </c>
      <c r="P321" s="40" t="str">
        <f t="shared" si="50"/>
        <v>PERCENTAGE</v>
      </c>
    </row>
    <row r="322" spans="1:16" s="31" customFormat="1" x14ac:dyDescent="0.25">
      <c r="A322" s="24" t="str">
        <f t="shared" si="48"/>
        <v>2024 JAN-JUN D75</v>
      </c>
      <c r="B322" s="7">
        <f t="shared" si="48"/>
        <v>46114</v>
      </c>
      <c r="C322" s="7">
        <f t="shared" si="48"/>
        <v>46120</v>
      </c>
      <c r="D322" s="24">
        <v>3280</v>
      </c>
      <c r="E322" s="24">
        <v>337</v>
      </c>
      <c r="F322" s="24">
        <v>4</v>
      </c>
      <c r="G322" s="37">
        <v>2</v>
      </c>
      <c r="H322" s="37">
        <v>81632</v>
      </c>
      <c r="I322" s="38" t="s">
        <v>1505</v>
      </c>
      <c r="J322" s="37">
        <v>18629899</v>
      </c>
      <c r="K322" s="37" t="s">
        <v>3925</v>
      </c>
      <c r="L322" s="37" t="s">
        <v>3953</v>
      </c>
      <c r="M322" s="39">
        <v>249900</v>
      </c>
      <c r="N322" s="40">
        <f t="shared" si="49"/>
        <v>0.75</v>
      </c>
      <c r="O322" s="42">
        <f t="shared" si="47"/>
        <v>62475</v>
      </c>
      <c r="P322" s="40" t="str">
        <f t="shared" si="50"/>
        <v>PERCENTAGE</v>
      </c>
    </row>
    <row r="323" spans="1:16" s="31" customFormat="1" x14ac:dyDescent="0.25">
      <c r="A323" s="24" t="str">
        <f t="shared" si="48"/>
        <v>2024 JAN-JUN D75</v>
      </c>
      <c r="B323" s="7">
        <f t="shared" si="48"/>
        <v>46114</v>
      </c>
      <c r="C323" s="7">
        <f t="shared" si="48"/>
        <v>46120</v>
      </c>
      <c r="D323" s="24">
        <v>3280</v>
      </c>
      <c r="E323" s="24">
        <v>337</v>
      </c>
      <c r="F323" s="24">
        <v>4</v>
      </c>
      <c r="G323" s="37">
        <v>2</v>
      </c>
      <c r="H323" s="37">
        <v>81632</v>
      </c>
      <c r="I323" s="38" t="s">
        <v>1505</v>
      </c>
      <c r="J323" s="37">
        <v>18629906</v>
      </c>
      <c r="K323" s="37" t="s">
        <v>3925</v>
      </c>
      <c r="L323" s="37" t="s">
        <v>3954</v>
      </c>
      <c r="M323" s="39">
        <v>259900</v>
      </c>
      <c r="N323" s="40">
        <f t="shared" si="49"/>
        <v>0.75</v>
      </c>
      <c r="O323" s="42">
        <f t="shared" ref="O323:O331" si="51">M323-((75*M323)/100)</f>
        <v>64975</v>
      </c>
      <c r="P323" s="40" t="str">
        <f t="shared" si="50"/>
        <v>PERCENTAGE</v>
      </c>
    </row>
    <row r="324" spans="1:16" s="31" customFormat="1" x14ac:dyDescent="0.25">
      <c r="A324" s="24" t="str">
        <f t="shared" ref="A324:C331" si="52">A323</f>
        <v>2024 JAN-JUN D75</v>
      </c>
      <c r="B324" s="7">
        <f t="shared" si="52"/>
        <v>46114</v>
      </c>
      <c r="C324" s="7">
        <f t="shared" si="52"/>
        <v>46120</v>
      </c>
      <c r="D324" s="24">
        <v>3280</v>
      </c>
      <c r="E324" s="24">
        <v>337</v>
      </c>
      <c r="F324" s="24">
        <v>4</v>
      </c>
      <c r="G324" s="37">
        <v>2</v>
      </c>
      <c r="H324" s="37">
        <v>81632</v>
      </c>
      <c r="I324" s="38" t="s">
        <v>1505</v>
      </c>
      <c r="J324" s="37">
        <v>18629915</v>
      </c>
      <c r="K324" s="37" t="s">
        <v>3925</v>
      </c>
      <c r="L324" s="37" t="s">
        <v>3955</v>
      </c>
      <c r="M324" s="39">
        <v>259900</v>
      </c>
      <c r="N324" s="40">
        <f t="shared" ref="N324:N331" si="53">N323</f>
        <v>0.75</v>
      </c>
      <c r="O324" s="42">
        <f t="shared" si="51"/>
        <v>64975</v>
      </c>
      <c r="P324" s="40" t="str">
        <f t="shared" ref="P324:P331" si="54">P323</f>
        <v>PERCENTAGE</v>
      </c>
    </row>
    <row r="325" spans="1:16" s="31" customFormat="1" x14ac:dyDescent="0.25">
      <c r="A325" s="24" t="str">
        <f t="shared" si="52"/>
        <v>2024 JAN-JUN D75</v>
      </c>
      <c r="B325" s="7">
        <f t="shared" si="52"/>
        <v>46114</v>
      </c>
      <c r="C325" s="7">
        <f t="shared" si="52"/>
        <v>46120</v>
      </c>
      <c r="D325" s="24">
        <v>3280</v>
      </c>
      <c r="E325" s="24">
        <v>337</v>
      </c>
      <c r="F325" s="24">
        <v>4</v>
      </c>
      <c r="G325" s="37">
        <v>2</v>
      </c>
      <c r="H325" s="37">
        <v>81632</v>
      </c>
      <c r="I325" s="38" t="s">
        <v>1505</v>
      </c>
      <c r="J325" s="37">
        <v>18629924</v>
      </c>
      <c r="K325" s="37" t="s">
        <v>3925</v>
      </c>
      <c r="L325" s="37" t="s">
        <v>3956</v>
      </c>
      <c r="M325" s="39">
        <v>259900</v>
      </c>
      <c r="N325" s="40">
        <f t="shared" si="53"/>
        <v>0.75</v>
      </c>
      <c r="O325" s="42">
        <f t="shared" si="51"/>
        <v>64975</v>
      </c>
      <c r="P325" s="40" t="str">
        <f t="shared" si="54"/>
        <v>PERCENTAGE</v>
      </c>
    </row>
    <row r="326" spans="1:16" s="31" customFormat="1" x14ac:dyDescent="0.25">
      <c r="A326" s="24" t="str">
        <f t="shared" si="52"/>
        <v>2024 JAN-JUN D75</v>
      </c>
      <c r="B326" s="7">
        <f t="shared" si="52"/>
        <v>46114</v>
      </c>
      <c r="C326" s="7">
        <f t="shared" si="52"/>
        <v>46120</v>
      </c>
      <c r="D326" s="24">
        <v>3280</v>
      </c>
      <c r="E326" s="24">
        <v>337</v>
      </c>
      <c r="F326" s="24">
        <v>4</v>
      </c>
      <c r="G326" s="37">
        <v>2</v>
      </c>
      <c r="H326" s="37">
        <v>81632</v>
      </c>
      <c r="I326" s="38" t="s">
        <v>1505</v>
      </c>
      <c r="J326" s="37">
        <v>18629997</v>
      </c>
      <c r="K326" s="37" t="s">
        <v>3926</v>
      </c>
      <c r="L326" s="37" t="s">
        <v>3957</v>
      </c>
      <c r="M326" s="39">
        <v>249900</v>
      </c>
      <c r="N326" s="40">
        <f t="shared" si="53"/>
        <v>0.75</v>
      </c>
      <c r="O326" s="42">
        <f t="shared" si="51"/>
        <v>62475</v>
      </c>
      <c r="P326" s="40" t="str">
        <f t="shared" si="54"/>
        <v>PERCENTAGE</v>
      </c>
    </row>
    <row r="327" spans="1:16" s="31" customFormat="1" x14ac:dyDescent="0.25">
      <c r="A327" s="24" t="str">
        <f t="shared" si="52"/>
        <v>2024 JAN-JUN D75</v>
      </c>
      <c r="B327" s="7">
        <f t="shared" si="52"/>
        <v>46114</v>
      </c>
      <c r="C327" s="7">
        <f t="shared" si="52"/>
        <v>46120</v>
      </c>
      <c r="D327" s="24">
        <v>3280</v>
      </c>
      <c r="E327" s="24">
        <v>337</v>
      </c>
      <c r="F327" s="24">
        <v>4</v>
      </c>
      <c r="G327" s="37">
        <v>2</v>
      </c>
      <c r="H327" s="37">
        <v>81632</v>
      </c>
      <c r="I327" s="38" t="s">
        <v>1505</v>
      </c>
      <c r="J327" s="37">
        <v>18630001</v>
      </c>
      <c r="K327" s="37" t="s">
        <v>3926</v>
      </c>
      <c r="L327" s="37" t="s">
        <v>3958</v>
      </c>
      <c r="M327" s="39">
        <v>249900</v>
      </c>
      <c r="N327" s="40">
        <f t="shared" si="53"/>
        <v>0.75</v>
      </c>
      <c r="O327" s="42">
        <f t="shared" si="51"/>
        <v>62475</v>
      </c>
      <c r="P327" s="40" t="str">
        <f t="shared" si="54"/>
        <v>PERCENTAGE</v>
      </c>
    </row>
    <row r="328" spans="1:16" s="31" customFormat="1" x14ac:dyDescent="0.25">
      <c r="A328" s="24" t="str">
        <f t="shared" si="52"/>
        <v>2024 JAN-JUN D75</v>
      </c>
      <c r="B328" s="7">
        <f t="shared" si="52"/>
        <v>46114</v>
      </c>
      <c r="C328" s="7">
        <f t="shared" si="52"/>
        <v>46120</v>
      </c>
      <c r="D328" s="24">
        <v>3280</v>
      </c>
      <c r="E328" s="24">
        <v>337</v>
      </c>
      <c r="F328" s="24">
        <v>4</v>
      </c>
      <c r="G328" s="37">
        <v>2</v>
      </c>
      <c r="H328" s="37">
        <v>81632</v>
      </c>
      <c r="I328" s="38" t="s">
        <v>1505</v>
      </c>
      <c r="J328" s="37">
        <v>18630010</v>
      </c>
      <c r="K328" s="37" t="s">
        <v>3926</v>
      </c>
      <c r="L328" s="37" t="s">
        <v>3959</v>
      </c>
      <c r="M328" s="39">
        <v>249900</v>
      </c>
      <c r="N328" s="40">
        <f t="shared" si="53"/>
        <v>0.75</v>
      </c>
      <c r="O328" s="42">
        <f t="shared" si="51"/>
        <v>62475</v>
      </c>
      <c r="P328" s="40" t="str">
        <f t="shared" si="54"/>
        <v>PERCENTAGE</v>
      </c>
    </row>
    <row r="329" spans="1:16" s="31" customFormat="1" x14ac:dyDescent="0.25">
      <c r="A329" s="24" t="str">
        <f t="shared" si="52"/>
        <v>2024 JAN-JUN D75</v>
      </c>
      <c r="B329" s="7">
        <f t="shared" si="52"/>
        <v>46114</v>
      </c>
      <c r="C329" s="7">
        <f t="shared" si="52"/>
        <v>46120</v>
      </c>
      <c r="D329" s="24">
        <v>3280</v>
      </c>
      <c r="E329" s="24">
        <v>337</v>
      </c>
      <c r="F329" s="24">
        <v>4</v>
      </c>
      <c r="G329" s="37">
        <v>2</v>
      </c>
      <c r="H329" s="37">
        <v>81632</v>
      </c>
      <c r="I329" s="38" t="s">
        <v>1505</v>
      </c>
      <c r="J329" s="37">
        <v>18630029</v>
      </c>
      <c r="K329" s="37" t="s">
        <v>3926</v>
      </c>
      <c r="L329" s="37" t="s">
        <v>3960</v>
      </c>
      <c r="M329" s="39">
        <v>259900</v>
      </c>
      <c r="N329" s="40">
        <f t="shared" si="53"/>
        <v>0.75</v>
      </c>
      <c r="O329" s="42">
        <f t="shared" si="51"/>
        <v>64975</v>
      </c>
      <c r="P329" s="40" t="str">
        <f t="shared" si="54"/>
        <v>PERCENTAGE</v>
      </c>
    </row>
    <row r="330" spans="1:16" s="31" customFormat="1" x14ac:dyDescent="0.25">
      <c r="A330" s="24" t="str">
        <f t="shared" si="52"/>
        <v>2024 JAN-JUN D75</v>
      </c>
      <c r="B330" s="7">
        <f t="shared" si="52"/>
        <v>46114</v>
      </c>
      <c r="C330" s="7">
        <f t="shared" si="52"/>
        <v>46120</v>
      </c>
      <c r="D330" s="24">
        <v>3280</v>
      </c>
      <c r="E330" s="24">
        <v>337</v>
      </c>
      <c r="F330" s="24">
        <v>4</v>
      </c>
      <c r="G330" s="37">
        <v>2</v>
      </c>
      <c r="H330" s="37">
        <v>81632</v>
      </c>
      <c r="I330" s="38" t="s">
        <v>1505</v>
      </c>
      <c r="J330" s="37">
        <v>18630038</v>
      </c>
      <c r="K330" s="37" t="s">
        <v>3926</v>
      </c>
      <c r="L330" s="37" t="s">
        <v>3961</v>
      </c>
      <c r="M330" s="39">
        <v>259900</v>
      </c>
      <c r="N330" s="40">
        <f t="shared" si="53"/>
        <v>0.75</v>
      </c>
      <c r="O330" s="42">
        <f t="shared" si="51"/>
        <v>64975</v>
      </c>
      <c r="P330" s="40" t="str">
        <f t="shared" si="54"/>
        <v>PERCENTAGE</v>
      </c>
    </row>
    <row r="331" spans="1:16" s="31" customFormat="1" x14ac:dyDescent="0.25">
      <c r="A331" s="24" t="str">
        <f t="shared" si="52"/>
        <v>2024 JAN-JUN D75</v>
      </c>
      <c r="B331" s="7">
        <f t="shared" si="52"/>
        <v>46114</v>
      </c>
      <c r="C331" s="7">
        <f t="shared" si="52"/>
        <v>46120</v>
      </c>
      <c r="D331" s="24">
        <v>3280</v>
      </c>
      <c r="E331" s="24">
        <v>337</v>
      </c>
      <c r="F331" s="24">
        <v>4</v>
      </c>
      <c r="G331" s="37">
        <v>2</v>
      </c>
      <c r="H331" s="37">
        <v>81632</v>
      </c>
      <c r="I331" s="38" t="s">
        <v>1505</v>
      </c>
      <c r="J331" s="37">
        <v>18630047</v>
      </c>
      <c r="K331" s="37" t="s">
        <v>3926</v>
      </c>
      <c r="L331" s="37" t="s">
        <v>3962</v>
      </c>
      <c r="M331" s="39">
        <v>259900</v>
      </c>
      <c r="N331" s="40">
        <f t="shared" si="53"/>
        <v>0.75</v>
      </c>
      <c r="O331" s="42">
        <f t="shared" si="51"/>
        <v>64975</v>
      </c>
      <c r="P331" s="40" t="str">
        <f t="shared" si="54"/>
        <v>PERCENTAGE</v>
      </c>
    </row>
  </sheetData>
  <conditionalFormatting sqref="J1:J295 J332:J1048576">
    <cfRule type="duplicateValues" dxfId="18" priority="3"/>
    <cfRule type="duplicateValues" dxfId="17" priority="4"/>
    <cfRule type="duplicateValues" dxfId="16" priority="5"/>
  </conditionalFormatting>
  <conditionalFormatting sqref="J296:J331">
    <cfRule type="duplicateValues" dxfId="15" priority="1"/>
  </conditionalFormatting>
  <conditionalFormatting sqref="J332:J1048576 J1">
    <cfRule type="duplicateValues" dxfId="14" priority="2"/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D98F-3048-4940-BABA-0E084A3C0338}">
  <dimension ref="A1:P109"/>
  <sheetViews>
    <sheetView zoomScale="85" zoomScaleNormal="85" workbookViewId="0">
      <selection activeCell="L25" sqref="L25"/>
    </sheetView>
  </sheetViews>
  <sheetFormatPr defaultRowHeight="15" x14ac:dyDescent="0.25"/>
  <cols>
    <col min="1" max="1" width="18" bestFit="1" customWidth="1"/>
    <col min="2" max="2" width="10.7109375" bestFit="1" customWidth="1"/>
    <col min="3" max="3" width="10.5703125" bestFit="1" customWidth="1"/>
    <col min="4" max="4" width="5.28515625" bestFit="1" customWidth="1"/>
    <col min="5" max="5" width="7.28515625" bestFit="1" customWidth="1"/>
    <col min="6" max="6" width="8.42578125" bestFit="1" customWidth="1"/>
    <col min="7" max="7" width="6.28515625" bestFit="1" customWidth="1"/>
    <col min="8" max="8" width="8.7109375" bestFit="1" customWidth="1"/>
    <col min="9" max="9" width="11.140625" bestFit="1" customWidth="1"/>
    <col min="10" max="10" width="9.28515625" bestFit="1" customWidth="1"/>
    <col min="11" max="11" width="12.7109375" bestFit="1" customWidth="1"/>
    <col min="12" max="12" width="98.7109375" bestFit="1" customWidth="1"/>
    <col min="13" max="13" width="14.7109375" bestFit="1" customWidth="1"/>
    <col min="14" max="14" width="12.7109375" style="47" customWidth="1"/>
    <col min="15" max="15" width="14" bestFit="1" customWidth="1"/>
    <col min="16" max="16" width="14.28515625" bestFit="1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26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6" t="s">
        <v>4424</v>
      </c>
      <c r="B2" s="7">
        <f>'2019 ALL D95'!B2</f>
        <v>46114</v>
      </c>
      <c r="C2" s="7">
        <f>'2019 ALL D95'!C2</f>
        <v>46120</v>
      </c>
      <c r="D2" s="6">
        <v>3280</v>
      </c>
      <c r="E2" s="6">
        <v>337</v>
      </c>
      <c r="F2" s="6">
        <v>4</v>
      </c>
      <c r="G2" s="34">
        <v>1</v>
      </c>
      <c r="H2" s="34">
        <v>81698</v>
      </c>
      <c r="I2" s="34" t="s">
        <v>1505</v>
      </c>
      <c r="J2" s="34">
        <v>25737366</v>
      </c>
      <c r="K2" s="34" t="s">
        <v>4124</v>
      </c>
      <c r="L2" s="34" t="s">
        <v>4133</v>
      </c>
      <c r="M2" s="33">
        <v>279900</v>
      </c>
      <c r="N2" s="9">
        <v>0.75</v>
      </c>
      <c r="O2" s="42">
        <f>M2-((75*M2)/100)</f>
        <v>69975</v>
      </c>
      <c r="P2" s="24" t="s">
        <v>15</v>
      </c>
    </row>
    <row r="3" spans="1:16" x14ac:dyDescent="0.25">
      <c r="A3" s="6" t="str">
        <f>A2</f>
        <v>2024 JUL-OCT D75</v>
      </c>
      <c r="B3" s="7">
        <f>B2</f>
        <v>46114</v>
      </c>
      <c r="C3" s="7">
        <f>C2</f>
        <v>46120</v>
      </c>
      <c r="D3" s="6">
        <v>3280</v>
      </c>
      <c r="E3" s="6">
        <v>337</v>
      </c>
      <c r="F3" s="6">
        <v>4</v>
      </c>
      <c r="G3" s="34">
        <v>1</v>
      </c>
      <c r="H3" s="15">
        <v>81698</v>
      </c>
      <c r="I3" s="34" t="s">
        <v>1505</v>
      </c>
      <c r="J3" s="34">
        <v>25737375</v>
      </c>
      <c r="K3" s="15" t="s">
        <v>4124</v>
      </c>
      <c r="L3" s="15" t="s">
        <v>4134</v>
      </c>
      <c r="M3" s="33">
        <v>279900</v>
      </c>
      <c r="N3" s="9">
        <f>N2</f>
        <v>0.75</v>
      </c>
      <c r="O3" s="42">
        <f t="shared" ref="O3:O66" si="0">M3-((75*M3)/100)</f>
        <v>69975</v>
      </c>
      <c r="P3" s="6" t="str">
        <f>P2</f>
        <v>PERCENTAGE</v>
      </c>
    </row>
    <row r="4" spans="1:16" x14ac:dyDescent="0.25">
      <c r="A4" s="6" t="str">
        <f t="shared" ref="A4:C67" si="1">A3</f>
        <v>2024 JUL-OCT D75</v>
      </c>
      <c r="B4" s="7">
        <f t="shared" si="1"/>
        <v>46114</v>
      </c>
      <c r="C4" s="7">
        <f t="shared" si="1"/>
        <v>46120</v>
      </c>
      <c r="D4" s="6">
        <v>3280</v>
      </c>
      <c r="E4" s="6">
        <v>337</v>
      </c>
      <c r="F4" s="6">
        <v>4</v>
      </c>
      <c r="G4" s="34">
        <v>1</v>
      </c>
      <c r="H4" s="15">
        <v>81698</v>
      </c>
      <c r="I4" s="34" t="s">
        <v>1505</v>
      </c>
      <c r="J4" s="34">
        <v>25737384</v>
      </c>
      <c r="K4" s="15" t="s">
        <v>4124</v>
      </c>
      <c r="L4" s="15" t="s">
        <v>4135</v>
      </c>
      <c r="M4" s="33">
        <v>279900</v>
      </c>
      <c r="N4" s="9">
        <f t="shared" ref="N4:N67" si="2">N3</f>
        <v>0.75</v>
      </c>
      <c r="O4" s="42">
        <f t="shared" si="0"/>
        <v>69975</v>
      </c>
      <c r="P4" s="6" t="str">
        <f t="shared" ref="P4:P67" si="3">P3</f>
        <v>PERCENTAGE</v>
      </c>
    </row>
    <row r="5" spans="1:16" x14ac:dyDescent="0.25">
      <c r="A5" s="6" t="str">
        <f t="shared" si="1"/>
        <v>2024 JUL-OCT D75</v>
      </c>
      <c r="B5" s="7">
        <f t="shared" si="1"/>
        <v>46114</v>
      </c>
      <c r="C5" s="7">
        <f t="shared" si="1"/>
        <v>46120</v>
      </c>
      <c r="D5" s="6">
        <v>3280</v>
      </c>
      <c r="E5" s="6">
        <v>337</v>
      </c>
      <c r="F5" s="6">
        <v>4</v>
      </c>
      <c r="G5" s="34">
        <v>1</v>
      </c>
      <c r="H5" s="15">
        <v>81698</v>
      </c>
      <c r="I5" s="34" t="s">
        <v>1505</v>
      </c>
      <c r="J5" s="34">
        <v>25737393</v>
      </c>
      <c r="K5" s="15" t="s">
        <v>4124</v>
      </c>
      <c r="L5" s="15" t="s">
        <v>4136</v>
      </c>
      <c r="M5" s="33">
        <v>289900</v>
      </c>
      <c r="N5" s="9">
        <f t="shared" si="2"/>
        <v>0.75</v>
      </c>
      <c r="O5" s="42">
        <f t="shared" si="0"/>
        <v>72475</v>
      </c>
      <c r="P5" s="6" t="str">
        <f t="shared" si="3"/>
        <v>PERCENTAGE</v>
      </c>
    </row>
    <row r="6" spans="1:16" x14ac:dyDescent="0.25">
      <c r="A6" s="6" t="str">
        <f t="shared" si="1"/>
        <v>2024 JUL-OCT D75</v>
      </c>
      <c r="B6" s="7">
        <f t="shared" si="1"/>
        <v>46114</v>
      </c>
      <c r="C6" s="7">
        <f t="shared" si="1"/>
        <v>46120</v>
      </c>
      <c r="D6" s="6">
        <v>3280</v>
      </c>
      <c r="E6" s="6">
        <v>337</v>
      </c>
      <c r="F6" s="6">
        <v>4</v>
      </c>
      <c r="G6" s="34">
        <v>1</v>
      </c>
      <c r="H6" s="15">
        <v>81698</v>
      </c>
      <c r="I6" s="34" t="s">
        <v>1505</v>
      </c>
      <c r="J6" s="34">
        <v>25737400</v>
      </c>
      <c r="K6" s="15" t="s">
        <v>4124</v>
      </c>
      <c r="L6" s="15" t="s">
        <v>4137</v>
      </c>
      <c r="M6" s="33">
        <v>289900</v>
      </c>
      <c r="N6" s="9">
        <f t="shared" si="2"/>
        <v>0.75</v>
      </c>
      <c r="O6" s="42">
        <f t="shared" si="0"/>
        <v>72475</v>
      </c>
      <c r="P6" s="6" t="str">
        <f t="shared" si="3"/>
        <v>PERCENTAGE</v>
      </c>
    </row>
    <row r="7" spans="1:16" x14ac:dyDescent="0.25">
      <c r="A7" s="6" t="str">
        <f t="shared" si="1"/>
        <v>2024 JUL-OCT D75</v>
      </c>
      <c r="B7" s="7">
        <f t="shared" si="1"/>
        <v>46114</v>
      </c>
      <c r="C7" s="7">
        <f t="shared" si="1"/>
        <v>46120</v>
      </c>
      <c r="D7" s="6">
        <v>3280</v>
      </c>
      <c r="E7" s="6">
        <v>337</v>
      </c>
      <c r="F7" s="6">
        <v>4</v>
      </c>
      <c r="G7" s="34">
        <v>1</v>
      </c>
      <c r="H7" s="15">
        <v>81698</v>
      </c>
      <c r="I7" s="34" t="s">
        <v>1505</v>
      </c>
      <c r="J7" s="34">
        <v>25737419</v>
      </c>
      <c r="K7" s="15" t="s">
        <v>4124</v>
      </c>
      <c r="L7" s="15" t="s">
        <v>4138</v>
      </c>
      <c r="M7" s="33">
        <v>289900</v>
      </c>
      <c r="N7" s="9">
        <f t="shared" si="2"/>
        <v>0.75</v>
      </c>
      <c r="O7" s="42">
        <f t="shared" si="0"/>
        <v>72475</v>
      </c>
      <c r="P7" s="6" t="str">
        <f t="shared" si="3"/>
        <v>PERCENTAGE</v>
      </c>
    </row>
    <row r="8" spans="1:16" x14ac:dyDescent="0.25">
      <c r="A8" s="6" t="str">
        <f t="shared" si="1"/>
        <v>2024 JUL-OCT D75</v>
      </c>
      <c r="B8" s="7">
        <f t="shared" si="1"/>
        <v>46114</v>
      </c>
      <c r="C8" s="7">
        <f t="shared" si="1"/>
        <v>46120</v>
      </c>
      <c r="D8" s="6">
        <v>3280</v>
      </c>
      <c r="E8" s="6">
        <v>337</v>
      </c>
      <c r="F8" s="6">
        <v>4</v>
      </c>
      <c r="G8" s="34">
        <v>1</v>
      </c>
      <c r="H8" s="15">
        <v>81698</v>
      </c>
      <c r="I8" s="34" t="s">
        <v>1505</v>
      </c>
      <c r="J8" s="34">
        <v>25737428</v>
      </c>
      <c r="K8" s="15" t="s">
        <v>4125</v>
      </c>
      <c r="L8" s="15" t="s">
        <v>4139</v>
      </c>
      <c r="M8" s="33">
        <v>289900</v>
      </c>
      <c r="N8" s="9">
        <f t="shared" si="2"/>
        <v>0.75</v>
      </c>
      <c r="O8" s="42">
        <f t="shared" si="0"/>
        <v>72475</v>
      </c>
      <c r="P8" s="6" t="str">
        <f t="shared" si="3"/>
        <v>PERCENTAGE</v>
      </c>
    </row>
    <row r="9" spans="1:16" x14ac:dyDescent="0.25">
      <c r="A9" s="6" t="str">
        <f t="shared" si="1"/>
        <v>2024 JUL-OCT D75</v>
      </c>
      <c r="B9" s="7">
        <f t="shared" si="1"/>
        <v>46114</v>
      </c>
      <c r="C9" s="7">
        <f t="shared" si="1"/>
        <v>46120</v>
      </c>
      <c r="D9" s="6">
        <v>3280</v>
      </c>
      <c r="E9" s="6">
        <v>337</v>
      </c>
      <c r="F9" s="6">
        <v>4</v>
      </c>
      <c r="G9" s="34">
        <v>1</v>
      </c>
      <c r="H9" s="15">
        <v>81698</v>
      </c>
      <c r="I9" s="34" t="s">
        <v>1505</v>
      </c>
      <c r="J9" s="34">
        <v>25737437</v>
      </c>
      <c r="K9" s="15" t="s">
        <v>4125</v>
      </c>
      <c r="L9" s="15" t="s">
        <v>4140</v>
      </c>
      <c r="M9" s="33">
        <v>289900</v>
      </c>
      <c r="N9" s="9">
        <f t="shared" si="2"/>
        <v>0.75</v>
      </c>
      <c r="O9" s="42">
        <f t="shared" si="0"/>
        <v>72475</v>
      </c>
      <c r="P9" s="6" t="str">
        <f t="shared" si="3"/>
        <v>PERCENTAGE</v>
      </c>
    </row>
    <row r="10" spans="1:16" x14ac:dyDescent="0.25">
      <c r="A10" s="6" t="str">
        <f t="shared" si="1"/>
        <v>2024 JUL-OCT D75</v>
      </c>
      <c r="B10" s="7">
        <f t="shared" si="1"/>
        <v>46114</v>
      </c>
      <c r="C10" s="7">
        <f t="shared" si="1"/>
        <v>46120</v>
      </c>
      <c r="D10" s="6">
        <v>3280</v>
      </c>
      <c r="E10" s="6">
        <v>337</v>
      </c>
      <c r="F10" s="6">
        <v>4</v>
      </c>
      <c r="G10" s="34">
        <v>1</v>
      </c>
      <c r="H10" s="15">
        <v>81698</v>
      </c>
      <c r="I10" s="34" t="s">
        <v>1505</v>
      </c>
      <c r="J10" s="34">
        <v>25737446</v>
      </c>
      <c r="K10" s="15" t="s">
        <v>4125</v>
      </c>
      <c r="L10" s="15" t="s">
        <v>4141</v>
      </c>
      <c r="M10" s="33">
        <v>289900</v>
      </c>
      <c r="N10" s="9">
        <f t="shared" si="2"/>
        <v>0.75</v>
      </c>
      <c r="O10" s="42">
        <f t="shared" si="0"/>
        <v>72475</v>
      </c>
      <c r="P10" s="6" t="str">
        <f t="shared" si="3"/>
        <v>PERCENTAGE</v>
      </c>
    </row>
    <row r="11" spans="1:16" x14ac:dyDescent="0.25">
      <c r="A11" s="6" t="str">
        <f t="shared" si="1"/>
        <v>2024 JUL-OCT D75</v>
      </c>
      <c r="B11" s="7">
        <f t="shared" si="1"/>
        <v>46114</v>
      </c>
      <c r="C11" s="7">
        <f t="shared" si="1"/>
        <v>46120</v>
      </c>
      <c r="D11" s="6">
        <v>3280</v>
      </c>
      <c r="E11" s="6">
        <v>337</v>
      </c>
      <c r="F11" s="6">
        <v>4</v>
      </c>
      <c r="G11" s="34">
        <v>1</v>
      </c>
      <c r="H11" s="15">
        <v>81698</v>
      </c>
      <c r="I11" s="34" t="s">
        <v>1505</v>
      </c>
      <c r="J11" s="34">
        <v>25737455</v>
      </c>
      <c r="K11" s="15" t="s">
        <v>4125</v>
      </c>
      <c r="L11" s="15" t="s">
        <v>4142</v>
      </c>
      <c r="M11" s="33">
        <v>289900</v>
      </c>
      <c r="N11" s="9">
        <f t="shared" si="2"/>
        <v>0.75</v>
      </c>
      <c r="O11" s="42">
        <f t="shared" si="0"/>
        <v>72475</v>
      </c>
      <c r="P11" s="6" t="str">
        <f t="shared" si="3"/>
        <v>PERCENTAGE</v>
      </c>
    </row>
    <row r="12" spans="1:16" x14ac:dyDescent="0.25">
      <c r="A12" s="6" t="str">
        <f t="shared" si="1"/>
        <v>2024 JUL-OCT D75</v>
      </c>
      <c r="B12" s="7">
        <f t="shared" si="1"/>
        <v>46114</v>
      </c>
      <c r="C12" s="7">
        <f t="shared" si="1"/>
        <v>46120</v>
      </c>
      <c r="D12" s="6">
        <v>3280</v>
      </c>
      <c r="E12" s="6">
        <v>337</v>
      </c>
      <c r="F12" s="6">
        <v>4</v>
      </c>
      <c r="G12" s="34">
        <v>1</v>
      </c>
      <c r="H12" s="15">
        <v>81698</v>
      </c>
      <c r="I12" s="34" t="s">
        <v>1505</v>
      </c>
      <c r="J12" s="34">
        <v>25737464</v>
      </c>
      <c r="K12" s="15" t="s">
        <v>4125</v>
      </c>
      <c r="L12" s="15" t="s">
        <v>4143</v>
      </c>
      <c r="M12" s="33">
        <v>289900</v>
      </c>
      <c r="N12" s="9">
        <f t="shared" si="2"/>
        <v>0.75</v>
      </c>
      <c r="O12" s="42">
        <f t="shared" si="0"/>
        <v>72475</v>
      </c>
      <c r="P12" s="6" t="str">
        <f t="shared" si="3"/>
        <v>PERCENTAGE</v>
      </c>
    </row>
    <row r="13" spans="1:16" x14ac:dyDescent="0.25">
      <c r="A13" s="6" t="str">
        <f t="shared" si="1"/>
        <v>2024 JUL-OCT D75</v>
      </c>
      <c r="B13" s="7">
        <f t="shared" si="1"/>
        <v>46114</v>
      </c>
      <c r="C13" s="7">
        <f t="shared" si="1"/>
        <v>46120</v>
      </c>
      <c r="D13" s="6">
        <v>3280</v>
      </c>
      <c r="E13" s="6">
        <v>337</v>
      </c>
      <c r="F13" s="6">
        <v>4</v>
      </c>
      <c r="G13" s="34">
        <v>1</v>
      </c>
      <c r="H13" s="15">
        <v>81698</v>
      </c>
      <c r="I13" s="34" t="s">
        <v>1505</v>
      </c>
      <c r="J13" s="34">
        <v>25737473</v>
      </c>
      <c r="K13" s="15" t="s">
        <v>4125</v>
      </c>
      <c r="L13" s="15" t="s">
        <v>4144</v>
      </c>
      <c r="M13" s="33">
        <v>289900</v>
      </c>
      <c r="N13" s="9">
        <f t="shared" si="2"/>
        <v>0.75</v>
      </c>
      <c r="O13" s="42">
        <f t="shared" si="0"/>
        <v>72475</v>
      </c>
      <c r="P13" s="6" t="str">
        <f t="shared" si="3"/>
        <v>PERCENTAGE</v>
      </c>
    </row>
    <row r="14" spans="1:16" x14ac:dyDescent="0.25">
      <c r="A14" s="6" t="str">
        <f t="shared" si="1"/>
        <v>2024 JUL-OCT D75</v>
      </c>
      <c r="B14" s="7">
        <f t="shared" si="1"/>
        <v>46114</v>
      </c>
      <c r="C14" s="7">
        <f t="shared" si="1"/>
        <v>46120</v>
      </c>
      <c r="D14" s="6">
        <v>3280</v>
      </c>
      <c r="E14" s="6">
        <v>337</v>
      </c>
      <c r="F14" s="6">
        <v>4</v>
      </c>
      <c r="G14" s="34">
        <v>1</v>
      </c>
      <c r="H14" s="15">
        <v>81698</v>
      </c>
      <c r="I14" s="34" t="s">
        <v>1505</v>
      </c>
      <c r="J14" s="34">
        <v>25737544</v>
      </c>
      <c r="K14" s="15" t="s">
        <v>4126</v>
      </c>
      <c r="L14" s="15" t="s">
        <v>4145</v>
      </c>
      <c r="M14" s="33">
        <v>279900</v>
      </c>
      <c r="N14" s="9">
        <f t="shared" si="2"/>
        <v>0.75</v>
      </c>
      <c r="O14" s="42">
        <f t="shared" si="0"/>
        <v>69975</v>
      </c>
      <c r="P14" s="6" t="str">
        <f t="shared" si="3"/>
        <v>PERCENTAGE</v>
      </c>
    </row>
    <row r="15" spans="1:16" x14ac:dyDescent="0.25">
      <c r="A15" s="6" t="str">
        <f t="shared" si="1"/>
        <v>2024 JUL-OCT D75</v>
      </c>
      <c r="B15" s="7">
        <f t="shared" si="1"/>
        <v>46114</v>
      </c>
      <c r="C15" s="7">
        <f t="shared" si="1"/>
        <v>46120</v>
      </c>
      <c r="D15" s="6">
        <v>3280</v>
      </c>
      <c r="E15" s="6">
        <v>337</v>
      </c>
      <c r="F15" s="6">
        <v>4</v>
      </c>
      <c r="G15" s="34">
        <v>1</v>
      </c>
      <c r="H15" s="15">
        <v>81698</v>
      </c>
      <c r="I15" s="34" t="s">
        <v>1505</v>
      </c>
      <c r="J15" s="34">
        <v>25737553</v>
      </c>
      <c r="K15" s="15" t="s">
        <v>4126</v>
      </c>
      <c r="L15" s="15" t="s">
        <v>4146</v>
      </c>
      <c r="M15" s="33">
        <v>279900</v>
      </c>
      <c r="N15" s="9">
        <f t="shared" si="2"/>
        <v>0.75</v>
      </c>
      <c r="O15" s="42">
        <f t="shared" si="0"/>
        <v>69975</v>
      </c>
      <c r="P15" s="6" t="str">
        <f t="shared" si="3"/>
        <v>PERCENTAGE</v>
      </c>
    </row>
    <row r="16" spans="1:16" x14ac:dyDescent="0.25">
      <c r="A16" s="6" t="str">
        <f t="shared" si="1"/>
        <v>2024 JUL-OCT D75</v>
      </c>
      <c r="B16" s="7">
        <f t="shared" si="1"/>
        <v>46114</v>
      </c>
      <c r="C16" s="7">
        <f t="shared" si="1"/>
        <v>46120</v>
      </c>
      <c r="D16" s="6">
        <v>3280</v>
      </c>
      <c r="E16" s="6">
        <v>337</v>
      </c>
      <c r="F16" s="6">
        <v>4</v>
      </c>
      <c r="G16" s="34">
        <v>1</v>
      </c>
      <c r="H16" s="15">
        <v>81698</v>
      </c>
      <c r="I16" s="34" t="s">
        <v>1505</v>
      </c>
      <c r="J16" s="34">
        <v>25737562</v>
      </c>
      <c r="K16" s="15" t="s">
        <v>4126</v>
      </c>
      <c r="L16" s="15" t="s">
        <v>4147</v>
      </c>
      <c r="M16" s="33">
        <v>279900</v>
      </c>
      <c r="N16" s="9">
        <f t="shared" si="2"/>
        <v>0.75</v>
      </c>
      <c r="O16" s="42">
        <f t="shared" si="0"/>
        <v>69975</v>
      </c>
      <c r="P16" s="6" t="str">
        <f t="shared" si="3"/>
        <v>PERCENTAGE</v>
      </c>
    </row>
    <row r="17" spans="1:16" x14ac:dyDescent="0.25">
      <c r="A17" s="6" t="str">
        <f t="shared" si="1"/>
        <v>2024 JUL-OCT D75</v>
      </c>
      <c r="B17" s="7">
        <f t="shared" si="1"/>
        <v>46114</v>
      </c>
      <c r="C17" s="7">
        <f t="shared" si="1"/>
        <v>46120</v>
      </c>
      <c r="D17" s="6">
        <v>3280</v>
      </c>
      <c r="E17" s="6">
        <v>337</v>
      </c>
      <c r="F17" s="6">
        <v>4</v>
      </c>
      <c r="G17" s="34">
        <v>1</v>
      </c>
      <c r="H17" s="15">
        <v>81698</v>
      </c>
      <c r="I17" s="34" t="s">
        <v>1505</v>
      </c>
      <c r="J17" s="34">
        <v>25737571</v>
      </c>
      <c r="K17" s="15" t="s">
        <v>4126</v>
      </c>
      <c r="L17" s="15" t="s">
        <v>4148</v>
      </c>
      <c r="M17" s="33">
        <v>289900</v>
      </c>
      <c r="N17" s="9">
        <f t="shared" si="2"/>
        <v>0.75</v>
      </c>
      <c r="O17" s="42">
        <f t="shared" si="0"/>
        <v>72475</v>
      </c>
      <c r="P17" s="6" t="str">
        <f t="shared" si="3"/>
        <v>PERCENTAGE</v>
      </c>
    </row>
    <row r="18" spans="1:16" x14ac:dyDescent="0.25">
      <c r="A18" s="6" t="str">
        <f t="shared" si="1"/>
        <v>2024 JUL-OCT D75</v>
      </c>
      <c r="B18" s="7">
        <f t="shared" si="1"/>
        <v>46114</v>
      </c>
      <c r="C18" s="7">
        <f t="shared" si="1"/>
        <v>46120</v>
      </c>
      <c r="D18" s="6">
        <v>3280</v>
      </c>
      <c r="E18" s="6">
        <v>337</v>
      </c>
      <c r="F18" s="6">
        <v>4</v>
      </c>
      <c r="G18" s="34">
        <v>1</v>
      </c>
      <c r="H18" s="15">
        <v>81698</v>
      </c>
      <c r="I18" s="34" t="s">
        <v>1505</v>
      </c>
      <c r="J18" s="34">
        <v>25737580</v>
      </c>
      <c r="K18" s="15" t="s">
        <v>4126</v>
      </c>
      <c r="L18" s="15" t="s">
        <v>4149</v>
      </c>
      <c r="M18" s="33">
        <v>289900</v>
      </c>
      <c r="N18" s="9">
        <f t="shared" si="2"/>
        <v>0.75</v>
      </c>
      <c r="O18" s="42">
        <f t="shared" si="0"/>
        <v>72475</v>
      </c>
      <c r="P18" s="6" t="str">
        <f t="shared" si="3"/>
        <v>PERCENTAGE</v>
      </c>
    </row>
    <row r="19" spans="1:16" x14ac:dyDescent="0.25">
      <c r="A19" s="6" t="str">
        <f t="shared" si="1"/>
        <v>2024 JUL-OCT D75</v>
      </c>
      <c r="B19" s="7">
        <f t="shared" si="1"/>
        <v>46114</v>
      </c>
      <c r="C19" s="7">
        <f t="shared" si="1"/>
        <v>46120</v>
      </c>
      <c r="D19" s="6">
        <v>3280</v>
      </c>
      <c r="E19" s="6">
        <v>337</v>
      </c>
      <c r="F19" s="6">
        <v>4</v>
      </c>
      <c r="G19" s="34">
        <v>1</v>
      </c>
      <c r="H19" s="15">
        <v>81698</v>
      </c>
      <c r="I19" s="34" t="s">
        <v>1505</v>
      </c>
      <c r="J19" s="34">
        <v>25737599</v>
      </c>
      <c r="K19" s="15" t="s">
        <v>4126</v>
      </c>
      <c r="L19" s="15" t="s">
        <v>4150</v>
      </c>
      <c r="M19" s="33">
        <v>289900</v>
      </c>
      <c r="N19" s="9">
        <f t="shared" si="2"/>
        <v>0.75</v>
      </c>
      <c r="O19" s="42">
        <f t="shared" si="0"/>
        <v>72475</v>
      </c>
      <c r="P19" s="6" t="str">
        <f t="shared" si="3"/>
        <v>PERCENTAGE</v>
      </c>
    </row>
    <row r="20" spans="1:16" x14ac:dyDescent="0.25">
      <c r="A20" s="6" t="str">
        <f t="shared" si="1"/>
        <v>2024 JUL-OCT D75</v>
      </c>
      <c r="B20" s="7">
        <f t="shared" si="1"/>
        <v>46114</v>
      </c>
      <c r="C20" s="7">
        <f t="shared" si="1"/>
        <v>46120</v>
      </c>
      <c r="D20" s="6">
        <v>3280</v>
      </c>
      <c r="E20" s="6">
        <v>337</v>
      </c>
      <c r="F20" s="6">
        <v>4</v>
      </c>
      <c r="G20" s="34">
        <v>1</v>
      </c>
      <c r="H20" s="15">
        <v>81698</v>
      </c>
      <c r="I20" s="34" t="s">
        <v>1505</v>
      </c>
      <c r="J20" s="34">
        <v>25737606</v>
      </c>
      <c r="K20" s="15" t="s">
        <v>4127</v>
      </c>
      <c r="L20" s="15" t="s">
        <v>4151</v>
      </c>
      <c r="M20" s="33">
        <v>279900</v>
      </c>
      <c r="N20" s="9">
        <f t="shared" si="2"/>
        <v>0.75</v>
      </c>
      <c r="O20" s="42">
        <f t="shared" si="0"/>
        <v>69975</v>
      </c>
      <c r="P20" s="6" t="str">
        <f t="shared" si="3"/>
        <v>PERCENTAGE</v>
      </c>
    </row>
    <row r="21" spans="1:16" x14ac:dyDescent="0.25">
      <c r="A21" s="6" t="str">
        <f t="shared" si="1"/>
        <v>2024 JUL-OCT D75</v>
      </c>
      <c r="B21" s="7">
        <f t="shared" si="1"/>
        <v>46114</v>
      </c>
      <c r="C21" s="7">
        <f t="shared" si="1"/>
        <v>46120</v>
      </c>
      <c r="D21" s="6">
        <v>3280</v>
      </c>
      <c r="E21" s="6">
        <v>337</v>
      </c>
      <c r="F21" s="6">
        <v>4</v>
      </c>
      <c r="G21" s="34">
        <v>1</v>
      </c>
      <c r="H21" s="15">
        <v>81698</v>
      </c>
      <c r="I21" s="34" t="s">
        <v>1505</v>
      </c>
      <c r="J21" s="34">
        <v>25737615</v>
      </c>
      <c r="K21" s="15" t="s">
        <v>4127</v>
      </c>
      <c r="L21" s="15" t="s">
        <v>4152</v>
      </c>
      <c r="M21" s="33">
        <v>279900</v>
      </c>
      <c r="N21" s="9">
        <f t="shared" si="2"/>
        <v>0.75</v>
      </c>
      <c r="O21" s="42">
        <f t="shared" si="0"/>
        <v>69975</v>
      </c>
      <c r="P21" s="6" t="str">
        <f t="shared" si="3"/>
        <v>PERCENTAGE</v>
      </c>
    </row>
    <row r="22" spans="1:16" x14ac:dyDescent="0.25">
      <c r="A22" s="6" t="str">
        <f t="shared" si="1"/>
        <v>2024 JUL-OCT D75</v>
      </c>
      <c r="B22" s="7">
        <f t="shared" si="1"/>
        <v>46114</v>
      </c>
      <c r="C22" s="7">
        <f t="shared" si="1"/>
        <v>46120</v>
      </c>
      <c r="D22" s="6">
        <v>3280</v>
      </c>
      <c r="E22" s="6">
        <v>337</v>
      </c>
      <c r="F22" s="6">
        <v>4</v>
      </c>
      <c r="G22" s="34">
        <v>1</v>
      </c>
      <c r="H22" s="15">
        <v>81698</v>
      </c>
      <c r="I22" s="34" t="s">
        <v>1505</v>
      </c>
      <c r="J22" s="34">
        <v>25737624</v>
      </c>
      <c r="K22" s="15" t="s">
        <v>4127</v>
      </c>
      <c r="L22" s="15" t="s">
        <v>4153</v>
      </c>
      <c r="M22" s="33">
        <v>279900</v>
      </c>
      <c r="N22" s="9">
        <f t="shared" si="2"/>
        <v>0.75</v>
      </c>
      <c r="O22" s="42">
        <f t="shared" si="0"/>
        <v>69975</v>
      </c>
      <c r="P22" s="6" t="str">
        <f t="shared" si="3"/>
        <v>PERCENTAGE</v>
      </c>
    </row>
    <row r="23" spans="1:16" x14ac:dyDescent="0.25">
      <c r="A23" s="6" t="str">
        <f t="shared" si="1"/>
        <v>2024 JUL-OCT D75</v>
      </c>
      <c r="B23" s="7">
        <f t="shared" si="1"/>
        <v>46114</v>
      </c>
      <c r="C23" s="7">
        <f t="shared" si="1"/>
        <v>46120</v>
      </c>
      <c r="D23" s="6">
        <v>3280</v>
      </c>
      <c r="E23" s="6">
        <v>337</v>
      </c>
      <c r="F23" s="6">
        <v>4</v>
      </c>
      <c r="G23" s="34">
        <v>1</v>
      </c>
      <c r="H23" s="15">
        <v>81698</v>
      </c>
      <c r="I23" s="34" t="s">
        <v>1505</v>
      </c>
      <c r="J23" s="34">
        <v>25737633</v>
      </c>
      <c r="K23" s="15" t="s">
        <v>4127</v>
      </c>
      <c r="L23" s="15" t="s">
        <v>4154</v>
      </c>
      <c r="M23" s="33">
        <v>289900</v>
      </c>
      <c r="N23" s="9">
        <f t="shared" si="2"/>
        <v>0.75</v>
      </c>
      <c r="O23" s="42">
        <f t="shared" si="0"/>
        <v>72475</v>
      </c>
      <c r="P23" s="6" t="str">
        <f t="shared" si="3"/>
        <v>PERCENTAGE</v>
      </c>
    </row>
    <row r="24" spans="1:16" x14ac:dyDescent="0.25">
      <c r="A24" s="6" t="str">
        <f t="shared" si="1"/>
        <v>2024 JUL-OCT D75</v>
      </c>
      <c r="B24" s="7">
        <f t="shared" si="1"/>
        <v>46114</v>
      </c>
      <c r="C24" s="7">
        <f t="shared" si="1"/>
        <v>46120</v>
      </c>
      <c r="D24" s="6">
        <v>3280</v>
      </c>
      <c r="E24" s="6">
        <v>337</v>
      </c>
      <c r="F24" s="6">
        <v>4</v>
      </c>
      <c r="G24" s="34">
        <v>1</v>
      </c>
      <c r="H24" s="15">
        <v>81698</v>
      </c>
      <c r="I24" s="34" t="s">
        <v>1505</v>
      </c>
      <c r="J24" s="34">
        <v>25737642</v>
      </c>
      <c r="K24" s="15" t="s">
        <v>4127</v>
      </c>
      <c r="L24" s="15" t="s">
        <v>4155</v>
      </c>
      <c r="M24" s="33">
        <v>289900</v>
      </c>
      <c r="N24" s="9">
        <f t="shared" si="2"/>
        <v>0.75</v>
      </c>
      <c r="O24" s="42">
        <f t="shared" si="0"/>
        <v>72475</v>
      </c>
      <c r="P24" s="6" t="str">
        <f t="shared" si="3"/>
        <v>PERCENTAGE</v>
      </c>
    </row>
    <row r="25" spans="1:16" x14ac:dyDescent="0.25">
      <c r="A25" s="6" t="str">
        <f t="shared" si="1"/>
        <v>2024 JUL-OCT D75</v>
      </c>
      <c r="B25" s="7">
        <f t="shared" si="1"/>
        <v>46114</v>
      </c>
      <c r="C25" s="7">
        <f t="shared" si="1"/>
        <v>46120</v>
      </c>
      <c r="D25" s="6">
        <v>3280</v>
      </c>
      <c r="E25" s="6">
        <v>337</v>
      </c>
      <c r="F25" s="6">
        <v>4</v>
      </c>
      <c r="G25" s="34">
        <v>1</v>
      </c>
      <c r="H25" s="15">
        <v>81698</v>
      </c>
      <c r="I25" s="34" t="s">
        <v>1505</v>
      </c>
      <c r="J25" s="34">
        <v>25737651</v>
      </c>
      <c r="K25" s="15" t="s">
        <v>4127</v>
      </c>
      <c r="L25" s="15" t="s">
        <v>4156</v>
      </c>
      <c r="M25" s="33">
        <v>289900</v>
      </c>
      <c r="N25" s="9">
        <f t="shared" si="2"/>
        <v>0.75</v>
      </c>
      <c r="O25" s="42">
        <f t="shared" si="0"/>
        <v>72475</v>
      </c>
      <c r="P25" s="6" t="str">
        <f t="shared" si="3"/>
        <v>PERCENTAGE</v>
      </c>
    </row>
    <row r="26" spans="1:16" x14ac:dyDescent="0.25">
      <c r="A26" s="6" t="str">
        <f t="shared" si="1"/>
        <v>2024 JUL-OCT D75</v>
      </c>
      <c r="B26" s="7">
        <f t="shared" si="1"/>
        <v>46114</v>
      </c>
      <c r="C26" s="7">
        <f t="shared" si="1"/>
        <v>46120</v>
      </c>
      <c r="D26" s="6">
        <v>3280</v>
      </c>
      <c r="E26" s="6">
        <v>337</v>
      </c>
      <c r="F26" s="6">
        <v>4</v>
      </c>
      <c r="G26" s="34">
        <v>1</v>
      </c>
      <c r="H26" s="15">
        <v>81698</v>
      </c>
      <c r="I26" s="34" t="s">
        <v>1505</v>
      </c>
      <c r="J26" s="34">
        <v>13846430</v>
      </c>
      <c r="K26" s="15" t="s">
        <v>4128</v>
      </c>
      <c r="L26" s="15" t="s">
        <v>4157</v>
      </c>
      <c r="M26" s="33">
        <v>269900</v>
      </c>
      <c r="N26" s="9">
        <f t="shared" si="2"/>
        <v>0.75</v>
      </c>
      <c r="O26" s="42">
        <f t="shared" si="0"/>
        <v>67475</v>
      </c>
      <c r="P26" s="6" t="str">
        <f t="shared" si="3"/>
        <v>PERCENTAGE</v>
      </c>
    </row>
    <row r="27" spans="1:16" x14ac:dyDescent="0.25">
      <c r="A27" s="6" t="str">
        <f t="shared" si="1"/>
        <v>2024 JUL-OCT D75</v>
      </c>
      <c r="B27" s="7">
        <f t="shared" si="1"/>
        <v>46114</v>
      </c>
      <c r="C27" s="7">
        <f t="shared" si="1"/>
        <v>46120</v>
      </c>
      <c r="D27" s="6">
        <v>3280</v>
      </c>
      <c r="E27" s="6">
        <v>337</v>
      </c>
      <c r="F27" s="6">
        <v>4</v>
      </c>
      <c r="G27" s="34">
        <v>1</v>
      </c>
      <c r="H27" s="15">
        <v>81698</v>
      </c>
      <c r="I27" s="34" t="s">
        <v>1505</v>
      </c>
      <c r="J27" s="34">
        <v>13846449</v>
      </c>
      <c r="K27" s="15" t="s">
        <v>4128</v>
      </c>
      <c r="L27" s="15" t="s">
        <v>4158</v>
      </c>
      <c r="M27" s="33">
        <v>269900</v>
      </c>
      <c r="N27" s="9">
        <f t="shared" si="2"/>
        <v>0.75</v>
      </c>
      <c r="O27" s="42">
        <f t="shared" si="0"/>
        <v>67475</v>
      </c>
      <c r="P27" s="6" t="str">
        <f t="shared" si="3"/>
        <v>PERCENTAGE</v>
      </c>
    </row>
    <row r="28" spans="1:16" x14ac:dyDescent="0.25">
      <c r="A28" s="6" t="str">
        <f t="shared" si="1"/>
        <v>2024 JUL-OCT D75</v>
      </c>
      <c r="B28" s="7">
        <f t="shared" si="1"/>
        <v>46114</v>
      </c>
      <c r="C28" s="7">
        <f t="shared" si="1"/>
        <v>46120</v>
      </c>
      <c r="D28" s="6">
        <v>3280</v>
      </c>
      <c r="E28" s="6">
        <v>337</v>
      </c>
      <c r="F28" s="6">
        <v>4</v>
      </c>
      <c r="G28" s="34">
        <v>1</v>
      </c>
      <c r="H28" s="15">
        <v>81698</v>
      </c>
      <c r="I28" s="34" t="s">
        <v>1505</v>
      </c>
      <c r="J28" s="34">
        <v>13846458</v>
      </c>
      <c r="K28" s="15" t="s">
        <v>4128</v>
      </c>
      <c r="L28" s="15" t="s">
        <v>4159</v>
      </c>
      <c r="M28" s="33">
        <v>269900</v>
      </c>
      <c r="N28" s="9">
        <f t="shared" si="2"/>
        <v>0.75</v>
      </c>
      <c r="O28" s="42">
        <f t="shared" si="0"/>
        <v>67475</v>
      </c>
      <c r="P28" s="6" t="str">
        <f t="shared" si="3"/>
        <v>PERCENTAGE</v>
      </c>
    </row>
    <row r="29" spans="1:16" x14ac:dyDescent="0.25">
      <c r="A29" s="6" t="str">
        <f t="shared" si="1"/>
        <v>2024 JUL-OCT D75</v>
      </c>
      <c r="B29" s="7">
        <f t="shared" si="1"/>
        <v>46114</v>
      </c>
      <c r="C29" s="7">
        <f t="shared" si="1"/>
        <v>46120</v>
      </c>
      <c r="D29" s="6">
        <v>3280</v>
      </c>
      <c r="E29" s="6">
        <v>337</v>
      </c>
      <c r="F29" s="6">
        <v>4</v>
      </c>
      <c r="G29" s="34">
        <v>1</v>
      </c>
      <c r="H29" s="15">
        <v>81698</v>
      </c>
      <c r="I29" s="34" t="s">
        <v>1505</v>
      </c>
      <c r="J29" s="34">
        <v>13846467</v>
      </c>
      <c r="K29" s="15" t="s">
        <v>4128</v>
      </c>
      <c r="L29" s="15" t="s">
        <v>4160</v>
      </c>
      <c r="M29" s="33">
        <v>279900</v>
      </c>
      <c r="N29" s="9">
        <f t="shared" si="2"/>
        <v>0.75</v>
      </c>
      <c r="O29" s="42">
        <f t="shared" si="0"/>
        <v>69975</v>
      </c>
      <c r="P29" s="6" t="str">
        <f t="shared" si="3"/>
        <v>PERCENTAGE</v>
      </c>
    </row>
    <row r="30" spans="1:16" x14ac:dyDescent="0.25">
      <c r="A30" s="6" t="str">
        <f t="shared" si="1"/>
        <v>2024 JUL-OCT D75</v>
      </c>
      <c r="B30" s="7">
        <f t="shared" si="1"/>
        <v>46114</v>
      </c>
      <c r="C30" s="7">
        <f t="shared" si="1"/>
        <v>46120</v>
      </c>
      <c r="D30" s="6">
        <v>3280</v>
      </c>
      <c r="E30" s="6">
        <v>337</v>
      </c>
      <c r="F30" s="6">
        <v>4</v>
      </c>
      <c r="G30" s="34">
        <v>1</v>
      </c>
      <c r="H30" s="15">
        <v>81698</v>
      </c>
      <c r="I30" s="34" t="s">
        <v>1505</v>
      </c>
      <c r="J30" s="34">
        <v>13846476</v>
      </c>
      <c r="K30" s="15" t="s">
        <v>4128</v>
      </c>
      <c r="L30" s="15" t="s">
        <v>4161</v>
      </c>
      <c r="M30" s="33">
        <v>279900</v>
      </c>
      <c r="N30" s="9">
        <f t="shared" si="2"/>
        <v>0.75</v>
      </c>
      <c r="O30" s="42">
        <f t="shared" si="0"/>
        <v>69975</v>
      </c>
      <c r="P30" s="6" t="str">
        <f t="shared" si="3"/>
        <v>PERCENTAGE</v>
      </c>
    </row>
    <row r="31" spans="1:16" x14ac:dyDescent="0.25">
      <c r="A31" s="6" t="str">
        <f t="shared" si="1"/>
        <v>2024 JUL-OCT D75</v>
      </c>
      <c r="B31" s="7">
        <f t="shared" si="1"/>
        <v>46114</v>
      </c>
      <c r="C31" s="7">
        <f t="shared" si="1"/>
        <v>46120</v>
      </c>
      <c r="D31" s="6">
        <v>3280</v>
      </c>
      <c r="E31" s="6">
        <v>337</v>
      </c>
      <c r="F31" s="6">
        <v>4</v>
      </c>
      <c r="G31" s="34">
        <v>1</v>
      </c>
      <c r="H31" s="15">
        <v>81698</v>
      </c>
      <c r="I31" s="34" t="s">
        <v>1505</v>
      </c>
      <c r="J31" s="34">
        <v>13846485</v>
      </c>
      <c r="K31" s="15" t="s">
        <v>4128</v>
      </c>
      <c r="L31" s="15" t="s">
        <v>4162</v>
      </c>
      <c r="M31" s="33">
        <v>279900</v>
      </c>
      <c r="N31" s="9">
        <f t="shared" si="2"/>
        <v>0.75</v>
      </c>
      <c r="O31" s="42">
        <f t="shared" si="0"/>
        <v>69975</v>
      </c>
      <c r="P31" s="6" t="str">
        <f t="shared" si="3"/>
        <v>PERCENTAGE</v>
      </c>
    </row>
    <row r="32" spans="1:16" x14ac:dyDescent="0.25">
      <c r="A32" s="6" t="str">
        <f t="shared" si="1"/>
        <v>2024 JUL-OCT D75</v>
      </c>
      <c r="B32" s="7">
        <f t="shared" si="1"/>
        <v>46114</v>
      </c>
      <c r="C32" s="7">
        <f t="shared" si="1"/>
        <v>46120</v>
      </c>
      <c r="D32" s="6">
        <v>3280</v>
      </c>
      <c r="E32" s="6">
        <v>337</v>
      </c>
      <c r="F32" s="6">
        <v>4</v>
      </c>
      <c r="G32" s="34">
        <v>1</v>
      </c>
      <c r="H32" s="15">
        <v>81698</v>
      </c>
      <c r="I32" s="34" t="s">
        <v>1505</v>
      </c>
      <c r="J32" s="34">
        <v>25737482</v>
      </c>
      <c r="K32" s="15" t="s">
        <v>4129</v>
      </c>
      <c r="L32" s="15" t="s">
        <v>4163</v>
      </c>
      <c r="M32" s="33">
        <v>289900</v>
      </c>
      <c r="N32" s="9">
        <f t="shared" si="2"/>
        <v>0.75</v>
      </c>
      <c r="O32" s="42">
        <f t="shared" si="0"/>
        <v>72475</v>
      </c>
      <c r="P32" s="6" t="str">
        <f t="shared" si="3"/>
        <v>PERCENTAGE</v>
      </c>
    </row>
    <row r="33" spans="1:16" x14ac:dyDescent="0.25">
      <c r="A33" s="6" t="str">
        <f t="shared" si="1"/>
        <v>2024 JUL-OCT D75</v>
      </c>
      <c r="B33" s="7">
        <f t="shared" si="1"/>
        <v>46114</v>
      </c>
      <c r="C33" s="7">
        <f t="shared" si="1"/>
        <v>46120</v>
      </c>
      <c r="D33" s="6">
        <v>3280</v>
      </c>
      <c r="E33" s="6">
        <v>337</v>
      </c>
      <c r="F33" s="6">
        <v>4</v>
      </c>
      <c r="G33" s="34">
        <v>1</v>
      </c>
      <c r="H33" s="15">
        <v>81698</v>
      </c>
      <c r="I33" s="34" t="s">
        <v>1505</v>
      </c>
      <c r="J33" s="34">
        <v>25737491</v>
      </c>
      <c r="K33" s="15" t="s">
        <v>4129</v>
      </c>
      <c r="L33" s="15" t="s">
        <v>4164</v>
      </c>
      <c r="M33" s="33">
        <v>289900</v>
      </c>
      <c r="N33" s="9">
        <f t="shared" si="2"/>
        <v>0.75</v>
      </c>
      <c r="O33" s="42">
        <f t="shared" si="0"/>
        <v>72475</v>
      </c>
      <c r="P33" s="6" t="str">
        <f t="shared" si="3"/>
        <v>PERCENTAGE</v>
      </c>
    </row>
    <row r="34" spans="1:16" x14ac:dyDescent="0.25">
      <c r="A34" s="6" t="str">
        <f t="shared" si="1"/>
        <v>2024 JUL-OCT D75</v>
      </c>
      <c r="B34" s="7">
        <f t="shared" si="1"/>
        <v>46114</v>
      </c>
      <c r="C34" s="7">
        <f t="shared" si="1"/>
        <v>46120</v>
      </c>
      <c r="D34" s="6">
        <v>3280</v>
      </c>
      <c r="E34" s="6">
        <v>337</v>
      </c>
      <c r="F34" s="6">
        <v>4</v>
      </c>
      <c r="G34" s="34">
        <v>1</v>
      </c>
      <c r="H34" s="15">
        <v>81698</v>
      </c>
      <c r="I34" s="34" t="s">
        <v>1505</v>
      </c>
      <c r="J34" s="34">
        <v>25737508</v>
      </c>
      <c r="K34" s="15" t="s">
        <v>4129</v>
      </c>
      <c r="L34" s="15" t="s">
        <v>4165</v>
      </c>
      <c r="M34" s="33">
        <v>289900</v>
      </c>
      <c r="N34" s="9">
        <f t="shared" si="2"/>
        <v>0.75</v>
      </c>
      <c r="O34" s="42">
        <f t="shared" si="0"/>
        <v>72475</v>
      </c>
      <c r="P34" s="6" t="str">
        <f t="shared" si="3"/>
        <v>PERCENTAGE</v>
      </c>
    </row>
    <row r="35" spans="1:16" x14ac:dyDescent="0.25">
      <c r="A35" s="6" t="str">
        <f t="shared" si="1"/>
        <v>2024 JUL-OCT D75</v>
      </c>
      <c r="B35" s="7">
        <f t="shared" si="1"/>
        <v>46114</v>
      </c>
      <c r="C35" s="7">
        <f t="shared" si="1"/>
        <v>46120</v>
      </c>
      <c r="D35" s="6">
        <v>3280</v>
      </c>
      <c r="E35" s="6">
        <v>337</v>
      </c>
      <c r="F35" s="6">
        <v>4</v>
      </c>
      <c r="G35" s="34">
        <v>1</v>
      </c>
      <c r="H35" s="15">
        <v>81698</v>
      </c>
      <c r="I35" s="34" t="s">
        <v>1505</v>
      </c>
      <c r="J35" s="34">
        <v>25737517</v>
      </c>
      <c r="K35" s="15" t="s">
        <v>4129</v>
      </c>
      <c r="L35" s="15" t="s">
        <v>4166</v>
      </c>
      <c r="M35" s="33">
        <v>289900</v>
      </c>
      <c r="N35" s="9">
        <f t="shared" si="2"/>
        <v>0.75</v>
      </c>
      <c r="O35" s="42">
        <f t="shared" si="0"/>
        <v>72475</v>
      </c>
      <c r="P35" s="6" t="str">
        <f t="shared" si="3"/>
        <v>PERCENTAGE</v>
      </c>
    </row>
    <row r="36" spans="1:16" x14ac:dyDescent="0.25">
      <c r="A36" s="6" t="str">
        <f t="shared" si="1"/>
        <v>2024 JUL-OCT D75</v>
      </c>
      <c r="B36" s="7">
        <f t="shared" si="1"/>
        <v>46114</v>
      </c>
      <c r="C36" s="7">
        <f t="shared" si="1"/>
        <v>46120</v>
      </c>
      <c r="D36" s="6">
        <v>3280</v>
      </c>
      <c r="E36" s="6">
        <v>337</v>
      </c>
      <c r="F36" s="6">
        <v>4</v>
      </c>
      <c r="G36" s="34">
        <v>1</v>
      </c>
      <c r="H36" s="15">
        <v>81698</v>
      </c>
      <c r="I36" s="34" t="s">
        <v>1505</v>
      </c>
      <c r="J36" s="34">
        <v>25737526</v>
      </c>
      <c r="K36" s="15" t="s">
        <v>4129</v>
      </c>
      <c r="L36" s="15" t="s">
        <v>4167</v>
      </c>
      <c r="M36" s="33">
        <v>289900</v>
      </c>
      <c r="N36" s="9">
        <f t="shared" si="2"/>
        <v>0.75</v>
      </c>
      <c r="O36" s="42">
        <f t="shared" si="0"/>
        <v>72475</v>
      </c>
      <c r="P36" s="6" t="str">
        <f t="shared" si="3"/>
        <v>PERCENTAGE</v>
      </c>
    </row>
    <row r="37" spans="1:16" x14ac:dyDescent="0.25">
      <c r="A37" s="6" t="str">
        <f t="shared" si="1"/>
        <v>2024 JUL-OCT D75</v>
      </c>
      <c r="B37" s="7">
        <f t="shared" si="1"/>
        <v>46114</v>
      </c>
      <c r="C37" s="7">
        <f t="shared" si="1"/>
        <v>46120</v>
      </c>
      <c r="D37" s="6">
        <v>3280</v>
      </c>
      <c r="E37" s="6">
        <v>337</v>
      </c>
      <c r="F37" s="6">
        <v>4</v>
      </c>
      <c r="G37" s="34">
        <v>1</v>
      </c>
      <c r="H37" s="15">
        <v>81698</v>
      </c>
      <c r="I37" s="34" t="s">
        <v>1505</v>
      </c>
      <c r="J37" s="34">
        <v>25737535</v>
      </c>
      <c r="K37" s="15" t="s">
        <v>4129</v>
      </c>
      <c r="L37" s="15" t="s">
        <v>4168</v>
      </c>
      <c r="M37" s="33">
        <v>289900</v>
      </c>
      <c r="N37" s="9">
        <f t="shared" si="2"/>
        <v>0.75</v>
      </c>
      <c r="O37" s="42">
        <f t="shared" si="0"/>
        <v>72475</v>
      </c>
      <c r="P37" s="6" t="str">
        <f t="shared" si="3"/>
        <v>PERCENTAGE</v>
      </c>
    </row>
    <row r="38" spans="1:16" x14ac:dyDescent="0.25">
      <c r="A38" s="6" t="str">
        <f t="shared" si="1"/>
        <v>2024 JUL-OCT D75</v>
      </c>
      <c r="B38" s="7">
        <f t="shared" si="1"/>
        <v>46114</v>
      </c>
      <c r="C38" s="7">
        <f t="shared" si="1"/>
        <v>46120</v>
      </c>
      <c r="D38" s="6">
        <v>3280</v>
      </c>
      <c r="E38" s="6">
        <v>337</v>
      </c>
      <c r="F38" s="6">
        <v>4</v>
      </c>
      <c r="G38" s="34">
        <v>1</v>
      </c>
      <c r="H38" s="15">
        <v>81698</v>
      </c>
      <c r="I38" s="34" t="s">
        <v>1505</v>
      </c>
      <c r="J38" s="34">
        <v>25737660</v>
      </c>
      <c r="K38" s="15" t="s">
        <v>4130</v>
      </c>
      <c r="L38" s="15" t="s">
        <v>4169</v>
      </c>
      <c r="M38" s="33">
        <v>279900</v>
      </c>
      <c r="N38" s="9">
        <f t="shared" si="2"/>
        <v>0.75</v>
      </c>
      <c r="O38" s="42">
        <f t="shared" si="0"/>
        <v>69975</v>
      </c>
      <c r="P38" s="6" t="str">
        <f t="shared" si="3"/>
        <v>PERCENTAGE</v>
      </c>
    </row>
    <row r="39" spans="1:16" x14ac:dyDescent="0.25">
      <c r="A39" s="6" t="str">
        <f t="shared" si="1"/>
        <v>2024 JUL-OCT D75</v>
      </c>
      <c r="B39" s="7">
        <f t="shared" si="1"/>
        <v>46114</v>
      </c>
      <c r="C39" s="7">
        <f t="shared" si="1"/>
        <v>46120</v>
      </c>
      <c r="D39" s="6">
        <v>3280</v>
      </c>
      <c r="E39" s="6">
        <v>337</v>
      </c>
      <c r="F39" s="6">
        <v>4</v>
      </c>
      <c r="G39" s="34">
        <v>1</v>
      </c>
      <c r="H39" s="15">
        <v>81698</v>
      </c>
      <c r="I39" s="34" t="s">
        <v>1505</v>
      </c>
      <c r="J39" s="34">
        <v>25737679</v>
      </c>
      <c r="K39" s="15" t="s">
        <v>4130</v>
      </c>
      <c r="L39" s="15" t="s">
        <v>4170</v>
      </c>
      <c r="M39" s="33">
        <v>279900</v>
      </c>
      <c r="N39" s="9">
        <f t="shared" si="2"/>
        <v>0.75</v>
      </c>
      <c r="O39" s="42">
        <f t="shared" si="0"/>
        <v>69975</v>
      </c>
      <c r="P39" s="6" t="str">
        <f t="shared" si="3"/>
        <v>PERCENTAGE</v>
      </c>
    </row>
    <row r="40" spans="1:16" x14ac:dyDescent="0.25">
      <c r="A40" s="6" t="str">
        <f t="shared" si="1"/>
        <v>2024 JUL-OCT D75</v>
      </c>
      <c r="B40" s="7">
        <f t="shared" si="1"/>
        <v>46114</v>
      </c>
      <c r="C40" s="7">
        <f t="shared" si="1"/>
        <v>46120</v>
      </c>
      <c r="D40" s="6">
        <v>3280</v>
      </c>
      <c r="E40" s="6">
        <v>337</v>
      </c>
      <c r="F40" s="6">
        <v>4</v>
      </c>
      <c r="G40" s="34">
        <v>1</v>
      </c>
      <c r="H40" s="15">
        <v>81698</v>
      </c>
      <c r="I40" s="34" t="s">
        <v>1505</v>
      </c>
      <c r="J40" s="34">
        <v>25737688</v>
      </c>
      <c r="K40" s="15" t="s">
        <v>4130</v>
      </c>
      <c r="L40" s="15" t="s">
        <v>4171</v>
      </c>
      <c r="M40" s="33">
        <v>279900</v>
      </c>
      <c r="N40" s="9">
        <f t="shared" si="2"/>
        <v>0.75</v>
      </c>
      <c r="O40" s="42">
        <f t="shared" si="0"/>
        <v>69975</v>
      </c>
      <c r="P40" s="6" t="str">
        <f t="shared" si="3"/>
        <v>PERCENTAGE</v>
      </c>
    </row>
    <row r="41" spans="1:16" x14ac:dyDescent="0.25">
      <c r="A41" s="6" t="str">
        <f t="shared" si="1"/>
        <v>2024 JUL-OCT D75</v>
      </c>
      <c r="B41" s="7">
        <f t="shared" si="1"/>
        <v>46114</v>
      </c>
      <c r="C41" s="7">
        <f t="shared" si="1"/>
        <v>46120</v>
      </c>
      <c r="D41" s="6">
        <v>3280</v>
      </c>
      <c r="E41" s="6">
        <v>337</v>
      </c>
      <c r="F41" s="6">
        <v>4</v>
      </c>
      <c r="G41" s="34">
        <v>1</v>
      </c>
      <c r="H41" s="15">
        <v>81698</v>
      </c>
      <c r="I41" s="34" t="s">
        <v>1505</v>
      </c>
      <c r="J41" s="34">
        <v>25737697</v>
      </c>
      <c r="K41" s="15" t="s">
        <v>4130</v>
      </c>
      <c r="L41" s="15" t="s">
        <v>4172</v>
      </c>
      <c r="M41" s="33">
        <v>289900</v>
      </c>
      <c r="N41" s="9">
        <f t="shared" si="2"/>
        <v>0.75</v>
      </c>
      <c r="O41" s="42">
        <f t="shared" si="0"/>
        <v>72475</v>
      </c>
      <c r="P41" s="6" t="str">
        <f t="shared" si="3"/>
        <v>PERCENTAGE</v>
      </c>
    </row>
    <row r="42" spans="1:16" x14ac:dyDescent="0.25">
      <c r="A42" s="6" t="str">
        <f t="shared" si="1"/>
        <v>2024 JUL-OCT D75</v>
      </c>
      <c r="B42" s="7">
        <f t="shared" si="1"/>
        <v>46114</v>
      </c>
      <c r="C42" s="7">
        <f t="shared" si="1"/>
        <v>46120</v>
      </c>
      <c r="D42" s="6">
        <v>3280</v>
      </c>
      <c r="E42" s="6">
        <v>337</v>
      </c>
      <c r="F42" s="6">
        <v>4</v>
      </c>
      <c r="G42" s="34">
        <v>1</v>
      </c>
      <c r="H42" s="15">
        <v>81698</v>
      </c>
      <c r="I42" s="34" t="s">
        <v>1505</v>
      </c>
      <c r="J42" s="34">
        <v>25737704</v>
      </c>
      <c r="K42" s="15" t="s">
        <v>4130</v>
      </c>
      <c r="L42" s="15" t="s">
        <v>4173</v>
      </c>
      <c r="M42" s="33">
        <v>289900</v>
      </c>
      <c r="N42" s="9">
        <f t="shared" si="2"/>
        <v>0.75</v>
      </c>
      <c r="O42" s="42">
        <f t="shared" si="0"/>
        <v>72475</v>
      </c>
      <c r="P42" s="6" t="str">
        <f t="shared" si="3"/>
        <v>PERCENTAGE</v>
      </c>
    </row>
    <row r="43" spans="1:16" x14ac:dyDescent="0.25">
      <c r="A43" s="6" t="str">
        <f t="shared" si="1"/>
        <v>2024 JUL-OCT D75</v>
      </c>
      <c r="B43" s="7">
        <f t="shared" si="1"/>
        <v>46114</v>
      </c>
      <c r="C43" s="7">
        <f t="shared" si="1"/>
        <v>46120</v>
      </c>
      <c r="D43" s="6">
        <v>3280</v>
      </c>
      <c r="E43" s="6">
        <v>337</v>
      </c>
      <c r="F43" s="6">
        <v>4</v>
      </c>
      <c r="G43" s="34">
        <v>1</v>
      </c>
      <c r="H43" s="15">
        <v>81698</v>
      </c>
      <c r="I43" s="34" t="s">
        <v>1505</v>
      </c>
      <c r="J43" s="34">
        <v>25737713</v>
      </c>
      <c r="K43" s="15" t="s">
        <v>4130</v>
      </c>
      <c r="L43" s="15" t="s">
        <v>4174</v>
      </c>
      <c r="M43" s="33">
        <v>289900</v>
      </c>
      <c r="N43" s="9">
        <f t="shared" si="2"/>
        <v>0.75</v>
      </c>
      <c r="O43" s="42">
        <f t="shared" si="0"/>
        <v>72475</v>
      </c>
      <c r="P43" s="6" t="str">
        <f t="shared" si="3"/>
        <v>PERCENTAGE</v>
      </c>
    </row>
    <row r="44" spans="1:16" x14ac:dyDescent="0.25">
      <c r="A44" s="6" t="str">
        <f t="shared" si="1"/>
        <v>2024 JUL-OCT D75</v>
      </c>
      <c r="B44" s="7">
        <f t="shared" si="1"/>
        <v>46114</v>
      </c>
      <c r="C44" s="7">
        <f t="shared" si="1"/>
        <v>46120</v>
      </c>
      <c r="D44" s="6">
        <v>3280</v>
      </c>
      <c r="E44" s="6">
        <v>337</v>
      </c>
      <c r="F44" s="6">
        <v>4</v>
      </c>
      <c r="G44" s="34">
        <v>1</v>
      </c>
      <c r="H44" s="15">
        <v>81698</v>
      </c>
      <c r="I44" s="34" t="s">
        <v>1505</v>
      </c>
      <c r="J44" s="34">
        <v>25737722</v>
      </c>
      <c r="K44" s="15" t="s">
        <v>4131</v>
      </c>
      <c r="L44" s="15" t="s">
        <v>4175</v>
      </c>
      <c r="M44" s="33">
        <v>279900</v>
      </c>
      <c r="N44" s="9">
        <f t="shared" si="2"/>
        <v>0.75</v>
      </c>
      <c r="O44" s="42">
        <f t="shared" si="0"/>
        <v>69975</v>
      </c>
      <c r="P44" s="6" t="str">
        <f t="shared" si="3"/>
        <v>PERCENTAGE</v>
      </c>
    </row>
    <row r="45" spans="1:16" x14ac:dyDescent="0.25">
      <c r="A45" s="6" t="str">
        <f t="shared" si="1"/>
        <v>2024 JUL-OCT D75</v>
      </c>
      <c r="B45" s="7">
        <f t="shared" si="1"/>
        <v>46114</v>
      </c>
      <c r="C45" s="7">
        <f t="shared" si="1"/>
        <v>46120</v>
      </c>
      <c r="D45" s="6">
        <v>3280</v>
      </c>
      <c r="E45" s="6">
        <v>337</v>
      </c>
      <c r="F45" s="6">
        <v>4</v>
      </c>
      <c r="G45" s="34">
        <v>1</v>
      </c>
      <c r="H45" s="15">
        <v>81698</v>
      </c>
      <c r="I45" s="34" t="s">
        <v>1505</v>
      </c>
      <c r="J45" s="34">
        <v>25737731</v>
      </c>
      <c r="K45" s="15" t="s">
        <v>4131</v>
      </c>
      <c r="L45" s="15" t="s">
        <v>4176</v>
      </c>
      <c r="M45" s="33">
        <v>279900</v>
      </c>
      <c r="N45" s="9">
        <f t="shared" si="2"/>
        <v>0.75</v>
      </c>
      <c r="O45" s="42">
        <f t="shared" si="0"/>
        <v>69975</v>
      </c>
      <c r="P45" s="6" t="str">
        <f t="shared" si="3"/>
        <v>PERCENTAGE</v>
      </c>
    </row>
    <row r="46" spans="1:16" x14ac:dyDescent="0.25">
      <c r="A46" s="6" t="str">
        <f t="shared" si="1"/>
        <v>2024 JUL-OCT D75</v>
      </c>
      <c r="B46" s="7">
        <f t="shared" si="1"/>
        <v>46114</v>
      </c>
      <c r="C46" s="7">
        <f t="shared" si="1"/>
        <v>46120</v>
      </c>
      <c r="D46" s="6">
        <v>3280</v>
      </c>
      <c r="E46" s="6">
        <v>337</v>
      </c>
      <c r="F46" s="6">
        <v>4</v>
      </c>
      <c r="G46" s="34">
        <v>1</v>
      </c>
      <c r="H46" s="15">
        <v>81698</v>
      </c>
      <c r="I46" s="34" t="s">
        <v>1505</v>
      </c>
      <c r="J46" s="34">
        <v>25737740</v>
      </c>
      <c r="K46" s="15" t="s">
        <v>4131</v>
      </c>
      <c r="L46" s="15" t="s">
        <v>4177</v>
      </c>
      <c r="M46" s="33">
        <v>279900</v>
      </c>
      <c r="N46" s="9">
        <f t="shared" si="2"/>
        <v>0.75</v>
      </c>
      <c r="O46" s="42">
        <f t="shared" si="0"/>
        <v>69975</v>
      </c>
      <c r="P46" s="6" t="str">
        <f t="shared" si="3"/>
        <v>PERCENTAGE</v>
      </c>
    </row>
    <row r="47" spans="1:16" x14ac:dyDescent="0.25">
      <c r="A47" s="6" t="str">
        <f t="shared" si="1"/>
        <v>2024 JUL-OCT D75</v>
      </c>
      <c r="B47" s="7">
        <f t="shared" si="1"/>
        <v>46114</v>
      </c>
      <c r="C47" s="7">
        <f t="shared" si="1"/>
        <v>46120</v>
      </c>
      <c r="D47" s="6">
        <v>3280</v>
      </c>
      <c r="E47" s="6">
        <v>337</v>
      </c>
      <c r="F47" s="6">
        <v>4</v>
      </c>
      <c r="G47" s="34">
        <v>1</v>
      </c>
      <c r="H47" s="15">
        <v>81698</v>
      </c>
      <c r="I47" s="34" t="s">
        <v>1505</v>
      </c>
      <c r="J47" s="34">
        <v>25737759</v>
      </c>
      <c r="K47" s="15" t="s">
        <v>4131</v>
      </c>
      <c r="L47" s="15" t="s">
        <v>4178</v>
      </c>
      <c r="M47" s="33">
        <v>289900</v>
      </c>
      <c r="N47" s="9">
        <f t="shared" si="2"/>
        <v>0.75</v>
      </c>
      <c r="O47" s="42">
        <f t="shared" si="0"/>
        <v>72475</v>
      </c>
      <c r="P47" s="6" t="str">
        <f t="shared" si="3"/>
        <v>PERCENTAGE</v>
      </c>
    </row>
    <row r="48" spans="1:16" x14ac:dyDescent="0.25">
      <c r="A48" s="6" t="str">
        <f t="shared" si="1"/>
        <v>2024 JUL-OCT D75</v>
      </c>
      <c r="B48" s="7">
        <f t="shared" si="1"/>
        <v>46114</v>
      </c>
      <c r="C48" s="7">
        <f t="shared" si="1"/>
        <v>46120</v>
      </c>
      <c r="D48" s="6">
        <v>3280</v>
      </c>
      <c r="E48" s="6">
        <v>337</v>
      </c>
      <c r="F48" s="6">
        <v>4</v>
      </c>
      <c r="G48" s="34">
        <v>1</v>
      </c>
      <c r="H48" s="15">
        <v>81698</v>
      </c>
      <c r="I48" s="34" t="s">
        <v>1505</v>
      </c>
      <c r="J48" s="34">
        <v>25737768</v>
      </c>
      <c r="K48" s="15" t="s">
        <v>4131</v>
      </c>
      <c r="L48" s="15" t="s">
        <v>4179</v>
      </c>
      <c r="M48" s="33">
        <v>289900</v>
      </c>
      <c r="N48" s="9">
        <f t="shared" si="2"/>
        <v>0.75</v>
      </c>
      <c r="O48" s="42">
        <f t="shared" si="0"/>
        <v>72475</v>
      </c>
      <c r="P48" s="6" t="str">
        <f t="shared" si="3"/>
        <v>PERCENTAGE</v>
      </c>
    </row>
    <row r="49" spans="1:16" x14ac:dyDescent="0.25">
      <c r="A49" s="6" t="str">
        <f t="shared" si="1"/>
        <v>2024 JUL-OCT D75</v>
      </c>
      <c r="B49" s="7">
        <f t="shared" si="1"/>
        <v>46114</v>
      </c>
      <c r="C49" s="7">
        <f t="shared" si="1"/>
        <v>46120</v>
      </c>
      <c r="D49" s="6">
        <v>3280</v>
      </c>
      <c r="E49" s="6">
        <v>337</v>
      </c>
      <c r="F49" s="6">
        <v>4</v>
      </c>
      <c r="G49" s="34">
        <v>1</v>
      </c>
      <c r="H49" s="15">
        <v>81698</v>
      </c>
      <c r="I49" s="34" t="s">
        <v>1505</v>
      </c>
      <c r="J49" s="34">
        <v>25737777</v>
      </c>
      <c r="K49" s="15" t="s">
        <v>4131</v>
      </c>
      <c r="L49" s="15" t="s">
        <v>4180</v>
      </c>
      <c r="M49" s="33">
        <v>289900</v>
      </c>
      <c r="N49" s="9">
        <f t="shared" si="2"/>
        <v>0.75</v>
      </c>
      <c r="O49" s="42">
        <f t="shared" si="0"/>
        <v>72475</v>
      </c>
      <c r="P49" s="6" t="str">
        <f t="shared" si="3"/>
        <v>PERCENTAGE</v>
      </c>
    </row>
    <row r="50" spans="1:16" x14ac:dyDescent="0.25">
      <c r="A50" s="6" t="str">
        <f t="shared" si="1"/>
        <v>2024 JUL-OCT D75</v>
      </c>
      <c r="B50" s="7">
        <f t="shared" si="1"/>
        <v>46114</v>
      </c>
      <c r="C50" s="7">
        <f t="shared" si="1"/>
        <v>46120</v>
      </c>
      <c r="D50" s="6">
        <v>3280</v>
      </c>
      <c r="E50" s="6">
        <v>337</v>
      </c>
      <c r="F50" s="6">
        <v>4</v>
      </c>
      <c r="G50" s="34">
        <v>1</v>
      </c>
      <c r="H50" s="15">
        <v>81698</v>
      </c>
      <c r="I50" s="34" t="s">
        <v>1505</v>
      </c>
      <c r="J50" s="34">
        <v>45463329</v>
      </c>
      <c r="K50" s="15" t="s">
        <v>4132</v>
      </c>
      <c r="L50" s="15" t="s">
        <v>4181</v>
      </c>
      <c r="M50" s="33">
        <v>279900</v>
      </c>
      <c r="N50" s="9">
        <f t="shared" si="2"/>
        <v>0.75</v>
      </c>
      <c r="O50" s="42">
        <f t="shared" si="0"/>
        <v>69975</v>
      </c>
      <c r="P50" s="6" t="str">
        <f t="shared" si="3"/>
        <v>PERCENTAGE</v>
      </c>
    </row>
    <row r="51" spans="1:16" x14ac:dyDescent="0.25">
      <c r="A51" s="6" t="str">
        <f t="shared" si="1"/>
        <v>2024 JUL-OCT D75</v>
      </c>
      <c r="B51" s="7">
        <f t="shared" si="1"/>
        <v>46114</v>
      </c>
      <c r="C51" s="7">
        <f t="shared" si="1"/>
        <v>46120</v>
      </c>
      <c r="D51" s="6">
        <v>3280</v>
      </c>
      <c r="E51" s="6">
        <v>337</v>
      </c>
      <c r="F51" s="6">
        <v>4</v>
      </c>
      <c r="G51" s="34">
        <v>1</v>
      </c>
      <c r="H51" s="15">
        <v>81698</v>
      </c>
      <c r="I51" s="34" t="s">
        <v>1505</v>
      </c>
      <c r="J51" s="34">
        <v>45463338</v>
      </c>
      <c r="K51" s="15" t="s">
        <v>4132</v>
      </c>
      <c r="L51" s="15" t="s">
        <v>4182</v>
      </c>
      <c r="M51" s="33">
        <v>279900</v>
      </c>
      <c r="N51" s="9">
        <f t="shared" si="2"/>
        <v>0.75</v>
      </c>
      <c r="O51" s="42">
        <f t="shared" si="0"/>
        <v>69975</v>
      </c>
      <c r="P51" s="6" t="str">
        <f t="shared" si="3"/>
        <v>PERCENTAGE</v>
      </c>
    </row>
    <row r="52" spans="1:16" x14ac:dyDescent="0.25">
      <c r="A52" s="6" t="str">
        <f t="shared" si="1"/>
        <v>2024 JUL-OCT D75</v>
      </c>
      <c r="B52" s="7">
        <f t="shared" si="1"/>
        <v>46114</v>
      </c>
      <c r="C52" s="7">
        <f t="shared" si="1"/>
        <v>46120</v>
      </c>
      <c r="D52" s="6">
        <v>3280</v>
      </c>
      <c r="E52" s="6">
        <v>337</v>
      </c>
      <c r="F52" s="6">
        <v>4</v>
      </c>
      <c r="G52" s="34">
        <v>1</v>
      </c>
      <c r="H52" s="15">
        <v>81698</v>
      </c>
      <c r="I52" s="34" t="s">
        <v>1505</v>
      </c>
      <c r="J52" s="34">
        <v>45463347</v>
      </c>
      <c r="K52" s="15" t="s">
        <v>4132</v>
      </c>
      <c r="L52" s="15" t="s">
        <v>4183</v>
      </c>
      <c r="M52" s="33">
        <v>279900</v>
      </c>
      <c r="N52" s="9">
        <f t="shared" si="2"/>
        <v>0.75</v>
      </c>
      <c r="O52" s="42">
        <f t="shared" si="0"/>
        <v>69975</v>
      </c>
      <c r="P52" s="6" t="str">
        <f t="shared" si="3"/>
        <v>PERCENTAGE</v>
      </c>
    </row>
    <row r="53" spans="1:16" x14ac:dyDescent="0.25">
      <c r="A53" s="6" t="str">
        <f t="shared" si="1"/>
        <v>2024 JUL-OCT D75</v>
      </c>
      <c r="B53" s="7">
        <f t="shared" si="1"/>
        <v>46114</v>
      </c>
      <c r="C53" s="7">
        <f t="shared" si="1"/>
        <v>46120</v>
      </c>
      <c r="D53" s="6">
        <v>3280</v>
      </c>
      <c r="E53" s="6">
        <v>337</v>
      </c>
      <c r="F53" s="6">
        <v>4</v>
      </c>
      <c r="G53" s="34">
        <v>1</v>
      </c>
      <c r="H53" s="15">
        <v>81698</v>
      </c>
      <c r="I53" s="34" t="s">
        <v>1505</v>
      </c>
      <c r="J53" s="34">
        <v>45463356</v>
      </c>
      <c r="K53" s="15" t="s">
        <v>4132</v>
      </c>
      <c r="L53" s="15" t="s">
        <v>4184</v>
      </c>
      <c r="M53" s="33">
        <v>289900</v>
      </c>
      <c r="N53" s="9">
        <f t="shared" si="2"/>
        <v>0.75</v>
      </c>
      <c r="O53" s="42">
        <f t="shared" si="0"/>
        <v>72475</v>
      </c>
      <c r="P53" s="6" t="str">
        <f t="shared" si="3"/>
        <v>PERCENTAGE</v>
      </c>
    </row>
    <row r="54" spans="1:16" x14ac:dyDescent="0.25">
      <c r="A54" s="6" t="str">
        <f t="shared" si="1"/>
        <v>2024 JUL-OCT D75</v>
      </c>
      <c r="B54" s="7">
        <f t="shared" si="1"/>
        <v>46114</v>
      </c>
      <c r="C54" s="7">
        <f t="shared" si="1"/>
        <v>46120</v>
      </c>
      <c r="D54" s="6">
        <v>3280</v>
      </c>
      <c r="E54" s="6">
        <v>337</v>
      </c>
      <c r="F54" s="6">
        <v>4</v>
      </c>
      <c r="G54" s="34">
        <v>1</v>
      </c>
      <c r="H54" s="15">
        <v>81698</v>
      </c>
      <c r="I54" s="34" t="s">
        <v>1505</v>
      </c>
      <c r="J54" s="34">
        <v>45463365</v>
      </c>
      <c r="K54" s="15" t="s">
        <v>4132</v>
      </c>
      <c r="L54" s="15" t="s">
        <v>4185</v>
      </c>
      <c r="M54" s="33">
        <v>289900</v>
      </c>
      <c r="N54" s="9">
        <f t="shared" si="2"/>
        <v>0.75</v>
      </c>
      <c r="O54" s="42">
        <f t="shared" si="0"/>
        <v>72475</v>
      </c>
      <c r="P54" s="6" t="str">
        <f t="shared" si="3"/>
        <v>PERCENTAGE</v>
      </c>
    </row>
    <row r="55" spans="1:16" x14ac:dyDescent="0.25">
      <c r="A55" s="6" t="str">
        <f t="shared" si="1"/>
        <v>2024 JUL-OCT D75</v>
      </c>
      <c r="B55" s="7">
        <f t="shared" si="1"/>
        <v>46114</v>
      </c>
      <c r="C55" s="7">
        <f t="shared" si="1"/>
        <v>46120</v>
      </c>
      <c r="D55" s="6">
        <v>3280</v>
      </c>
      <c r="E55" s="6">
        <v>337</v>
      </c>
      <c r="F55" s="6">
        <v>4</v>
      </c>
      <c r="G55" s="34">
        <v>1</v>
      </c>
      <c r="H55" s="15">
        <v>81698</v>
      </c>
      <c r="I55" s="34" t="s">
        <v>1505</v>
      </c>
      <c r="J55" s="34">
        <v>45463374</v>
      </c>
      <c r="K55" s="15" t="s">
        <v>4132</v>
      </c>
      <c r="L55" s="15" t="s">
        <v>4186</v>
      </c>
      <c r="M55" s="33">
        <v>289900</v>
      </c>
      <c r="N55" s="9">
        <f t="shared" si="2"/>
        <v>0.75</v>
      </c>
      <c r="O55" s="42">
        <f t="shared" si="0"/>
        <v>72475</v>
      </c>
      <c r="P55" s="6" t="str">
        <f t="shared" si="3"/>
        <v>PERCENTAGE</v>
      </c>
    </row>
    <row r="56" spans="1:16" x14ac:dyDescent="0.25">
      <c r="A56" s="6" t="str">
        <f t="shared" si="1"/>
        <v>2024 JUL-OCT D75</v>
      </c>
      <c r="B56" s="7">
        <f t="shared" si="1"/>
        <v>46114</v>
      </c>
      <c r="C56" s="7">
        <f t="shared" si="1"/>
        <v>46120</v>
      </c>
      <c r="D56" s="6">
        <v>3280</v>
      </c>
      <c r="E56" s="6">
        <v>337</v>
      </c>
      <c r="F56" s="6">
        <v>4</v>
      </c>
      <c r="G56" s="34">
        <v>2</v>
      </c>
      <c r="H56" s="15">
        <v>81632</v>
      </c>
      <c r="I56" s="34" t="s">
        <v>1505</v>
      </c>
      <c r="J56" s="34">
        <v>15396235</v>
      </c>
      <c r="K56" s="15" t="s">
        <v>3969</v>
      </c>
      <c r="L56" s="15" t="s">
        <v>4006</v>
      </c>
      <c r="M56" s="33">
        <v>249900</v>
      </c>
      <c r="N56" s="9">
        <f t="shared" si="2"/>
        <v>0.75</v>
      </c>
      <c r="O56" s="42">
        <f t="shared" si="0"/>
        <v>62475</v>
      </c>
      <c r="P56" s="6" t="str">
        <f t="shared" si="3"/>
        <v>PERCENTAGE</v>
      </c>
    </row>
    <row r="57" spans="1:16" x14ac:dyDescent="0.25">
      <c r="A57" s="6" t="str">
        <f t="shared" si="1"/>
        <v>2024 JUL-OCT D75</v>
      </c>
      <c r="B57" s="7">
        <f t="shared" si="1"/>
        <v>46114</v>
      </c>
      <c r="C57" s="7">
        <f t="shared" si="1"/>
        <v>46120</v>
      </c>
      <c r="D57" s="6">
        <v>3280</v>
      </c>
      <c r="E57" s="6">
        <v>337</v>
      </c>
      <c r="F57" s="6">
        <v>4</v>
      </c>
      <c r="G57" s="34">
        <v>2</v>
      </c>
      <c r="H57" s="15">
        <v>81632</v>
      </c>
      <c r="I57" s="34" t="s">
        <v>1505</v>
      </c>
      <c r="J57" s="34">
        <v>15396244</v>
      </c>
      <c r="K57" s="15" t="s">
        <v>3969</v>
      </c>
      <c r="L57" s="15" t="s">
        <v>4007</v>
      </c>
      <c r="M57" s="33">
        <v>249900</v>
      </c>
      <c r="N57" s="9">
        <f t="shared" si="2"/>
        <v>0.75</v>
      </c>
      <c r="O57" s="42">
        <f t="shared" si="0"/>
        <v>62475</v>
      </c>
      <c r="P57" s="6" t="str">
        <f t="shared" si="3"/>
        <v>PERCENTAGE</v>
      </c>
    </row>
    <row r="58" spans="1:16" x14ac:dyDescent="0.25">
      <c r="A58" s="6" t="str">
        <f t="shared" si="1"/>
        <v>2024 JUL-OCT D75</v>
      </c>
      <c r="B58" s="7">
        <f t="shared" si="1"/>
        <v>46114</v>
      </c>
      <c r="C58" s="7">
        <f t="shared" si="1"/>
        <v>46120</v>
      </c>
      <c r="D58" s="6">
        <v>3280</v>
      </c>
      <c r="E58" s="6">
        <v>337</v>
      </c>
      <c r="F58" s="6">
        <v>4</v>
      </c>
      <c r="G58" s="34">
        <v>2</v>
      </c>
      <c r="H58" s="15">
        <v>81632</v>
      </c>
      <c r="I58" s="34" t="s">
        <v>1505</v>
      </c>
      <c r="J58" s="34">
        <v>15396253</v>
      </c>
      <c r="K58" s="15" t="s">
        <v>3969</v>
      </c>
      <c r="L58" s="15" t="s">
        <v>4008</v>
      </c>
      <c r="M58" s="33">
        <v>249900</v>
      </c>
      <c r="N58" s="9">
        <f t="shared" si="2"/>
        <v>0.75</v>
      </c>
      <c r="O58" s="42">
        <f t="shared" si="0"/>
        <v>62475</v>
      </c>
      <c r="P58" s="6" t="str">
        <f t="shared" si="3"/>
        <v>PERCENTAGE</v>
      </c>
    </row>
    <row r="59" spans="1:16" x14ac:dyDescent="0.25">
      <c r="A59" s="6" t="str">
        <f t="shared" si="1"/>
        <v>2024 JUL-OCT D75</v>
      </c>
      <c r="B59" s="7">
        <f t="shared" si="1"/>
        <v>46114</v>
      </c>
      <c r="C59" s="7">
        <f t="shared" si="1"/>
        <v>46120</v>
      </c>
      <c r="D59" s="6">
        <v>3280</v>
      </c>
      <c r="E59" s="6">
        <v>337</v>
      </c>
      <c r="F59" s="6">
        <v>4</v>
      </c>
      <c r="G59" s="34">
        <v>2</v>
      </c>
      <c r="H59" s="15">
        <v>81632</v>
      </c>
      <c r="I59" s="34" t="s">
        <v>1505</v>
      </c>
      <c r="J59" s="34">
        <v>15396262</v>
      </c>
      <c r="K59" s="15" t="s">
        <v>3969</v>
      </c>
      <c r="L59" s="15" t="s">
        <v>4009</v>
      </c>
      <c r="M59" s="33">
        <v>259900</v>
      </c>
      <c r="N59" s="9">
        <f t="shared" si="2"/>
        <v>0.75</v>
      </c>
      <c r="O59" s="42">
        <f t="shared" si="0"/>
        <v>64975</v>
      </c>
      <c r="P59" s="6" t="str">
        <f t="shared" si="3"/>
        <v>PERCENTAGE</v>
      </c>
    </row>
    <row r="60" spans="1:16" x14ac:dyDescent="0.25">
      <c r="A60" s="6" t="str">
        <f t="shared" si="1"/>
        <v>2024 JUL-OCT D75</v>
      </c>
      <c r="B60" s="7">
        <f t="shared" si="1"/>
        <v>46114</v>
      </c>
      <c r="C60" s="7">
        <f t="shared" si="1"/>
        <v>46120</v>
      </c>
      <c r="D60" s="6">
        <v>3280</v>
      </c>
      <c r="E60" s="6">
        <v>337</v>
      </c>
      <c r="F60" s="6">
        <v>4</v>
      </c>
      <c r="G60" s="34">
        <v>2</v>
      </c>
      <c r="H60" s="15">
        <v>81632</v>
      </c>
      <c r="I60" s="34" t="s">
        <v>1505</v>
      </c>
      <c r="J60" s="34">
        <v>15396271</v>
      </c>
      <c r="K60" s="15" t="s">
        <v>3969</v>
      </c>
      <c r="L60" s="15" t="s">
        <v>4010</v>
      </c>
      <c r="M60" s="33">
        <v>259900</v>
      </c>
      <c r="N60" s="9">
        <f t="shared" si="2"/>
        <v>0.75</v>
      </c>
      <c r="O60" s="42">
        <f t="shared" si="0"/>
        <v>64975</v>
      </c>
      <c r="P60" s="6" t="str">
        <f t="shared" si="3"/>
        <v>PERCENTAGE</v>
      </c>
    </row>
    <row r="61" spans="1:16" x14ac:dyDescent="0.25">
      <c r="A61" s="6" t="str">
        <f t="shared" si="1"/>
        <v>2024 JUL-OCT D75</v>
      </c>
      <c r="B61" s="7">
        <f t="shared" si="1"/>
        <v>46114</v>
      </c>
      <c r="C61" s="7">
        <f t="shared" si="1"/>
        <v>46120</v>
      </c>
      <c r="D61" s="6">
        <v>3280</v>
      </c>
      <c r="E61" s="6">
        <v>337</v>
      </c>
      <c r="F61" s="6">
        <v>4</v>
      </c>
      <c r="G61" s="34">
        <v>2</v>
      </c>
      <c r="H61" s="15">
        <v>81632</v>
      </c>
      <c r="I61" s="34" t="s">
        <v>1505</v>
      </c>
      <c r="J61" s="34">
        <v>15396280</v>
      </c>
      <c r="K61" s="15" t="s">
        <v>3969</v>
      </c>
      <c r="L61" s="15" t="s">
        <v>4011</v>
      </c>
      <c r="M61" s="33">
        <v>259900</v>
      </c>
      <c r="N61" s="9">
        <f t="shared" si="2"/>
        <v>0.75</v>
      </c>
      <c r="O61" s="42">
        <f t="shared" si="0"/>
        <v>64975</v>
      </c>
      <c r="P61" s="6" t="str">
        <f t="shared" si="3"/>
        <v>PERCENTAGE</v>
      </c>
    </row>
    <row r="62" spans="1:16" x14ac:dyDescent="0.25">
      <c r="A62" s="6" t="str">
        <f t="shared" si="1"/>
        <v>2024 JUL-OCT D75</v>
      </c>
      <c r="B62" s="7">
        <f t="shared" si="1"/>
        <v>46114</v>
      </c>
      <c r="C62" s="7">
        <f t="shared" si="1"/>
        <v>46120</v>
      </c>
      <c r="D62" s="6">
        <v>3280</v>
      </c>
      <c r="E62" s="6">
        <v>337</v>
      </c>
      <c r="F62" s="6">
        <v>4</v>
      </c>
      <c r="G62" s="34">
        <v>2</v>
      </c>
      <c r="H62" s="15">
        <v>81632</v>
      </c>
      <c r="I62" s="34" t="s">
        <v>1505</v>
      </c>
      <c r="J62" s="34">
        <v>15395969</v>
      </c>
      <c r="K62" s="15" t="s">
        <v>3963</v>
      </c>
      <c r="L62" s="15" t="s">
        <v>3970</v>
      </c>
      <c r="M62" s="33">
        <v>239900</v>
      </c>
      <c r="N62" s="9">
        <f t="shared" si="2"/>
        <v>0.75</v>
      </c>
      <c r="O62" s="42">
        <f t="shared" si="0"/>
        <v>59975</v>
      </c>
      <c r="P62" s="6" t="str">
        <f t="shared" si="3"/>
        <v>PERCENTAGE</v>
      </c>
    </row>
    <row r="63" spans="1:16" x14ac:dyDescent="0.25">
      <c r="A63" s="6" t="str">
        <f t="shared" si="1"/>
        <v>2024 JUL-OCT D75</v>
      </c>
      <c r="B63" s="7">
        <f t="shared" si="1"/>
        <v>46114</v>
      </c>
      <c r="C63" s="7">
        <f t="shared" si="1"/>
        <v>46120</v>
      </c>
      <c r="D63" s="6">
        <v>3280</v>
      </c>
      <c r="E63" s="6">
        <v>337</v>
      </c>
      <c r="F63" s="6">
        <v>4</v>
      </c>
      <c r="G63" s="34">
        <v>2</v>
      </c>
      <c r="H63" s="15">
        <v>81632</v>
      </c>
      <c r="I63" s="34" t="s">
        <v>1505</v>
      </c>
      <c r="J63" s="34">
        <v>15395978</v>
      </c>
      <c r="K63" s="15" t="s">
        <v>3963</v>
      </c>
      <c r="L63" s="15" t="s">
        <v>3971</v>
      </c>
      <c r="M63" s="33">
        <v>239900</v>
      </c>
      <c r="N63" s="9">
        <f t="shared" si="2"/>
        <v>0.75</v>
      </c>
      <c r="O63" s="42">
        <f t="shared" si="0"/>
        <v>59975</v>
      </c>
      <c r="P63" s="6" t="str">
        <f t="shared" si="3"/>
        <v>PERCENTAGE</v>
      </c>
    </row>
    <row r="64" spans="1:16" x14ac:dyDescent="0.25">
      <c r="A64" s="6" t="str">
        <f t="shared" si="1"/>
        <v>2024 JUL-OCT D75</v>
      </c>
      <c r="B64" s="7">
        <f t="shared" si="1"/>
        <v>46114</v>
      </c>
      <c r="C64" s="7">
        <f t="shared" si="1"/>
        <v>46120</v>
      </c>
      <c r="D64" s="6">
        <v>3280</v>
      </c>
      <c r="E64" s="6">
        <v>337</v>
      </c>
      <c r="F64" s="6">
        <v>4</v>
      </c>
      <c r="G64" s="34">
        <v>2</v>
      </c>
      <c r="H64" s="15">
        <v>81632</v>
      </c>
      <c r="I64" s="34" t="s">
        <v>1505</v>
      </c>
      <c r="J64" s="34">
        <v>15395987</v>
      </c>
      <c r="K64" s="15" t="s">
        <v>3963</v>
      </c>
      <c r="L64" s="15" t="s">
        <v>3972</v>
      </c>
      <c r="M64" s="33">
        <v>239900</v>
      </c>
      <c r="N64" s="9">
        <f t="shared" si="2"/>
        <v>0.75</v>
      </c>
      <c r="O64" s="42">
        <f t="shared" si="0"/>
        <v>59975</v>
      </c>
      <c r="P64" s="6" t="str">
        <f t="shared" si="3"/>
        <v>PERCENTAGE</v>
      </c>
    </row>
    <row r="65" spans="1:16" x14ac:dyDescent="0.25">
      <c r="A65" s="6" t="str">
        <f t="shared" si="1"/>
        <v>2024 JUL-OCT D75</v>
      </c>
      <c r="B65" s="7">
        <f t="shared" si="1"/>
        <v>46114</v>
      </c>
      <c r="C65" s="7">
        <f t="shared" si="1"/>
        <v>46120</v>
      </c>
      <c r="D65" s="6">
        <v>3280</v>
      </c>
      <c r="E65" s="6">
        <v>337</v>
      </c>
      <c r="F65" s="6">
        <v>4</v>
      </c>
      <c r="G65" s="34">
        <v>2</v>
      </c>
      <c r="H65" s="15">
        <v>81632</v>
      </c>
      <c r="I65" s="34" t="s">
        <v>1505</v>
      </c>
      <c r="J65" s="34">
        <v>15396048</v>
      </c>
      <c r="K65" s="15" t="s">
        <v>3963</v>
      </c>
      <c r="L65" s="15" t="s">
        <v>3973</v>
      </c>
      <c r="M65" s="33">
        <v>249900</v>
      </c>
      <c r="N65" s="9">
        <f t="shared" si="2"/>
        <v>0.75</v>
      </c>
      <c r="O65" s="42">
        <f t="shared" si="0"/>
        <v>62475</v>
      </c>
      <c r="P65" s="6" t="str">
        <f t="shared" si="3"/>
        <v>PERCENTAGE</v>
      </c>
    </row>
    <row r="66" spans="1:16" x14ac:dyDescent="0.25">
      <c r="A66" s="6" t="str">
        <f t="shared" si="1"/>
        <v>2024 JUL-OCT D75</v>
      </c>
      <c r="B66" s="7">
        <f t="shared" si="1"/>
        <v>46114</v>
      </c>
      <c r="C66" s="7">
        <f t="shared" si="1"/>
        <v>46120</v>
      </c>
      <c r="D66" s="6">
        <v>3280</v>
      </c>
      <c r="E66" s="6">
        <v>337</v>
      </c>
      <c r="F66" s="6">
        <v>4</v>
      </c>
      <c r="G66" s="34">
        <v>2</v>
      </c>
      <c r="H66" s="15">
        <v>81632</v>
      </c>
      <c r="I66" s="34" t="s">
        <v>1505</v>
      </c>
      <c r="J66" s="34">
        <v>15396057</v>
      </c>
      <c r="K66" s="15" t="s">
        <v>3963</v>
      </c>
      <c r="L66" s="15" t="s">
        <v>3974</v>
      </c>
      <c r="M66" s="33">
        <v>249900</v>
      </c>
      <c r="N66" s="9">
        <f t="shared" si="2"/>
        <v>0.75</v>
      </c>
      <c r="O66" s="42">
        <f t="shared" si="0"/>
        <v>62475</v>
      </c>
      <c r="P66" s="6" t="str">
        <f t="shared" si="3"/>
        <v>PERCENTAGE</v>
      </c>
    </row>
    <row r="67" spans="1:16" x14ac:dyDescent="0.25">
      <c r="A67" s="6" t="str">
        <f t="shared" si="1"/>
        <v>2024 JUL-OCT D75</v>
      </c>
      <c r="B67" s="7">
        <f t="shared" si="1"/>
        <v>46114</v>
      </c>
      <c r="C67" s="7">
        <f t="shared" si="1"/>
        <v>46120</v>
      </c>
      <c r="D67" s="6">
        <v>3280</v>
      </c>
      <c r="E67" s="6">
        <v>337</v>
      </c>
      <c r="F67" s="6">
        <v>4</v>
      </c>
      <c r="G67" s="34">
        <v>2</v>
      </c>
      <c r="H67" s="15">
        <v>81632</v>
      </c>
      <c r="I67" s="34" t="s">
        <v>1505</v>
      </c>
      <c r="J67" s="34">
        <v>15396066</v>
      </c>
      <c r="K67" s="15" t="s">
        <v>3963</v>
      </c>
      <c r="L67" s="15" t="s">
        <v>3975</v>
      </c>
      <c r="M67" s="33">
        <v>249900</v>
      </c>
      <c r="N67" s="9">
        <f t="shared" si="2"/>
        <v>0.75</v>
      </c>
      <c r="O67" s="42">
        <f t="shared" ref="O67:O109" si="4">M67-((75*M67)/100)</f>
        <v>62475</v>
      </c>
      <c r="P67" s="6" t="str">
        <f t="shared" si="3"/>
        <v>PERCENTAGE</v>
      </c>
    </row>
    <row r="68" spans="1:16" x14ac:dyDescent="0.25">
      <c r="A68" s="6" t="str">
        <f t="shared" ref="A68:C109" si="5">A67</f>
        <v>2024 JUL-OCT D75</v>
      </c>
      <c r="B68" s="7">
        <f t="shared" si="5"/>
        <v>46114</v>
      </c>
      <c r="C68" s="7">
        <f t="shared" si="5"/>
        <v>46120</v>
      </c>
      <c r="D68" s="6">
        <v>3280</v>
      </c>
      <c r="E68" s="6">
        <v>337</v>
      </c>
      <c r="F68" s="6">
        <v>4</v>
      </c>
      <c r="G68" s="34">
        <v>2</v>
      </c>
      <c r="H68" s="15">
        <v>81632</v>
      </c>
      <c r="I68" s="34" t="s">
        <v>1505</v>
      </c>
      <c r="J68" s="34">
        <v>15396299</v>
      </c>
      <c r="K68" s="15" t="s">
        <v>3964</v>
      </c>
      <c r="L68" s="15" t="s">
        <v>3976</v>
      </c>
      <c r="M68" s="33">
        <v>239900</v>
      </c>
      <c r="N68" s="9">
        <f t="shared" ref="N68:N109" si="6">N67</f>
        <v>0.75</v>
      </c>
      <c r="O68" s="42">
        <f t="shared" si="4"/>
        <v>59975</v>
      </c>
      <c r="P68" s="6" t="str">
        <f t="shared" ref="P68:P109" si="7">P67</f>
        <v>PERCENTAGE</v>
      </c>
    </row>
    <row r="69" spans="1:16" x14ac:dyDescent="0.25">
      <c r="A69" s="6" t="str">
        <f t="shared" si="5"/>
        <v>2024 JUL-OCT D75</v>
      </c>
      <c r="B69" s="7">
        <f t="shared" si="5"/>
        <v>46114</v>
      </c>
      <c r="C69" s="7">
        <f t="shared" si="5"/>
        <v>46120</v>
      </c>
      <c r="D69" s="6">
        <v>3280</v>
      </c>
      <c r="E69" s="6">
        <v>337</v>
      </c>
      <c r="F69" s="6">
        <v>4</v>
      </c>
      <c r="G69" s="34">
        <v>2</v>
      </c>
      <c r="H69" s="15">
        <v>81632</v>
      </c>
      <c r="I69" s="34" t="s">
        <v>1505</v>
      </c>
      <c r="J69" s="34">
        <v>15396306</v>
      </c>
      <c r="K69" s="15" t="s">
        <v>3964</v>
      </c>
      <c r="L69" s="15" t="s">
        <v>3977</v>
      </c>
      <c r="M69" s="33">
        <v>239900</v>
      </c>
      <c r="N69" s="9">
        <f t="shared" si="6"/>
        <v>0.75</v>
      </c>
      <c r="O69" s="42">
        <f t="shared" si="4"/>
        <v>59975</v>
      </c>
      <c r="P69" s="6" t="str">
        <f t="shared" si="7"/>
        <v>PERCENTAGE</v>
      </c>
    </row>
    <row r="70" spans="1:16" x14ac:dyDescent="0.25">
      <c r="A70" s="6" t="str">
        <f t="shared" si="5"/>
        <v>2024 JUL-OCT D75</v>
      </c>
      <c r="B70" s="7">
        <f t="shared" si="5"/>
        <v>46114</v>
      </c>
      <c r="C70" s="7">
        <f t="shared" si="5"/>
        <v>46120</v>
      </c>
      <c r="D70" s="6">
        <v>3280</v>
      </c>
      <c r="E70" s="6">
        <v>337</v>
      </c>
      <c r="F70" s="6">
        <v>4</v>
      </c>
      <c r="G70" s="34">
        <v>2</v>
      </c>
      <c r="H70" s="15">
        <v>81632</v>
      </c>
      <c r="I70" s="34" t="s">
        <v>1505</v>
      </c>
      <c r="J70" s="34">
        <v>15396315</v>
      </c>
      <c r="K70" s="15" t="s">
        <v>3964</v>
      </c>
      <c r="L70" s="15" t="s">
        <v>3978</v>
      </c>
      <c r="M70" s="33">
        <v>239900</v>
      </c>
      <c r="N70" s="9">
        <f t="shared" si="6"/>
        <v>0.75</v>
      </c>
      <c r="O70" s="42">
        <f t="shared" si="4"/>
        <v>59975</v>
      </c>
      <c r="P70" s="6" t="str">
        <f t="shared" si="7"/>
        <v>PERCENTAGE</v>
      </c>
    </row>
    <row r="71" spans="1:16" x14ac:dyDescent="0.25">
      <c r="A71" s="6" t="str">
        <f t="shared" si="5"/>
        <v>2024 JUL-OCT D75</v>
      </c>
      <c r="B71" s="7">
        <f t="shared" si="5"/>
        <v>46114</v>
      </c>
      <c r="C71" s="7">
        <f t="shared" si="5"/>
        <v>46120</v>
      </c>
      <c r="D71" s="6">
        <v>3280</v>
      </c>
      <c r="E71" s="6">
        <v>337</v>
      </c>
      <c r="F71" s="6">
        <v>4</v>
      </c>
      <c r="G71" s="34">
        <v>2</v>
      </c>
      <c r="H71" s="15">
        <v>81632</v>
      </c>
      <c r="I71" s="34" t="s">
        <v>1505</v>
      </c>
      <c r="J71" s="34">
        <v>15396324</v>
      </c>
      <c r="K71" s="15" t="s">
        <v>3964</v>
      </c>
      <c r="L71" s="15" t="s">
        <v>3979</v>
      </c>
      <c r="M71" s="33">
        <v>249900</v>
      </c>
      <c r="N71" s="9">
        <f t="shared" si="6"/>
        <v>0.75</v>
      </c>
      <c r="O71" s="42">
        <f t="shared" si="4"/>
        <v>62475</v>
      </c>
      <c r="P71" s="6" t="str">
        <f t="shared" si="7"/>
        <v>PERCENTAGE</v>
      </c>
    </row>
    <row r="72" spans="1:16" x14ac:dyDescent="0.25">
      <c r="A72" s="6" t="str">
        <f t="shared" si="5"/>
        <v>2024 JUL-OCT D75</v>
      </c>
      <c r="B72" s="7">
        <f t="shared" si="5"/>
        <v>46114</v>
      </c>
      <c r="C72" s="7">
        <f t="shared" si="5"/>
        <v>46120</v>
      </c>
      <c r="D72" s="6">
        <v>3280</v>
      </c>
      <c r="E72" s="6">
        <v>337</v>
      </c>
      <c r="F72" s="6">
        <v>4</v>
      </c>
      <c r="G72" s="34">
        <v>2</v>
      </c>
      <c r="H72" s="15">
        <v>81632</v>
      </c>
      <c r="I72" s="34" t="s">
        <v>1505</v>
      </c>
      <c r="J72" s="34">
        <v>15396333</v>
      </c>
      <c r="K72" s="15" t="s">
        <v>3964</v>
      </c>
      <c r="L72" s="15" t="s">
        <v>3980</v>
      </c>
      <c r="M72" s="33">
        <v>249900</v>
      </c>
      <c r="N72" s="9">
        <f t="shared" si="6"/>
        <v>0.75</v>
      </c>
      <c r="O72" s="42">
        <f t="shared" si="4"/>
        <v>62475</v>
      </c>
      <c r="P72" s="6" t="str">
        <f t="shared" si="7"/>
        <v>PERCENTAGE</v>
      </c>
    </row>
    <row r="73" spans="1:16" x14ac:dyDescent="0.25">
      <c r="A73" s="6" t="str">
        <f t="shared" si="5"/>
        <v>2024 JUL-OCT D75</v>
      </c>
      <c r="B73" s="7">
        <f t="shared" si="5"/>
        <v>46114</v>
      </c>
      <c r="C73" s="7">
        <f t="shared" si="5"/>
        <v>46120</v>
      </c>
      <c r="D73" s="6">
        <v>3280</v>
      </c>
      <c r="E73" s="6">
        <v>337</v>
      </c>
      <c r="F73" s="6">
        <v>4</v>
      </c>
      <c r="G73" s="34">
        <v>2</v>
      </c>
      <c r="H73" s="15">
        <v>81632</v>
      </c>
      <c r="I73" s="34" t="s">
        <v>1505</v>
      </c>
      <c r="J73" s="34">
        <v>15396342</v>
      </c>
      <c r="K73" s="15" t="s">
        <v>3964</v>
      </c>
      <c r="L73" s="15" t="s">
        <v>3981</v>
      </c>
      <c r="M73" s="33">
        <v>249900</v>
      </c>
      <c r="N73" s="9">
        <f t="shared" si="6"/>
        <v>0.75</v>
      </c>
      <c r="O73" s="42">
        <f t="shared" si="4"/>
        <v>62475</v>
      </c>
      <c r="P73" s="6" t="str">
        <f t="shared" si="7"/>
        <v>PERCENTAGE</v>
      </c>
    </row>
    <row r="74" spans="1:16" x14ac:dyDescent="0.25">
      <c r="A74" s="6" t="str">
        <f t="shared" si="5"/>
        <v>2024 JUL-OCT D75</v>
      </c>
      <c r="B74" s="7">
        <f t="shared" si="5"/>
        <v>46114</v>
      </c>
      <c r="C74" s="7">
        <f t="shared" si="5"/>
        <v>46120</v>
      </c>
      <c r="D74" s="6">
        <v>3280</v>
      </c>
      <c r="E74" s="6">
        <v>337</v>
      </c>
      <c r="F74" s="6">
        <v>4</v>
      </c>
      <c r="G74" s="34">
        <v>2</v>
      </c>
      <c r="H74" s="15">
        <v>81306</v>
      </c>
      <c r="I74" s="34" t="s">
        <v>1505</v>
      </c>
      <c r="J74" s="34">
        <v>15396959</v>
      </c>
      <c r="K74" s="15" t="s">
        <v>3965</v>
      </c>
      <c r="L74" s="15" t="s">
        <v>3982</v>
      </c>
      <c r="M74" s="33">
        <v>239900</v>
      </c>
      <c r="N74" s="9">
        <f t="shared" si="6"/>
        <v>0.75</v>
      </c>
      <c r="O74" s="42">
        <f t="shared" si="4"/>
        <v>59975</v>
      </c>
      <c r="P74" s="6" t="str">
        <f t="shared" si="7"/>
        <v>PERCENTAGE</v>
      </c>
    </row>
    <row r="75" spans="1:16" x14ac:dyDescent="0.25">
      <c r="A75" s="6" t="str">
        <f t="shared" si="5"/>
        <v>2024 JUL-OCT D75</v>
      </c>
      <c r="B75" s="7">
        <f t="shared" si="5"/>
        <v>46114</v>
      </c>
      <c r="C75" s="7">
        <f t="shared" si="5"/>
        <v>46120</v>
      </c>
      <c r="D75" s="6">
        <v>3280</v>
      </c>
      <c r="E75" s="6">
        <v>337</v>
      </c>
      <c r="F75" s="6">
        <v>4</v>
      </c>
      <c r="G75" s="34">
        <v>2</v>
      </c>
      <c r="H75" s="15">
        <v>81306</v>
      </c>
      <c r="I75" s="34" t="s">
        <v>1505</v>
      </c>
      <c r="J75" s="34">
        <v>15396968</v>
      </c>
      <c r="K75" s="15" t="s">
        <v>3965</v>
      </c>
      <c r="L75" s="15" t="s">
        <v>3983</v>
      </c>
      <c r="M75" s="33">
        <v>239900</v>
      </c>
      <c r="N75" s="9">
        <f t="shared" si="6"/>
        <v>0.75</v>
      </c>
      <c r="O75" s="42">
        <f t="shared" si="4"/>
        <v>59975</v>
      </c>
      <c r="P75" s="6" t="str">
        <f t="shared" si="7"/>
        <v>PERCENTAGE</v>
      </c>
    </row>
    <row r="76" spans="1:16" x14ac:dyDescent="0.25">
      <c r="A76" s="6" t="str">
        <f t="shared" si="5"/>
        <v>2024 JUL-OCT D75</v>
      </c>
      <c r="B76" s="7">
        <f t="shared" si="5"/>
        <v>46114</v>
      </c>
      <c r="C76" s="7">
        <f t="shared" si="5"/>
        <v>46120</v>
      </c>
      <c r="D76" s="6">
        <v>3280</v>
      </c>
      <c r="E76" s="6">
        <v>337</v>
      </c>
      <c r="F76" s="6">
        <v>4</v>
      </c>
      <c r="G76" s="34">
        <v>2</v>
      </c>
      <c r="H76" s="15">
        <v>81306</v>
      </c>
      <c r="I76" s="34" t="s">
        <v>1505</v>
      </c>
      <c r="J76" s="34">
        <v>15396977</v>
      </c>
      <c r="K76" s="15" t="s">
        <v>3965</v>
      </c>
      <c r="L76" s="15" t="s">
        <v>3984</v>
      </c>
      <c r="M76" s="33">
        <v>239900</v>
      </c>
      <c r="N76" s="9">
        <f t="shared" si="6"/>
        <v>0.75</v>
      </c>
      <c r="O76" s="42">
        <f t="shared" si="4"/>
        <v>59975</v>
      </c>
      <c r="P76" s="6" t="str">
        <f t="shared" si="7"/>
        <v>PERCENTAGE</v>
      </c>
    </row>
    <row r="77" spans="1:16" x14ac:dyDescent="0.25">
      <c r="A77" s="6" t="str">
        <f t="shared" si="5"/>
        <v>2024 JUL-OCT D75</v>
      </c>
      <c r="B77" s="7">
        <f t="shared" si="5"/>
        <v>46114</v>
      </c>
      <c r="C77" s="7">
        <f t="shared" si="5"/>
        <v>46120</v>
      </c>
      <c r="D77" s="6">
        <v>3280</v>
      </c>
      <c r="E77" s="6">
        <v>337</v>
      </c>
      <c r="F77" s="6">
        <v>4</v>
      </c>
      <c r="G77" s="34">
        <v>2</v>
      </c>
      <c r="H77" s="15">
        <v>81306</v>
      </c>
      <c r="I77" s="34" t="s">
        <v>1505</v>
      </c>
      <c r="J77" s="34">
        <v>15396986</v>
      </c>
      <c r="K77" s="15" t="s">
        <v>3965</v>
      </c>
      <c r="L77" s="15" t="s">
        <v>3985</v>
      </c>
      <c r="M77" s="33">
        <v>249900</v>
      </c>
      <c r="N77" s="9">
        <f t="shared" si="6"/>
        <v>0.75</v>
      </c>
      <c r="O77" s="42">
        <f t="shared" si="4"/>
        <v>62475</v>
      </c>
      <c r="P77" s="6" t="str">
        <f t="shared" si="7"/>
        <v>PERCENTAGE</v>
      </c>
    </row>
    <row r="78" spans="1:16" x14ac:dyDescent="0.25">
      <c r="A78" s="6" t="str">
        <f t="shared" si="5"/>
        <v>2024 JUL-OCT D75</v>
      </c>
      <c r="B78" s="7">
        <f t="shared" si="5"/>
        <v>46114</v>
      </c>
      <c r="C78" s="7">
        <f t="shared" si="5"/>
        <v>46120</v>
      </c>
      <c r="D78" s="6">
        <v>3280</v>
      </c>
      <c r="E78" s="6">
        <v>337</v>
      </c>
      <c r="F78" s="6">
        <v>4</v>
      </c>
      <c r="G78" s="34">
        <v>2</v>
      </c>
      <c r="H78" s="15">
        <v>81306</v>
      </c>
      <c r="I78" s="34" t="s">
        <v>1505</v>
      </c>
      <c r="J78" s="34">
        <v>15396995</v>
      </c>
      <c r="K78" s="15" t="s">
        <v>3965</v>
      </c>
      <c r="L78" s="15" t="s">
        <v>3986</v>
      </c>
      <c r="M78" s="33">
        <v>249900</v>
      </c>
      <c r="N78" s="9">
        <f t="shared" si="6"/>
        <v>0.75</v>
      </c>
      <c r="O78" s="42">
        <f t="shared" si="4"/>
        <v>62475</v>
      </c>
      <c r="P78" s="6" t="str">
        <f t="shared" si="7"/>
        <v>PERCENTAGE</v>
      </c>
    </row>
    <row r="79" spans="1:16" x14ac:dyDescent="0.25">
      <c r="A79" s="6" t="str">
        <f t="shared" si="5"/>
        <v>2024 JUL-OCT D75</v>
      </c>
      <c r="B79" s="7">
        <f t="shared" si="5"/>
        <v>46114</v>
      </c>
      <c r="C79" s="7">
        <f t="shared" si="5"/>
        <v>46120</v>
      </c>
      <c r="D79" s="6">
        <v>3280</v>
      </c>
      <c r="E79" s="6">
        <v>337</v>
      </c>
      <c r="F79" s="6">
        <v>4</v>
      </c>
      <c r="G79" s="34">
        <v>2</v>
      </c>
      <c r="H79" s="15">
        <v>81306</v>
      </c>
      <c r="I79" s="34" t="s">
        <v>1505</v>
      </c>
      <c r="J79" s="34">
        <v>15397001</v>
      </c>
      <c r="K79" s="15" t="s">
        <v>3965</v>
      </c>
      <c r="L79" s="15" t="s">
        <v>3987</v>
      </c>
      <c r="M79" s="33">
        <v>249900</v>
      </c>
      <c r="N79" s="9">
        <f t="shared" si="6"/>
        <v>0.75</v>
      </c>
      <c r="O79" s="42">
        <f t="shared" si="4"/>
        <v>62475</v>
      </c>
      <c r="P79" s="6" t="str">
        <f t="shared" si="7"/>
        <v>PERCENTAGE</v>
      </c>
    </row>
    <row r="80" spans="1:16" x14ac:dyDescent="0.25">
      <c r="A80" s="6" t="str">
        <f t="shared" si="5"/>
        <v>2024 JUL-OCT D75</v>
      </c>
      <c r="B80" s="7">
        <f t="shared" si="5"/>
        <v>46114</v>
      </c>
      <c r="C80" s="7">
        <f t="shared" si="5"/>
        <v>46120</v>
      </c>
      <c r="D80" s="6">
        <v>3280</v>
      </c>
      <c r="E80" s="6">
        <v>337</v>
      </c>
      <c r="F80" s="6">
        <v>4</v>
      </c>
      <c r="G80" s="34">
        <v>2</v>
      </c>
      <c r="H80" s="15">
        <v>81306</v>
      </c>
      <c r="I80" s="34" t="s">
        <v>1505</v>
      </c>
      <c r="J80" s="34">
        <v>25737240</v>
      </c>
      <c r="K80" s="15" t="s">
        <v>3966</v>
      </c>
      <c r="L80" s="15" t="s">
        <v>3988</v>
      </c>
      <c r="M80" s="33">
        <v>249900</v>
      </c>
      <c r="N80" s="9">
        <f t="shared" si="6"/>
        <v>0.75</v>
      </c>
      <c r="O80" s="42">
        <f t="shared" si="4"/>
        <v>62475</v>
      </c>
      <c r="P80" s="6" t="str">
        <f t="shared" si="7"/>
        <v>PERCENTAGE</v>
      </c>
    </row>
    <row r="81" spans="1:16" x14ac:dyDescent="0.25">
      <c r="A81" s="6" t="str">
        <f t="shared" si="5"/>
        <v>2024 JUL-OCT D75</v>
      </c>
      <c r="B81" s="7">
        <f t="shared" si="5"/>
        <v>46114</v>
      </c>
      <c r="C81" s="7">
        <f t="shared" si="5"/>
        <v>46120</v>
      </c>
      <c r="D81" s="6">
        <v>3280</v>
      </c>
      <c r="E81" s="6">
        <v>337</v>
      </c>
      <c r="F81" s="6">
        <v>4</v>
      </c>
      <c r="G81" s="34">
        <v>2</v>
      </c>
      <c r="H81" s="15">
        <v>81306</v>
      </c>
      <c r="I81" s="34" t="s">
        <v>1505</v>
      </c>
      <c r="J81" s="34">
        <v>25737259</v>
      </c>
      <c r="K81" s="15" t="s">
        <v>3966</v>
      </c>
      <c r="L81" s="15" t="s">
        <v>3989</v>
      </c>
      <c r="M81" s="33">
        <v>249900</v>
      </c>
      <c r="N81" s="9">
        <f t="shared" si="6"/>
        <v>0.75</v>
      </c>
      <c r="O81" s="42">
        <f t="shared" si="4"/>
        <v>62475</v>
      </c>
      <c r="P81" s="6" t="str">
        <f t="shared" si="7"/>
        <v>PERCENTAGE</v>
      </c>
    </row>
    <row r="82" spans="1:16" x14ac:dyDescent="0.25">
      <c r="A82" s="6" t="str">
        <f t="shared" si="5"/>
        <v>2024 JUL-OCT D75</v>
      </c>
      <c r="B82" s="7">
        <f t="shared" si="5"/>
        <v>46114</v>
      </c>
      <c r="C82" s="7">
        <f t="shared" si="5"/>
        <v>46120</v>
      </c>
      <c r="D82" s="6">
        <v>3280</v>
      </c>
      <c r="E82" s="6">
        <v>337</v>
      </c>
      <c r="F82" s="6">
        <v>4</v>
      </c>
      <c r="G82" s="34">
        <v>2</v>
      </c>
      <c r="H82" s="15">
        <v>81306</v>
      </c>
      <c r="I82" s="34" t="s">
        <v>1505</v>
      </c>
      <c r="J82" s="34">
        <v>25737268</v>
      </c>
      <c r="K82" s="15" t="s">
        <v>3966</v>
      </c>
      <c r="L82" s="15" t="s">
        <v>3990</v>
      </c>
      <c r="M82" s="33">
        <v>249900</v>
      </c>
      <c r="N82" s="9">
        <f t="shared" si="6"/>
        <v>0.75</v>
      </c>
      <c r="O82" s="42">
        <f t="shared" si="4"/>
        <v>62475</v>
      </c>
      <c r="P82" s="6" t="str">
        <f t="shared" si="7"/>
        <v>PERCENTAGE</v>
      </c>
    </row>
    <row r="83" spans="1:16" x14ac:dyDescent="0.25">
      <c r="A83" s="6" t="str">
        <f t="shared" si="5"/>
        <v>2024 JUL-OCT D75</v>
      </c>
      <c r="B83" s="7">
        <f t="shared" si="5"/>
        <v>46114</v>
      </c>
      <c r="C83" s="7">
        <f t="shared" si="5"/>
        <v>46120</v>
      </c>
      <c r="D83" s="6">
        <v>3280</v>
      </c>
      <c r="E83" s="6">
        <v>337</v>
      </c>
      <c r="F83" s="6">
        <v>4</v>
      </c>
      <c r="G83" s="34">
        <v>2</v>
      </c>
      <c r="H83" s="15">
        <v>81306</v>
      </c>
      <c r="I83" s="34" t="s">
        <v>1505</v>
      </c>
      <c r="J83" s="34">
        <v>25737277</v>
      </c>
      <c r="K83" s="15" t="s">
        <v>3966</v>
      </c>
      <c r="L83" s="15" t="s">
        <v>3991</v>
      </c>
      <c r="M83" s="33">
        <v>259900</v>
      </c>
      <c r="N83" s="9">
        <f t="shared" si="6"/>
        <v>0.75</v>
      </c>
      <c r="O83" s="42">
        <f t="shared" si="4"/>
        <v>64975</v>
      </c>
      <c r="P83" s="6" t="str">
        <f t="shared" si="7"/>
        <v>PERCENTAGE</v>
      </c>
    </row>
    <row r="84" spans="1:16" x14ac:dyDescent="0.25">
      <c r="A84" s="6" t="str">
        <f t="shared" si="5"/>
        <v>2024 JUL-OCT D75</v>
      </c>
      <c r="B84" s="7">
        <f t="shared" si="5"/>
        <v>46114</v>
      </c>
      <c r="C84" s="7">
        <f t="shared" si="5"/>
        <v>46120</v>
      </c>
      <c r="D84" s="6">
        <v>3280</v>
      </c>
      <c r="E84" s="6">
        <v>337</v>
      </c>
      <c r="F84" s="6">
        <v>4</v>
      </c>
      <c r="G84" s="34">
        <v>2</v>
      </c>
      <c r="H84" s="15">
        <v>81306</v>
      </c>
      <c r="I84" s="34" t="s">
        <v>1505</v>
      </c>
      <c r="J84" s="34">
        <v>25737286</v>
      </c>
      <c r="K84" s="15" t="s">
        <v>3966</v>
      </c>
      <c r="L84" s="15" t="s">
        <v>3992</v>
      </c>
      <c r="M84" s="33">
        <v>259900</v>
      </c>
      <c r="N84" s="9">
        <f t="shared" si="6"/>
        <v>0.75</v>
      </c>
      <c r="O84" s="42">
        <f t="shared" si="4"/>
        <v>64975</v>
      </c>
      <c r="P84" s="6" t="str">
        <f t="shared" si="7"/>
        <v>PERCENTAGE</v>
      </c>
    </row>
    <row r="85" spans="1:16" x14ac:dyDescent="0.25">
      <c r="A85" s="6" t="str">
        <f t="shared" si="5"/>
        <v>2024 JUL-OCT D75</v>
      </c>
      <c r="B85" s="7">
        <f t="shared" si="5"/>
        <v>46114</v>
      </c>
      <c r="C85" s="7">
        <f t="shared" si="5"/>
        <v>46120</v>
      </c>
      <c r="D85" s="6">
        <v>3280</v>
      </c>
      <c r="E85" s="6">
        <v>337</v>
      </c>
      <c r="F85" s="6">
        <v>4</v>
      </c>
      <c r="G85" s="34">
        <v>2</v>
      </c>
      <c r="H85" s="15">
        <v>81306</v>
      </c>
      <c r="I85" s="34" t="s">
        <v>1505</v>
      </c>
      <c r="J85" s="34">
        <v>25737295</v>
      </c>
      <c r="K85" s="15" t="s">
        <v>3966</v>
      </c>
      <c r="L85" s="15" t="s">
        <v>3993</v>
      </c>
      <c r="M85" s="33">
        <v>259900</v>
      </c>
      <c r="N85" s="9">
        <f t="shared" si="6"/>
        <v>0.75</v>
      </c>
      <c r="O85" s="42">
        <f t="shared" si="4"/>
        <v>64975</v>
      </c>
      <c r="P85" s="6" t="str">
        <f t="shared" si="7"/>
        <v>PERCENTAGE</v>
      </c>
    </row>
    <row r="86" spans="1:16" x14ac:dyDescent="0.25">
      <c r="A86" s="6" t="str">
        <f t="shared" si="5"/>
        <v>2024 JUL-OCT D75</v>
      </c>
      <c r="B86" s="7">
        <f t="shared" si="5"/>
        <v>46114</v>
      </c>
      <c r="C86" s="7">
        <f t="shared" si="5"/>
        <v>46120</v>
      </c>
      <c r="D86" s="6">
        <v>3280</v>
      </c>
      <c r="E86" s="6">
        <v>337</v>
      </c>
      <c r="F86" s="6">
        <v>4</v>
      </c>
      <c r="G86" s="34">
        <v>2</v>
      </c>
      <c r="H86" s="15">
        <v>80942</v>
      </c>
      <c r="I86" s="34" t="s">
        <v>1505</v>
      </c>
      <c r="J86" s="34">
        <v>25737786</v>
      </c>
      <c r="K86" s="15" t="s">
        <v>3967</v>
      </c>
      <c r="L86" s="15" t="s">
        <v>3994</v>
      </c>
      <c r="M86" s="33">
        <v>239900</v>
      </c>
      <c r="N86" s="9">
        <f t="shared" si="6"/>
        <v>0.75</v>
      </c>
      <c r="O86" s="42">
        <f t="shared" si="4"/>
        <v>59975</v>
      </c>
      <c r="P86" s="6" t="str">
        <f t="shared" si="7"/>
        <v>PERCENTAGE</v>
      </c>
    </row>
    <row r="87" spans="1:16" x14ac:dyDescent="0.25">
      <c r="A87" s="6" t="str">
        <f t="shared" si="5"/>
        <v>2024 JUL-OCT D75</v>
      </c>
      <c r="B87" s="7">
        <f t="shared" si="5"/>
        <v>46114</v>
      </c>
      <c r="C87" s="7">
        <f t="shared" si="5"/>
        <v>46120</v>
      </c>
      <c r="D87" s="6">
        <v>3280</v>
      </c>
      <c r="E87" s="6">
        <v>337</v>
      </c>
      <c r="F87" s="6">
        <v>4</v>
      </c>
      <c r="G87" s="34">
        <v>2</v>
      </c>
      <c r="H87" s="15">
        <v>80942</v>
      </c>
      <c r="I87" s="34" t="s">
        <v>1505</v>
      </c>
      <c r="J87" s="34">
        <v>25737795</v>
      </c>
      <c r="K87" s="15" t="s">
        <v>3967</v>
      </c>
      <c r="L87" s="15" t="s">
        <v>3995</v>
      </c>
      <c r="M87" s="33">
        <v>239900</v>
      </c>
      <c r="N87" s="9">
        <f t="shared" si="6"/>
        <v>0.75</v>
      </c>
      <c r="O87" s="42">
        <f t="shared" si="4"/>
        <v>59975</v>
      </c>
      <c r="P87" s="6" t="str">
        <f t="shared" si="7"/>
        <v>PERCENTAGE</v>
      </c>
    </row>
    <row r="88" spans="1:16" x14ac:dyDescent="0.25">
      <c r="A88" s="6" t="str">
        <f t="shared" si="5"/>
        <v>2024 JUL-OCT D75</v>
      </c>
      <c r="B88" s="7">
        <f t="shared" si="5"/>
        <v>46114</v>
      </c>
      <c r="C88" s="7">
        <f t="shared" si="5"/>
        <v>46120</v>
      </c>
      <c r="D88" s="6">
        <v>3280</v>
      </c>
      <c r="E88" s="6">
        <v>337</v>
      </c>
      <c r="F88" s="6">
        <v>4</v>
      </c>
      <c r="G88" s="34">
        <v>2</v>
      </c>
      <c r="H88" s="15">
        <v>80942</v>
      </c>
      <c r="I88" s="34" t="s">
        <v>1505</v>
      </c>
      <c r="J88" s="34">
        <v>25737802</v>
      </c>
      <c r="K88" s="15" t="s">
        <v>3967</v>
      </c>
      <c r="L88" s="15" t="s">
        <v>3996</v>
      </c>
      <c r="M88" s="33">
        <v>239900</v>
      </c>
      <c r="N88" s="9">
        <f t="shared" si="6"/>
        <v>0.75</v>
      </c>
      <c r="O88" s="42">
        <f t="shared" si="4"/>
        <v>59975</v>
      </c>
      <c r="P88" s="6" t="str">
        <f t="shared" si="7"/>
        <v>PERCENTAGE</v>
      </c>
    </row>
    <row r="89" spans="1:16" x14ac:dyDescent="0.25">
      <c r="A89" s="6" t="str">
        <f t="shared" si="5"/>
        <v>2024 JUL-OCT D75</v>
      </c>
      <c r="B89" s="7">
        <f t="shared" si="5"/>
        <v>46114</v>
      </c>
      <c r="C89" s="7">
        <f t="shared" si="5"/>
        <v>46120</v>
      </c>
      <c r="D89" s="6">
        <v>3280</v>
      </c>
      <c r="E89" s="6">
        <v>337</v>
      </c>
      <c r="F89" s="6">
        <v>4</v>
      </c>
      <c r="G89" s="34">
        <v>2</v>
      </c>
      <c r="H89" s="15">
        <v>80942</v>
      </c>
      <c r="I89" s="34" t="s">
        <v>1505</v>
      </c>
      <c r="J89" s="34">
        <v>25737811</v>
      </c>
      <c r="K89" s="15" t="s">
        <v>3967</v>
      </c>
      <c r="L89" s="15" t="s">
        <v>3997</v>
      </c>
      <c r="M89" s="33">
        <v>249900</v>
      </c>
      <c r="N89" s="9">
        <f t="shared" si="6"/>
        <v>0.75</v>
      </c>
      <c r="O89" s="42">
        <f t="shared" si="4"/>
        <v>62475</v>
      </c>
      <c r="P89" s="6" t="str">
        <f t="shared" si="7"/>
        <v>PERCENTAGE</v>
      </c>
    </row>
    <row r="90" spans="1:16" x14ac:dyDescent="0.25">
      <c r="A90" s="6" t="str">
        <f t="shared" si="5"/>
        <v>2024 JUL-OCT D75</v>
      </c>
      <c r="B90" s="7">
        <f t="shared" si="5"/>
        <v>46114</v>
      </c>
      <c r="C90" s="7">
        <f t="shared" si="5"/>
        <v>46120</v>
      </c>
      <c r="D90" s="6">
        <v>3280</v>
      </c>
      <c r="E90" s="6">
        <v>337</v>
      </c>
      <c r="F90" s="6">
        <v>4</v>
      </c>
      <c r="G90" s="34">
        <v>2</v>
      </c>
      <c r="H90" s="15">
        <v>80942</v>
      </c>
      <c r="I90" s="34" t="s">
        <v>1505</v>
      </c>
      <c r="J90" s="34">
        <v>25737820</v>
      </c>
      <c r="K90" s="15" t="s">
        <v>3967</v>
      </c>
      <c r="L90" s="15" t="s">
        <v>3998</v>
      </c>
      <c r="M90" s="33">
        <v>249900</v>
      </c>
      <c r="N90" s="9">
        <f t="shared" si="6"/>
        <v>0.75</v>
      </c>
      <c r="O90" s="42">
        <f t="shared" si="4"/>
        <v>62475</v>
      </c>
      <c r="P90" s="6" t="str">
        <f t="shared" si="7"/>
        <v>PERCENTAGE</v>
      </c>
    </row>
    <row r="91" spans="1:16" x14ac:dyDescent="0.25">
      <c r="A91" s="6" t="str">
        <f t="shared" si="5"/>
        <v>2024 JUL-OCT D75</v>
      </c>
      <c r="B91" s="7">
        <f t="shared" si="5"/>
        <v>46114</v>
      </c>
      <c r="C91" s="7">
        <f t="shared" si="5"/>
        <v>46120</v>
      </c>
      <c r="D91" s="6">
        <v>3280</v>
      </c>
      <c r="E91" s="6">
        <v>337</v>
      </c>
      <c r="F91" s="6">
        <v>4</v>
      </c>
      <c r="G91" s="34">
        <v>2</v>
      </c>
      <c r="H91" s="15">
        <v>80942</v>
      </c>
      <c r="I91" s="34" t="s">
        <v>1505</v>
      </c>
      <c r="J91" s="34">
        <v>25737839</v>
      </c>
      <c r="K91" s="15" t="s">
        <v>3967</v>
      </c>
      <c r="L91" s="15" t="s">
        <v>3999</v>
      </c>
      <c r="M91" s="33">
        <v>249900</v>
      </c>
      <c r="N91" s="9">
        <f t="shared" si="6"/>
        <v>0.75</v>
      </c>
      <c r="O91" s="42">
        <f t="shared" si="4"/>
        <v>62475</v>
      </c>
      <c r="P91" s="6" t="str">
        <f t="shared" si="7"/>
        <v>PERCENTAGE</v>
      </c>
    </row>
    <row r="92" spans="1:16" x14ac:dyDescent="0.25">
      <c r="A92" s="6" t="str">
        <f t="shared" si="5"/>
        <v>2024 JUL-OCT D75</v>
      </c>
      <c r="B92" s="7">
        <f t="shared" si="5"/>
        <v>46114</v>
      </c>
      <c r="C92" s="7">
        <f t="shared" si="5"/>
        <v>46120</v>
      </c>
      <c r="D92" s="6">
        <v>3280</v>
      </c>
      <c r="E92" s="6">
        <v>337</v>
      </c>
      <c r="F92" s="6">
        <v>4</v>
      </c>
      <c r="G92" s="34">
        <v>2</v>
      </c>
      <c r="H92" s="15">
        <v>81306</v>
      </c>
      <c r="I92" s="34" t="s">
        <v>1505</v>
      </c>
      <c r="J92" s="34">
        <v>45219012</v>
      </c>
      <c r="K92" s="15" t="s">
        <v>3968</v>
      </c>
      <c r="L92" s="15" t="s">
        <v>4000</v>
      </c>
      <c r="M92" s="33">
        <v>239900</v>
      </c>
      <c r="N92" s="9">
        <f t="shared" si="6"/>
        <v>0.75</v>
      </c>
      <c r="O92" s="42">
        <f t="shared" si="4"/>
        <v>59975</v>
      </c>
      <c r="P92" s="6" t="str">
        <f t="shared" si="7"/>
        <v>PERCENTAGE</v>
      </c>
    </row>
    <row r="93" spans="1:16" x14ac:dyDescent="0.25">
      <c r="A93" s="6" t="str">
        <f t="shared" si="5"/>
        <v>2024 JUL-OCT D75</v>
      </c>
      <c r="B93" s="7">
        <f t="shared" si="5"/>
        <v>46114</v>
      </c>
      <c r="C93" s="7">
        <f t="shared" si="5"/>
        <v>46120</v>
      </c>
      <c r="D93" s="6">
        <v>3280</v>
      </c>
      <c r="E93" s="6">
        <v>337</v>
      </c>
      <c r="F93" s="6">
        <v>4</v>
      </c>
      <c r="G93" s="34">
        <v>2</v>
      </c>
      <c r="H93" s="15">
        <v>81306</v>
      </c>
      <c r="I93" s="34" t="s">
        <v>1505</v>
      </c>
      <c r="J93" s="34">
        <v>45219021</v>
      </c>
      <c r="K93" s="15" t="s">
        <v>3968</v>
      </c>
      <c r="L93" s="15" t="s">
        <v>4001</v>
      </c>
      <c r="M93" s="33">
        <v>239900</v>
      </c>
      <c r="N93" s="9">
        <f t="shared" si="6"/>
        <v>0.75</v>
      </c>
      <c r="O93" s="42">
        <f t="shared" si="4"/>
        <v>59975</v>
      </c>
      <c r="P93" s="6" t="str">
        <f t="shared" si="7"/>
        <v>PERCENTAGE</v>
      </c>
    </row>
    <row r="94" spans="1:16" x14ac:dyDescent="0.25">
      <c r="A94" s="6" t="str">
        <f t="shared" si="5"/>
        <v>2024 JUL-OCT D75</v>
      </c>
      <c r="B94" s="7">
        <f t="shared" si="5"/>
        <v>46114</v>
      </c>
      <c r="C94" s="7">
        <f t="shared" si="5"/>
        <v>46120</v>
      </c>
      <c r="D94" s="6">
        <v>3280</v>
      </c>
      <c r="E94" s="6">
        <v>337</v>
      </c>
      <c r="F94" s="6">
        <v>4</v>
      </c>
      <c r="G94" s="34">
        <v>2</v>
      </c>
      <c r="H94" s="15">
        <v>81306</v>
      </c>
      <c r="I94" s="34" t="s">
        <v>1505</v>
      </c>
      <c r="J94" s="15">
        <v>45219030</v>
      </c>
      <c r="K94" s="15" t="s">
        <v>3968</v>
      </c>
      <c r="L94" s="15" t="s">
        <v>4002</v>
      </c>
      <c r="M94" s="33">
        <v>239900</v>
      </c>
      <c r="N94" s="9">
        <f t="shared" si="6"/>
        <v>0.75</v>
      </c>
      <c r="O94" s="42">
        <f t="shared" si="4"/>
        <v>59975</v>
      </c>
      <c r="P94" s="6" t="str">
        <f t="shared" si="7"/>
        <v>PERCENTAGE</v>
      </c>
    </row>
    <row r="95" spans="1:16" x14ac:dyDescent="0.25">
      <c r="A95" s="6" t="str">
        <f t="shared" si="5"/>
        <v>2024 JUL-OCT D75</v>
      </c>
      <c r="B95" s="7">
        <f t="shared" si="5"/>
        <v>46114</v>
      </c>
      <c r="C95" s="7">
        <f t="shared" si="5"/>
        <v>46120</v>
      </c>
      <c r="D95" s="6">
        <v>3280</v>
      </c>
      <c r="E95" s="6">
        <v>337</v>
      </c>
      <c r="F95" s="6">
        <v>4</v>
      </c>
      <c r="G95" s="34">
        <v>2</v>
      </c>
      <c r="H95" s="15">
        <v>81306</v>
      </c>
      <c r="I95" s="34" t="s">
        <v>1505</v>
      </c>
      <c r="J95" s="15">
        <v>45219049</v>
      </c>
      <c r="K95" s="15" t="s">
        <v>3968</v>
      </c>
      <c r="L95" s="15" t="s">
        <v>4003</v>
      </c>
      <c r="M95" s="33">
        <v>249900</v>
      </c>
      <c r="N95" s="9">
        <f t="shared" si="6"/>
        <v>0.75</v>
      </c>
      <c r="O95" s="42">
        <f t="shared" si="4"/>
        <v>62475</v>
      </c>
      <c r="P95" s="6" t="str">
        <f t="shared" si="7"/>
        <v>PERCENTAGE</v>
      </c>
    </row>
    <row r="96" spans="1:16" x14ac:dyDescent="0.25">
      <c r="A96" s="6" t="str">
        <f t="shared" si="5"/>
        <v>2024 JUL-OCT D75</v>
      </c>
      <c r="B96" s="7">
        <f t="shared" si="5"/>
        <v>46114</v>
      </c>
      <c r="C96" s="7">
        <f t="shared" si="5"/>
        <v>46120</v>
      </c>
      <c r="D96" s="6">
        <v>3280</v>
      </c>
      <c r="E96" s="6">
        <v>337</v>
      </c>
      <c r="F96" s="6">
        <v>4</v>
      </c>
      <c r="G96" s="34">
        <v>2</v>
      </c>
      <c r="H96" s="15">
        <v>81306</v>
      </c>
      <c r="I96" s="34" t="s">
        <v>1505</v>
      </c>
      <c r="J96" s="15">
        <v>45219058</v>
      </c>
      <c r="K96" s="15" t="s">
        <v>3968</v>
      </c>
      <c r="L96" s="15" t="s">
        <v>4004</v>
      </c>
      <c r="M96" s="33">
        <v>249900</v>
      </c>
      <c r="N96" s="9">
        <f t="shared" si="6"/>
        <v>0.75</v>
      </c>
      <c r="O96" s="42">
        <f t="shared" si="4"/>
        <v>62475</v>
      </c>
      <c r="P96" s="6" t="str">
        <f t="shared" si="7"/>
        <v>PERCENTAGE</v>
      </c>
    </row>
    <row r="97" spans="1:16" x14ac:dyDescent="0.25">
      <c r="A97" s="6" t="str">
        <f t="shared" si="5"/>
        <v>2024 JUL-OCT D75</v>
      </c>
      <c r="B97" s="7">
        <f t="shared" si="5"/>
        <v>46114</v>
      </c>
      <c r="C97" s="7">
        <f t="shared" si="5"/>
        <v>46120</v>
      </c>
      <c r="D97" s="6">
        <v>3280</v>
      </c>
      <c r="E97" s="6">
        <v>337</v>
      </c>
      <c r="F97" s="6">
        <v>4</v>
      </c>
      <c r="G97" s="34">
        <v>2</v>
      </c>
      <c r="H97" s="15">
        <v>81306</v>
      </c>
      <c r="I97" s="34" t="s">
        <v>1505</v>
      </c>
      <c r="J97" s="15">
        <v>45219067</v>
      </c>
      <c r="K97" s="15" t="s">
        <v>3968</v>
      </c>
      <c r="L97" s="15" t="s">
        <v>4005</v>
      </c>
      <c r="M97" s="33">
        <v>249900</v>
      </c>
      <c r="N97" s="9">
        <f t="shared" si="6"/>
        <v>0.75</v>
      </c>
      <c r="O97" s="42">
        <f t="shared" si="4"/>
        <v>62475</v>
      </c>
      <c r="P97" s="6" t="str">
        <f t="shared" si="7"/>
        <v>PERCENTAGE</v>
      </c>
    </row>
    <row r="98" spans="1:16" x14ac:dyDescent="0.25">
      <c r="A98" s="6" t="str">
        <f t="shared" si="5"/>
        <v>2024 JUL-OCT D75</v>
      </c>
      <c r="B98" s="7">
        <f t="shared" si="5"/>
        <v>46114</v>
      </c>
      <c r="C98" s="7">
        <f t="shared" si="5"/>
        <v>46120</v>
      </c>
      <c r="D98" s="6">
        <v>3280</v>
      </c>
      <c r="E98" s="6">
        <v>337</v>
      </c>
      <c r="F98" s="6">
        <v>4</v>
      </c>
      <c r="G98" s="34">
        <v>2</v>
      </c>
      <c r="H98" s="15">
        <v>81306</v>
      </c>
      <c r="I98" s="34" t="s">
        <v>1505</v>
      </c>
      <c r="J98" s="34">
        <v>15396771</v>
      </c>
      <c r="K98" s="15" t="s">
        <v>3906</v>
      </c>
      <c r="L98" s="15" t="s">
        <v>3908</v>
      </c>
      <c r="M98" s="33">
        <v>239900</v>
      </c>
      <c r="N98" s="9">
        <f t="shared" si="6"/>
        <v>0.75</v>
      </c>
      <c r="O98" s="42">
        <f t="shared" si="4"/>
        <v>59975</v>
      </c>
      <c r="P98" s="6" t="str">
        <f t="shared" si="7"/>
        <v>PERCENTAGE</v>
      </c>
    </row>
    <row r="99" spans="1:16" x14ac:dyDescent="0.25">
      <c r="A99" s="6" t="str">
        <f t="shared" si="5"/>
        <v>2024 JUL-OCT D75</v>
      </c>
      <c r="B99" s="7">
        <f t="shared" si="5"/>
        <v>46114</v>
      </c>
      <c r="C99" s="7">
        <f t="shared" si="5"/>
        <v>46120</v>
      </c>
      <c r="D99" s="6">
        <v>3280</v>
      </c>
      <c r="E99" s="6">
        <v>337</v>
      </c>
      <c r="F99" s="6">
        <v>4</v>
      </c>
      <c r="G99" s="34">
        <v>2</v>
      </c>
      <c r="H99" s="15">
        <v>81306</v>
      </c>
      <c r="I99" s="34" t="s">
        <v>1505</v>
      </c>
      <c r="J99" s="34">
        <v>15396780</v>
      </c>
      <c r="K99" s="15" t="s">
        <v>3906</v>
      </c>
      <c r="L99" s="15" t="s">
        <v>3909</v>
      </c>
      <c r="M99" s="33">
        <v>239900</v>
      </c>
      <c r="N99" s="9">
        <f t="shared" si="6"/>
        <v>0.75</v>
      </c>
      <c r="O99" s="42">
        <f t="shared" si="4"/>
        <v>59975</v>
      </c>
      <c r="P99" s="6" t="str">
        <f t="shared" si="7"/>
        <v>PERCENTAGE</v>
      </c>
    </row>
    <row r="100" spans="1:16" x14ac:dyDescent="0.25">
      <c r="A100" s="6" t="str">
        <f t="shared" si="5"/>
        <v>2024 JUL-OCT D75</v>
      </c>
      <c r="B100" s="7">
        <f t="shared" si="5"/>
        <v>46114</v>
      </c>
      <c r="C100" s="7">
        <f t="shared" si="5"/>
        <v>46120</v>
      </c>
      <c r="D100" s="6">
        <v>3280</v>
      </c>
      <c r="E100" s="6">
        <v>337</v>
      </c>
      <c r="F100" s="6">
        <v>4</v>
      </c>
      <c r="G100" s="34">
        <v>2</v>
      </c>
      <c r="H100" s="15">
        <v>81306</v>
      </c>
      <c r="I100" s="34" t="s">
        <v>1505</v>
      </c>
      <c r="J100" s="34">
        <v>15396799</v>
      </c>
      <c r="K100" s="15" t="s">
        <v>3906</v>
      </c>
      <c r="L100" s="15" t="s">
        <v>3910</v>
      </c>
      <c r="M100" s="33">
        <v>239900</v>
      </c>
      <c r="N100" s="9">
        <f t="shared" si="6"/>
        <v>0.75</v>
      </c>
      <c r="O100" s="42">
        <f t="shared" si="4"/>
        <v>59975</v>
      </c>
      <c r="P100" s="6" t="str">
        <f t="shared" si="7"/>
        <v>PERCENTAGE</v>
      </c>
    </row>
    <row r="101" spans="1:16" x14ac:dyDescent="0.25">
      <c r="A101" s="6" t="str">
        <f t="shared" si="5"/>
        <v>2024 JUL-OCT D75</v>
      </c>
      <c r="B101" s="7">
        <f t="shared" si="5"/>
        <v>46114</v>
      </c>
      <c r="C101" s="7">
        <f t="shared" si="5"/>
        <v>46120</v>
      </c>
      <c r="D101" s="6">
        <v>3280</v>
      </c>
      <c r="E101" s="6">
        <v>337</v>
      </c>
      <c r="F101" s="6">
        <v>4</v>
      </c>
      <c r="G101" s="34">
        <v>2</v>
      </c>
      <c r="H101" s="15">
        <v>81306</v>
      </c>
      <c r="I101" s="34" t="s">
        <v>1505</v>
      </c>
      <c r="J101" s="34">
        <v>15396806</v>
      </c>
      <c r="K101" s="15" t="s">
        <v>3906</v>
      </c>
      <c r="L101" s="15" t="s">
        <v>3911</v>
      </c>
      <c r="M101" s="33">
        <v>249900</v>
      </c>
      <c r="N101" s="9">
        <f t="shared" si="6"/>
        <v>0.75</v>
      </c>
      <c r="O101" s="42">
        <f t="shared" si="4"/>
        <v>62475</v>
      </c>
      <c r="P101" s="6" t="str">
        <f t="shared" si="7"/>
        <v>PERCENTAGE</v>
      </c>
    </row>
    <row r="102" spans="1:16" x14ac:dyDescent="0.25">
      <c r="A102" s="6" t="str">
        <f t="shared" si="5"/>
        <v>2024 JUL-OCT D75</v>
      </c>
      <c r="B102" s="7">
        <f t="shared" si="5"/>
        <v>46114</v>
      </c>
      <c r="C102" s="7">
        <f t="shared" si="5"/>
        <v>46120</v>
      </c>
      <c r="D102" s="6">
        <v>3280</v>
      </c>
      <c r="E102" s="6">
        <v>337</v>
      </c>
      <c r="F102" s="6">
        <v>4</v>
      </c>
      <c r="G102" s="34">
        <v>2</v>
      </c>
      <c r="H102" s="15">
        <v>81306</v>
      </c>
      <c r="I102" s="34" t="s">
        <v>1505</v>
      </c>
      <c r="J102" s="34">
        <v>15396815</v>
      </c>
      <c r="K102" s="15" t="s">
        <v>3906</v>
      </c>
      <c r="L102" s="15" t="s">
        <v>3912</v>
      </c>
      <c r="M102" s="33">
        <v>249900</v>
      </c>
      <c r="N102" s="9">
        <f t="shared" si="6"/>
        <v>0.75</v>
      </c>
      <c r="O102" s="42">
        <f t="shared" si="4"/>
        <v>62475</v>
      </c>
      <c r="P102" s="6" t="str">
        <f t="shared" si="7"/>
        <v>PERCENTAGE</v>
      </c>
    </row>
    <row r="103" spans="1:16" x14ac:dyDescent="0.25">
      <c r="A103" s="6" t="str">
        <f t="shared" si="5"/>
        <v>2024 JUL-OCT D75</v>
      </c>
      <c r="B103" s="7">
        <f t="shared" si="5"/>
        <v>46114</v>
      </c>
      <c r="C103" s="7">
        <f t="shared" si="5"/>
        <v>46120</v>
      </c>
      <c r="D103" s="6">
        <v>3280</v>
      </c>
      <c r="E103" s="6">
        <v>337</v>
      </c>
      <c r="F103" s="6">
        <v>4</v>
      </c>
      <c r="G103" s="34">
        <v>2</v>
      </c>
      <c r="H103" s="15">
        <v>81306</v>
      </c>
      <c r="I103" s="34" t="s">
        <v>1505</v>
      </c>
      <c r="J103" s="34">
        <v>15396824</v>
      </c>
      <c r="K103" s="15" t="s">
        <v>3906</v>
      </c>
      <c r="L103" s="15" t="s">
        <v>3913</v>
      </c>
      <c r="M103" s="33">
        <v>249900</v>
      </c>
      <c r="N103" s="9">
        <f t="shared" si="6"/>
        <v>0.75</v>
      </c>
      <c r="O103" s="42">
        <f t="shared" si="4"/>
        <v>62475</v>
      </c>
      <c r="P103" s="6" t="str">
        <f t="shared" si="7"/>
        <v>PERCENTAGE</v>
      </c>
    </row>
    <row r="104" spans="1:16" x14ac:dyDescent="0.25">
      <c r="A104" s="6" t="str">
        <f t="shared" si="5"/>
        <v>2024 JUL-OCT D75</v>
      </c>
      <c r="B104" s="7">
        <f t="shared" si="5"/>
        <v>46114</v>
      </c>
      <c r="C104" s="7">
        <f t="shared" si="5"/>
        <v>46120</v>
      </c>
      <c r="D104" s="6">
        <v>3280</v>
      </c>
      <c r="E104" s="6">
        <v>337</v>
      </c>
      <c r="F104" s="6">
        <v>4</v>
      </c>
      <c r="G104" s="34">
        <v>2</v>
      </c>
      <c r="H104" s="15">
        <v>81306</v>
      </c>
      <c r="I104" s="34" t="s">
        <v>1505</v>
      </c>
      <c r="J104" s="34">
        <v>15397010</v>
      </c>
      <c r="K104" s="15" t="s">
        <v>3907</v>
      </c>
      <c r="L104" s="15" t="s">
        <v>3914</v>
      </c>
      <c r="M104" s="33">
        <v>239900</v>
      </c>
      <c r="N104" s="9">
        <f t="shared" si="6"/>
        <v>0.75</v>
      </c>
      <c r="O104" s="42">
        <f t="shared" si="4"/>
        <v>59975</v>
      </c>
      <c r="P104" s="6" t="str">
        <f t="shared" si="7"/>
        <v>PERCENTAGE</v>
      </c>
    </row>
    <row r="105" spans="1:16" x14ac:dyDescent="0.25">
      <c r="A105" s="6" t="str">
        <f t="shared" si="5"/>
        <v>2024 JUL-OCT D75</v>
      </c>
      <c r="B105" s="7">
        <f t="shared" si="5"/>
        <v>46114</v>
      </c>
      <c r="C105" s="7">
        <f t="shared" si="5"/>
        <v>46120</v>
      </c>
      <c r="D105" s="6">
        <v>3280</v>
      </c>
      <c r="E105" s="6">
        <v>337</v>
      </c>
      <c r="F105" s="6">
        <v>4</v>
      </c>
      <c r="G105" s="34">
        <v>2</v>
      </c>
      <c r="H105" s="15">
        <v>81306</v>
      </c>
      <c r="I105" s="34" t="s">
        <v>1505</v>
      </c>
      <c r="J105" s="34">
        <v>15397029</v>
      </c>
      <c r="K105" s="15" t="s">
        <v>3907</v>
      </c>
      <c r="L105" s="15" t="s">
        <v>3915</v>
      </c>
      <c r="M105" s="33">
        <v>239900</v>
      </c>
      <c r="N105" s="9">
        <f t="shared" si="6"/>
        <v>0.75</v>
      </c>
      <c r="O105" s="42">
        <f t="shared" si="4"/>
        <v>59975</v>
      </c>
      <c r="P105" s="6" t="str">
        <f t="shared" si="7"/>
        <v>PERCENTAGE</v>
      </c>
    </row>
    <row r="106" spans="1:16" x14ac:dyDescent="0.25">
      <c r="A106" s="6" t="str">
        <f t="shared" si="5"/>
        <v>2024 JUL-OCT D75</v>
      </c>
      <c r="B106" s="7">
        <f t="shared" si="5"/>
        <v>46114</v>
      </c>
      <c r="C106" s="7">
        <f t="shared" si="5"/>
        <v>46120</v>
      </c>
      <c r="D106" s="6">
        <v>3280</v>
      </c>
      <c r="E106" s="6">
        <v>337</v>
      </c>
      <c r="F106" s="6">
        <v>4</v>
      </c>
      <c r="G106" s="34">
        <v>2</v>
      </c>
      <c r="H106" s="15">
        <v>81306</v>
      </c>
      <c r="I106" s="34" t="s">
        <v>1505</v>
      </c>
      <c r="J106" s="34">
        <v>15397038</v>
      </c>
      <c r="K106" s="15" t="s">
        <v>3907</v>
      </c>
      <c r="L106" s="15" t="s">
        <v>3916</v>
      </c>
      <c r="M106" s="33">
        <v>239900</v>
      </c>
      <c r="N106" s="9">
        <f t="shared" si="6"/>
        <v>0.75</v>
      </c>
      <c r="O106" s="42">
        <f t="shared" si="4"/>
        <v>59975</v>
      </c>
      <c r="P106" s="6" t="str">
        <f t="shared" si="7"/>
        <v>PERCENTAGE</v>
      </c>
    </row>
    <row r="107" spans="1:16" x14ac:dyDescent="0.25">
      <c r="A107" s="6" t="str">
        <f t="shared" si="5"/>
        <v>2024 JUL-OCT D75</v>
      </c>
      <c r="B107" s="7">
        <f t="shared" si="5"/>
        <v>46114</v>
      </c>
      <c r="C107" s="7">
        <f t="shared" si="5"/>
        <v>46120</v>
      </c>
      <c r="D107" s="6">
        <v>3280</v>
      </c>
      <c r="E107" s="6">
        <v>337</v>
      </c>
      <c r="F107" s="6">
        <v>4</v>
      </c>
      <c r="G107" s="34">
        <v>2</v>
      </c>
      <c r="H107" s="15">
        <v>81306</v>
      </c>
      <c r="I107" s="34" t="s">
        <v>1505</v>
      </c>
      <c r="J107" s="34">
        <v>15397047</v>
      </c>
      <c r="K107" s="15" t="s">
        <v>3907</v>
      </c>
      <c r="L107" s="15" t="s">
        <v>3917</v>
      </c>
      <c r="M107" s="33">
        <v>249900</v>
      </c>
      <c r="N107" s="9">
        <f t="shared" si="6"/>
        <v>0.75</v>
      </c>
      <c r="O107" s="42">
        <f t="shared" si="4"/>
        <v>62475</v>
      </c>
      <c r="P107" s="6" t="str">
        <f t="shared" si="7"/>
        <v>PERCENTAGE</v>
      </c>
    </row>
    <row r="108" spans="1:16" x14ac:dyDescent="0.25">
      <c r="A108" s="6" t="str">
        <f t="shared" si="5"/>
        <v>2024 JUL-OCT D75</v>
      </c>
      <c r="B108" s="7">
        <f t="shared" si="5"/>
        <v>46114</v>
      </c>
      <c r="C108" s="7">
        <f t="shared" si="5"/>
        <v>46120</v>
      </c>
      <c r="D108" s="6">
        <v>3280</v>
      </c>
      <c r="E108" s="6">
        <v>337</v>
      </c>
      <c r="F108" s="6">
        <v>4</v>
      </c>
      <c r="G108" s="34">
        <v>2</v>
      </c>
      <c r="H108" s="15">
        <v>81306</v>
      </c>
      <c r="I108" s="34" t="s">
        <v>1505</v>
      </c>
      <c r="J108" s="34">
        <v>15397056</v>
      </c>
      <c r="K108" s="15" t="s">
        <v>3907</v>
      </c>
      <c r="L108" s="15" t="s">
        <v>3918</v>
      </c>
      <c r="M108" s="33">
        <v>249900</v>
      </c>
      <c r="N108" s="9">
        <f t="shared" si="6"/>
        <v>0.75</v>
      </c>
      <c r="O108" s="42">
        <f t="shared" si="4"/>
        <v>62475</v>
      </c>
      <c r="P108" s="6" t="str">
        <f t="shared" si="7"/>
        <v>PERCENTAGE</v>
      </c>
    </row>
    <row r="109" spans="1:16" x14ac:dyDescent="0.25">
      <c r="A109" s="6" t="str">
        <f t="shared" si="5"/>
        <v>2024 JUL-OCT D75</v>
      </c>
      <c r="B109" s="7">
        <f t="shared" si="5"/>
        <v>46114</v>
      </c>
      <c r="C109" s="7">
        <f t="shared" si="5"/>
        <v>46120</v>
      </c>
      <c r="D109" s="6">
        <v>3280</v>
      </c>
      <c r="E109" s="6">
        <v>337</v>
      </c>
      <c r="F109" s="6">
        <v>4</v>
      </c>
      <c r="G109" s="34">
        <v>2</v>
      </c>
      <c r="H109" s="15">
        <v>81306</v>
      </c>
      <c r="I109" s="34" t="s">
        <v>1505</v>
      </c>
      <c r="J109" s="34">
        <v>15397065</v>
      </c>
      <c r="K109" s="15" t="s">
        <v>3907</v>
      </c>
      <c r="L109" s="15" t="s">
        <v>3919</v>
      </c>
      <c r="M109" s="33">
        <v>249900</v>
      </c>
      <c r="N109" s="9">
        <f t="shared" si="6"/>
        <v>0.75</v>
      </c>
      <c r="O109" s="42">
        <f t="shared" si="4"/>
        <v>62475</v>
      </c>
      <c r="P109" s="6" t="str">
        <f t="shared" si="7"/>
        <v>PERCENTAGE</v>
      </c>
    </row>
  </sheetData>
  <conditionalFormatting sqref="J1">
    <cfRule type="duplicateValues" dxfId="13" priority="2"/>
    <cfRule type="duplicateValues" dxfId="12" priority="3"/>
    <cfRule type="duplicateValues" dxfId="11" priority="4"/>
    <cfRule type="duplicateValues" dxfId="10" priority="5"/>
  </conditionalFormatting>
  <conditionalFormatting sqref="J2:J109">
    <cfRule type="duplicateValues" dxfId="9" priority="1"/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67BD3-E26D-4046-A038-559AF61EA470}">
  <dimension ref="A1:P61"/>
  <sheetViews>
    <sheetView zoomScale="85" zoomScaleNormal="85" workbookViewId="0">
      <selection activeCell="L19" sqref="L19"/>
    </sheetView>
  </sheetViews>
  <sheetFormatPr defaultRowHeight="15" x14ac:dyDescent="0.25"/>
  <cols>
    <col min="1" max="1" width="22" bestFit="1" customWidth="1"/>
    <col min="2" max="2" width="15.28515625" bestFit="1" customWidth="1"/>
    <col min="3" max="3" width="13.28515625" bestFit="1" customWidth="1"/>
    <col min="4" max="4" width="7.42578125" bestFit="1" customWidth="1"/>
    <col min="5" max="5" width="7.28515625" bestFit="1" customWidth="1"/>
    <col min="6" max="6" width="8.42578125" bestFit="1" customWidth="1"/>
    <col min="7" max="7" width="6.28515625" bestFit="1" customWidth="1"/>
    <col min="8" max="8" width="8.7109375" bestFit="1" customWidth="1"/>
    <col min="9" max="9" width="12.7109375" bestFit="1" customWidth="1"/>
    <col min="10" max="10" width="11.28515625" bestFit="1" customWidth="1"/>
    <col min="11" max="11" width="19.42578125" customWidth="1"/>
    <col min="12" max="12" width="82" bestFit="1" customWidth="1"/>
    <col min="13" max="13" width="19.7109375" bestFit="1" customWidth="1"/>
    <col min="14" max="16" width="20.5703125" style="47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s="2" customFormat="1" x14ac:dyDescent="0.25">
      <c r="A2" s="6" t="s">
        <v>4425</v>
      </c>
      <c r="B2" s="7">
        <f>'2019 ALL D95'!B2</f>
        <v>46114</v>
      </c>
      <c r="C2" s="7">
        <f>'2019 ALL D95'!C2</f>
        <v>46120</v>
      </c>
      <c r="D2" s="6">
        <v>3280</v>
      </c>
      <c r="E2" s="6">
        <v>337</v>
      </c>
      <c r="F2" s="6">
        <v>4</v>
      </c>
      <c r="G2" s="34">
        <v>1</v>
      </c>
      <c r="H2" s="34">
        <v>81698</v>
      </c>
      <c r="I2" s="34" t="s">
        <v>1505</v>
      </c>
      <c r="J2" s="35">
        <v>45812755</v>
      </c>
      <c r="K2" s="34" t="s">
        <v>4199</v>
      </c>
      <c r="L2" s="34" t="s">
        <v>4187</v>
      </c>
      <c r="M2" s="33">
        <v>279900</v>
      </c>
      <c r="N2" s="9">
        <v>0.75</v>
      </c>
      <c r="O2" s="46">
        <f>M2-((75*M2)/100)</f>
        <v>69975</v>
      </c>
      <c r="P2" s="6" t="s">
        <v>15</v>
      </c>
    </row>
    <row r="3" spans="1:16" x14ac:dyDescent="0.25">
      <c r="A3" s="6" t="str">
        <f t="shared" ref="A3:C23" si="0">A2</f>
        <v>2024 NOV-DEC D75</v>
      </c>
      <c r="B3" s="7">
        <f>B2</f>
        <v>46114</v>
      </c>
      <c r="C3" s="7">
        <f>C2</f>
        <v>46120</v>
      </c>
      <c r="D3" s="6">
        <v>3280</v>
      </c>
      <c r="E3" s="6">
        <v>337</v>
      </c>
      <c r="F3" s="6">
        <v>4</v>
      </c>
      <c r="G3" s="34">
        <v>1</v>
      </c>
      <c r="H3" s="34">
        <v>81698</v>
      </c>
      <c r="I3" s="34" t="s">
        <v>1505</v>
      </c>
      <c r="J3" s="35">
        <v>45812764</v>
      </c>
      <c r="K3" s="34" t="s">
        <v>4199</v>
      </c>
      <c r="L3" s="34" t="s">
        <v>4188</v>
      </c>
      <c r="M3" s="33">
        <v>279900</v>
      </c>
      <c r="N3" s="9">
        <f>N2</f>
        <v>0.75</v>
      </c>
      <c r="O3" s="46">
        <f t="shared" ref="O3:O61" si="1">M3-((75*M3)/100)</f>
        <v>69975</v>
      </c>
      <c r="P3" s="6" t="str">
        <f>P2</f>
        <v>PERCENTAGE</v>
      </c>
    </row>
    <row r="4" spans="1:16" x14ac:dyDescent="0.25">
      <c r="A4" s="6" t="str">
        <f t="shared" si="0"/>
        <v>2024 NOV-DEC D75</v>
      </c>
      <c r="B4" s="7">
        <f t="shared" si="0"/>
        <v>46114</v>
      </c>
      <c r="C4" s="7">
        <f t="shared" si="0"/>
        <v>46120</v>
      </c>
      <c r="D4" s="6">
        <v>3280</v>
      </c>
      <c r="E4" s="6">
        <v>337</v>
      </c>
      <c r="F4" s="6">
        <v>4</v>
      </c>
      <c r="G4" s="34">
        <v>1</v>
      </c>
      <c r="H4" s="34">
        <v>81698</v>
      </c>
      <c r="I4" s="34" t="s">
        <v>1505</v>
      </c>
      <c r="J4" s="35">
        <v>45812773</v>
      </c>
      <c r="K4" s="34" t="s">
        <v>4199</v>
      </c>
      <c r="L4" s="34" t="s">
        <v>4189</v>
      </c>
      <c r="M4" s="33">
        <v>279900</v>
      </c>
      <c r="N4" s="9">
        <f t="shared" ref="N4:N61" si="2">N3</f>
        <v>0.75</v>
      </c>
      <c r="O4" s="46">
        <f t="shared" si="1"/>
        <v>69975</v>
      </c>
      <c r="P4" s="6" t="str">
        <f t="shared" ref="P4:P61" si="3">P3</f>
        <v>PERCENTAGE</v>
      </c>
    </row>
    <row r="5" spans="1:16" x14ac:dyDescent="0.25">
      <c r="A5" s="6" t="str">
        <f t="shared" si="0"/>
        <v>2024 NOV-DEC D75</v>
      </c>
      <c r="B5" s="7">
        <f t="shared" si="0"/>
        <v>46114</v>
      </c>
      <c r="C5" s="7">
        <f t="shared" si="0"/>
        <v>46120</v>
      </c>
      <c r="D5" s="6">
        <v>3280</v>
      </c>
      <c r="E5" s="6">
        <v>337</v>
      </c>
      <c r="F5" s="6">
        <v>4</v>
      </c>
      <c r="G5" s="34">
        <v>1</v>
      </c>
      <c r="H5" s="34">
        <v>81698</v>
      </c>
      <c r="I5" s="34" t="s">
        <v>1505</v>
      </c>
      <c r="J5" s="35">
        <v>45812782</v>
      </c>
      <c r="K5" s="34" t="s">
        <v>4199</v>
      </c>
      <c r="L5" s="34" t="s">
        <v>4190</v>
      </c>
      <c r="M5" s="33">
        <v>289900</v>
      </c>
      <c r="N5" s="9">
        <f t="shared" si="2"/>
        <v>0.75</v>
      </c>
      <c r="O5" s="46">
        <f t="shared" si="1"/>
        <v>72475</v>
      </c>
      <c r="P5" s="6" t="str">
        <f t="shared" si="3"/>
        <v>PERCENTAGE</v>
      </c>
    </row>
    <row r="6" spans="1:16" x14ac:dyDescent="0.25">
      <c r="A6" s="6" t="str">
        <f t="shared" si="0"/>
        <v>2024 NOV-DEC D75</v>
      </c>
      <c r="B6" s="7">
        <f t="shared" si="0"/>
        <v>46114</v>
      </c>
      <c r="C6" s="7">
        <f t="shared" si="0"/>
        <v>46120</v>
      </c>
      <c r="D6" s="6">
        <v>3280</v>
      </c>
      <c r="E6" s="6">
        <v>337</v>
      </c>
      <c r="F6" s="6">
        <v>4</v>
      </c>
      <c r="G6" s="34">
        <v>1</v>
      </c>
      <c r="H6" s="34">
        <v>81698</v>
      </c>
      <c r="I6" s="34" t="s">
        <v>1505</v>
      </c>
      <c r="J6" s="35">
        <v>45812791</v>
      </c>
      <c r="K6" s="34" t="s">
        <v>4199</v>
      </c>
      <c r="L6" s="34" t="s">
        <v>4191</v>
      </c>
      <c r="M6" s="33">
        <v>289900</v>
      </c>
      <c r="N6" s="9">
        <f t="shared" si="2"/>
        <v>0.75</v>
      </c>
      <c r="O6" s="46">
        <f t="shared" si="1"/>
        <v>72475</v>
      </c>
      <c r="P6" s="6" t="str">
        <f t="shared" si="3"/>
        <v>PERCENTAGE</v>
      </c>
    </row>
    <row r="7" spans="1:16" x14ac:dyDescent="0.25">
      <c r="A7" s="6" t="str">
        <f t="shared" si="0"/>
        <v>2024 NOV-DEC D75</v>
      </c>
      <c r="B7" s="7">
        <f t="shared" si="0"/>
        <v>46114</v>
      </c>
      <c r="C7" s="7">
        <f t="shared" si="0"/>
        <v>46120</v>
      </c>
      <c r="D7" s="6">
        <v>3280</v>
      </c>
      <c r="E7" s="6">
        <v>337</v>
      </c>
      <c r="F7" s="6">
        <v>4</v>
      </c>
      <c r="G7" s="34">
        <v>1</v>
      </c>
      <c r="H7" s="34">
        <v>81698</v>
      </c>
      <c r="I7" s="34" t="s">
        <v>1505</v>
      </c>
      <c r="J7" s="35">
        <v>45812808</v>
      </c>
      <c r="K7" s="34" t="s">
        <v>4199</v>
      </c>
      <c r="L7" s="34" t="s">
        <v>4192</v>
      </c>
      <c r="M7" s="33">
        <v>289900</v>
      </c>
      <c r="N7" s="9">
        <f t="shared" si="2"/>
        <v>0.75</v>
      </c>
      <c r="O7" s="46">
        <f t="shared" si="1"/>
        <v>72475</v>
      </c>
      <c r="P7" s="6" t="str">
        <f t="shared" si="3"/>
        <v>PERCENTAGE</v>
      </c>
    </row>
    <row r="8" spans="1:16" x14ac:dyDescent="0.25">
      <c r="A8" s="6" t="str">
        <f t="shared" si="0"/>
        <v>2024 NOV-DEC D75</v>
      </c>
      <c r="B8" s="7">
        <f t="shared" si="0"/>
        <v>46114</v>
      </c>
      <c r="C8" s="7">
        <f t="shared" si="0"/>
        <v>46120</v>
      </c>
      <c r="D8" s="6">
        <v>3280</v>
      </c>
      <c r="E8" s="6">
        <v>337</v>
      </c>
      <c r="F8" s="6">
        <v>4</v>
      </c>
      <c r="G8" s="34">
        <v>1</v>
      </c>
      <c r="H8" s="34">
        <v>81698</v>
      </c>
      <c r="I8" s="34" t="s">
        <v>1505</v>
      </c>
      <c r="J8" s="35">
        <v>45463267</v>
      </c>
      <c r="K8" s="34" t="s">
        <v>4200</v>
      </c>
      <c r="L8" s="34" t="s">
        <v>4193</v>
      </c>
      <c r="M8" s="33">
        <v>279900</v>
      </c>
      <c r="N8" s="9">
        <f t="shared" si="2"/>
        <v>0.75</v>
      </c>
      <c r="O8" s="46">
        <f t="shared" si="1"/>
        <v>69975</v>
      </c>
      <c r="P8" s="6" t="str">
        <f t="shared" si="3"/>
        <v>PERCENTAGE</v>
      </c>
    </row>
    <row r="9" spans="1:16" x14ac:dyDescent="0.25">
      <c r="A9" s="6" t="str">
        <f t="shared" si="0"/>
        <v>2024 NOV-DEC D75</v>
      </c>
      <c r="B9" s="7">
        <f t="shared" si="0"/>
        <v>46114</v>
      </c>
      <c r="C9" s="7">
        <f t="shared" si="0"/>
        <v>46120</v>
      </c>
      <c r="D9" s="6">
        <v>3280</v>
      </c>
      <c r="E9" s="6">
        <v>337</v>
      </c>
      <c r="F9" s="6">
        <v>4</v>
      </c>
      <c r="G9" s="34">
        <v>1</v>
      </c>
      <c r="H9" s="34">
        <v>81698</v>
      </c>
      <c r="I9" s="34" t="s">
        <v>1505</v>
      </c>
      <c r="J9" s="35">
        <v>45463276</v>
      </c>
      <c r="K9" s="34" t="s">
        <v>4200</v>
      </c>
      <c r="L9" s="34" t="s">
        <v>4194</v>
      </c>
      <c r="M9" s="33">
        <v>279900</v>
      </c>
      <c r="N9" s="9">
        <f t="shared" si="2"/>
        <v>0.75</v>
      </c>
      <c r="O9" s="46">
        <f t="shared" si="1"/>
        <v>69975</v>
      </c>
      <c r="P9" s="6" t="str">
        <f t="shared" si="3"/>
        <v>PERCENTAGE</v>
      </c>
    </row>
    <row r="10" spans="1:16" x14ac:dyDescent="0.25">
      <c r="A10" s="6" t="str">
        <f t="shared" si="0"/>
        <v>2024 NOV-DEC D75</v>
      </c>
      <c r="B10" s="7">
        <f t="shared" si="0"/>
        <v>46114</v>
      </c>
      <c r="C10" s="7">
        <f t="shared" si="0"/>
        <v>46120</v>
      </c>
      <c r="D10" s="6">
        <v>3280</v>
      </c>
      <c r="E10" s="6">
        <v>337</v>
      </c>
      <c r="F10" s="6">
        <v>4</v>
      </c>
      <c r="G10" s="34">
        <v>1</v>
      </c>
      <c r="H10" s="34">
        <v>81698</v>
      </c>
      <c r="I10" s="34" t="s">
        <v>1505</v>
      </c>
      <c r="J10" s="35">
        <v>45463285</v>
      </c>
      <c r="K10" s="34" t="s">
        <v>4200</v>
      </c>
      <c r="L10" s="34" t="s">
        <v>4195</v>
      </c>
      <c r="M10" s="33">
        <v>279900</v>
      </c>
      <c r="N10" s="9">
        <f t="shared" si="2"/>
        <v>0.75</v>
      </c>
      <c r="O10" s="46">
        <f t="shared" si="1"/>
        <v>69975</v>
      </c>
      <c r="P10" s="6" t="str">
        <f t="shared" si="3"/>
        <v>PERCENTAGE</v>
      </c>
    </row>
    <row r="11" spans="1:16" x14ac:dyDescent="0.25">
      <c r="A11" s="6" t="str">
        <f t="shared" si="0"/>
        <v>2024 NOV-DEC D75</v>
      </c>
      <c r="B11" s="7">
        <f t="shared" si="0"/>
        <v>46114</v>
      </c>
      <c r="C11" s="7">
        <f t="shared" si="0"/>
        <v>46120</v>
      </c>
      <c r="D11" s="6">
        <v>3280</v>
      </c>
      <c r="E11" s="6">
        <v>337</v>
      </c>
      <c r="F11" s="6">
        <v>4</v>
      </c>
      <c r="G11" s="34">
        <v>1</v>
      </c>
      <c r="H11" s="34">
        <v>81698</v>
      </c>
      <c r="I11" s="34" t="s">
        <v>1505</v>
      </c>
      <c r="J11" s="35">
        <v>45463294</v>
      </c>
      <c r="K11" s="34" t="s">
        <v>4200</v>
      </c>
      <c r="L11" s="34" t="s">
        <v>4196</v>
      </c>
      <c r="M11" s="33">
        <v>289900</v>
      </c>
      <c r="N11" s="9">
        <f t="shared" si="2"/>
        <v>0.75</v>
      </c>
      <c r="O11" s="46">
        <f t="shared" si="1"/>
        <v>72475</v>
      </c>
      <c r="P11" s="6" t="str">
        <f t="shared" si="3"/>
        <v>PERCENTAGE</v>
      </c>
    </row>
    <row r="12" spans="1:16" x14ac:dyDescent="0.25">
      <c r="A12" s="6" t="str">
        <f t="shared" si="0"/>
        <v>2024 NOV-DEC D75</v>
      </c>
      <c r="B12" s="7">
        <f t="shared" si="0"/>
        <v>46114</v>
      </c>
      <c r="C12" s="7">
        <f t="shared" si="0"/>
        <v>46120</v>
      </c>
      <c r="D12" s="6">
        <v>3280</v>
      </c>
      <c r="E12" s="6">
        <v>337</v>
      </c>
      <c r="F12" s="6">
        <v>4</v>
      </c>
      <c r="G12" s="34">
        <v>1</v>
      </c>
      <c r="H12" s="34">
        <v>81698</v>
      </c>
      <c r="I12" s="34" t="s">
        <v>1505</v>
      </c>
      <c r="J12" s="35">
        <v>45463301</v>
      </c>
      <c r="K12" s="34" t="s">
        <v>4200</v>
      </c>
      <c r="L12" s="34" t="s">
        <v>4197</v>
      </c>
      <c r="M12" s="33">
        <v>289900</v>
      </c>
      <c r="N12" s="9">
        <f t="shared" si="2"/>
        <v>0.75</v>
      </c>
      <c r="O12" s="46">
        <f t="shared" si="1"/>
        <v>72475</v>
      </c>
      <c r="P12" s="6" t="str">
        <f t="shared" si="3"/>
        <v>PERCENTAGE</v>
      </c>
    </row>
    <row r="13" spans="1:16" x14ac:dyDescent="0.25">
      <c r="A13" s="6" t="str">
        <f t="shared" si="0"/>
        <v>2024 NOV-DEC D75</v>
      </c>
      <c r="B13" s="7">
        <f t="shared" si="0"/>
        <v>46114</v>
      </c>
      <c r="C13" s="7">
        <f t="shared" si="0"/>
        <v>46120</v>
      </c>
      <c r="D13" s="6">
        <v>3280</v>
      </c>
      <c r="E13" s="6">
        <v>337</v>
      </c>
      <c r="F13" s="6">
        <v>4</v>
      </c>
      <c r="G13" s="34">
        <v>1</v>
      </c>
      <c r="H13" s="34">
        <v>81698</v>
      </c>
      <c r="I13" s="34" t="s">
        <v>1505</v>
      </c>
      <c r="J13" s="35">
        <v>45463310</v>
      </c>
      <c r="K13" s="34" t="s">
        <v>4200</v>
      </c>
      <c r="L13" s="34" t="s">
        <v>4198</v>
      </c>
      <c r="M13" s="33">
        <v>289900</v>
      </c>
      <c r="N13" s="9">
        <f t="shared" si="2"/>
        <v>0.75</v>
      </c>
      <c r="O13" s="46">
        <f t="shared" si="1"/>
        <v>72475</v>
      </c>
      <c r="P13" s="6" t="str">
        <f t="shared" si="3"/>
        <v>PERCENTAGE</v>
      </c>
    </row>
    <row r="14" spans="1:16" x14ac:dyDescent="0.25">
      <c r="A14" s="6" t="str">
        <f t="shared" si="0"/>
        <v>2024 NOV-DEC D75</v>
      </c>
      <c r="B14" s="7">
        <f t="shared" si="0"/>
        <v>46114</v>
      </c>
      <c r="C14" s="7">
        <f t="shared" si="0"/>
        <v>46120</v>
      </c>
      <c r="D14" s="6">
        <v>3280</v>
      </c>
      <c r="E14" s="6">
        <v>337</v>
      </c>
      <c r="F14" s="6">
        <v>4</v>
      </c>
      <c r="G14" s="34">
        <v>2</v>
      </c>
      <c r="H14" s="34">
        <v>81632</v>
      </c>
      <c r="I14" s="34" t="s">
        <v>1505</v>
      </c>
      <c r="J14" s="35">
        <v>45812639</v>
      </c>
      <c r="K14" s="34" t="s">
        <v>4030</v>
      </c>
      <c r="L14" s="34" t="s">
        <v>4012</v>
      </c>
      <c r="M14" s="33">
        <v>239900</v>
      </c>
      <c r="N14" s="9">
        <f t="shared" si="2"/>
        <v>0.75</v>
      </c>
      <c r="O14" s="46">
        <f t="shared" si="1"/>
        <v>59975</v>
      </c>
      <c r="P14" s="6" t="str">
        <f t="shared" si="3"/>
        <v>PERCENTAGE</v>
      </c>
    </row>
    <row r="15" spans="1:16" x14ac:dyDescent="0.25">
      <c r="A15" s="6" t="str">
        <f t="shared" si="0"/>
        <v>2024 NOV-DEC D75</v>
      </c>
      <c r="B15" s="7">
        <f t="shared" si="0"/>
        <v>46114</v>
      </c>
      <c r="C15" s="7">
        <f t="shared" si="0"/>
        <v>46120</v>
      </c>
      <c r="D15" s="6">
        <v>3280</v>
      </c>
      <c r="E15" s="6">
        <v>337</v>
      </c>
      <c r="F15" s="6">
        <v>4</v>
      </c>
      <c r="G15" s="34">
        <v>2</v>
      </c>
      <c r="H15" s="34">
        <v>81632</v>
      </c>
      <c r="I15" s="34" t="s">
        <v>1505</v>
      </c>
      <c r="J15" s="35">
        <v>45812648</v>
      </c>
      <c r="K15" s="34" t="s">
        <v>4030</v>
      </c>
      <c r="L15" s="34" t="s">
        <v>4013</v>
      </c>
      <c r="M15" s="33">
        <v>239900</v>
      </c>
      <c r="N15" s="9">
        <f t="shared" si="2"/>
        <v>0.75</v>
      </c>
      <c r="O15" s="46">
        <f t="shared" si="1"/>
        <v>59975</v>
      </c>
      <c r="P15" s="6" t="str">
        <f t="shared" si="3"/>
        <v>PERCENTAGE</v>
      </c>
    </row>
    <row r="16" spans="1:16" x14ac:dyDescent="0.25">
      <c r="A16" s="6" t="str">
        <f t="shared" si="0"/>
        <v>2024 NOV-DEC D75</v>
      </c>
      <c r="B16" s="7">
        <f t="shared" si="0"/>
        <v>46114</v>
      </c>
      <c r="C16" s="7">
        <f t="shared" si="0"/>
        <v>46120</v>
      </c>
      <c r="D16" s="6">
        <v>3280</v>
      </c>
      <c r="E16" s="6">
        <v>337</v>
      </c>
      <c r="F16" s="6">
        <v>4</v>
      </c>
      <c r="G16" s="34">
        <v>2</v>
      </c>
      <c r="H16" s="34">
        <v>81632</v>
      </c>
      <c r="I16" s="34" t="s">
        <v>1505</v>
      </c>
      <c r="J16" s="35">
        <v>45812657</v>
      </c>
      <c r="K16" s="34" t="s">
        <v>4030</v>
      </c>
      <c r="L16" s="34" t="s">
        <v>4014</v>
      </c>
      <c r="M16" s="33">
        <v>239900</v>
      </c>
      <c r="N16" s="9">
        <f t="shared" si="2"/>
        <v>0.75</v>
      </c>
      <c r="O16" s="46">
        <f t="shared" si="1"/>
        <v>59975</v>
      </c>
      <c r="P16" s="6" t="str">
        <f t="shared" si="3"/>
        <v>PERCENTAGE</v>
      </c>
    </row>
    <row r="17" spans="1:16" x14ac:dyDescent="0.25">
      <c r="A17" s="6" t="str">
        <f t="shared" si="0"/>
        <v>2024 NOV-DEC D75</v>
      </c>
      <c r="B17" s="7">
        <f t="shared" si="0"/>
        <v>46114</v>
      </c>
      <c r="C17" s="7">
        <f t="shared" si="0"/>
        <v>46120</v>
      </c>
      <c r="D17" s="6">
        <v>3280</v>
      </c>
      <c r="E17" s="6">
        <v>337</v>
      </c>
      <c r="F17" s="6">
        <v>4</v>
      </c>
      <c r="G17" s="34">
        <v>2</v>
      </c>
      <c r="H17" s="34">
        <v>81632</v>
      </c>
      <c r="I17" s="34" t="s">
        <v>1505</v>
      </c>
      <c r="J17" s="35">
        <v>45812666</v>
      </c>
      <c r="K17" s="34" t="s">
        <v>4030</v>
      </c>
      <c r="L17" s="34" t="s">
        <v>4015</v>
      </c>
      <c r="M17" s="33">
        <v>249900</v>
      </c>
      <c r="N17" s="9">
        <f t="shared" si="2"/>
        <v>0.75</v>
      </c>
      <c r="O17" s="46">
        <f t="shared" si="1"/>
        <v>62475</v>
      </c>
      <c r="P17" s="6" t="str">
        <f t="shared" si="3"/>
        <v>PERCENTAGE</v>
      </c>
    </row>
    <row r="18" spans="1:16" x14ac:dyDescent="0.25">
      <c r="A18" s="6" t="str">
        <f t="shared" si="0"/>
        <v>2024 NOV-DEC D75</v>
      </c>
      <c r="B18" s="7">
        <f t="shared" si="0"/>
        <v>46114</v>
      </c>
      <c r="C18" s="7">
        <f t="shared" si="0"/>
        <v>46120</v>
      </c>
      <c r="D18" s="6">
        <v>3280</v>
      </c>
      <c r="E18" s="6">
        <v>337</v>
      </c>
      <c r="F18" s="6">
        <v>4</v>
      </c>
      <c r="G18" s="34">
        <v>2</v>
      </c>
      <c r="H18" s="34">
        <v>81632</v>
      </c>
      <c r="I18" s="34" t="s">
        <v>1505</v>
      </c>
      <c r="J18" s="35">
        <v>45812675</v>
      </c>
      <c r="K18" s="34" t="s">
        <v>4030</v>
      </c>
      <c r="L18" s="34" t="s">
        <v>4016</v>
      </c>
      <c r="M18" s="33">
        <v>249900</v>
      </c>
      <c r="N18" s="9">
        <f t="shared" si="2"/>
        <v>0.75</v>
      </c>
      <c r="O18" s="46">
        <f t="shared" si="1"/>
        <v>62475</v>
      </c>
      <c r="P18" s="6" t="str">
        <f t="shared" si="3"/>
        <v>PERCENTAGE</v>
      </c>
    </row>
    <row r="19" spans="1:16" x14ac:dyDescent="0.25">
      <c r="A19" s="6" t="str">
        <f t="shared" si="0"/>
        <v>2024 NOV-DEC D75</v>
      </c>
      <c r="B19" s="7">
        <f t="shared" si="0"/>
        <v>46114</v>
      </c>
      <c r="C19" s="7">
        <f t="shared" si="0"/>
        <v>46120</v>
      </c>
      <c r="D19" s="6">
        <v>3280</v>
      </c>
      <c r="E19" s="6">
        <v>337</v>
      </c>
      <c r="F19" s="6">
        <v>4</v>
      </c>
      <c r="G19" s="34">
        <v>2</v>
      </c>
      <c r="H19" s="34">
        <v>81632</v>
      </c>
      <c r="I19" s="34" t="s">
        <v>1505</v>
      </c>
      <c r="J19" s="35">
        <v>45812684</v>
      </c>
      <c r="K19" s="34" t="s">
        <v>4030</v>
      </c>
      <c r="L19" s="34" t="s">
        <v>4017</v>
      </c>
      <c r="M19" s="33">
        <v>249900</v>
      </c>
      <c r="N19" s="9">
        <f t="shared" si="2"/>
        <v>0.75</v>
      </c>
      <c r="O19" s="46">
        <f t="shared" si="1"/>
        <v>62475</v>
      </c>
      <c r="P19" s="6" t="str">
        <f t="shared" si="3"/>
        <v>PERCENTAGE</v>
      </c>
    </row>
    <row r="20" spans="1:16" x14ac:dyDescent="0.25">
      <c r="A20" s="6" t="str">
        <f t="shared" si="0"/>
        <v>2024 NOV-DEC D75</v>
      </c>
      <c r="B20" s="7">
        <f t="shared" si="0"/>
        <v>46114</v>
      </c>
      <c r="C20" s="7">
        <f t="shared" si="0"/>
        <v>46120</v>
      </c>
      <c r="D20" s="6">
        <v>3280</v>
      </c>
      <c r="E20" s="6">
        <v>337</v>
      </c>
      <c r="F20" s="6">
        <v>4</v>
      </c>
      <c r="G20" s="34">
        <v>2</v>
      </c>
      <c r="H20" s="34">
        <v>81306</v>
      </c>
      <c r="I20" s="34" t="s">
        <v>1505</v>
      </c>
      <c r="J20" s="35">
        <v>15397136</v>
      </c>
      <c r="K20" s="34" t="s">
        <v>4031</v>
      </c>
      <c r="L20" s="34" t="s">
        <v>4018</v>
      </c>
      <c r="M20" s="33">
        <v>239900</v>
      </c>
      <c r="N20" s="9">
        <f t="shared" si="2"/>
        <v>0.75</v>
      </c>
      <c r="O20" s="46">
        <f t="shared" si="1"/>
        <v>59975</v>
      </c>
      <c r="P20" s="6" t="str">
        <f t="shared" si="3"/>
        <v>PERCENTAGE</v>
      </c>
    </row>
    <row r="21" spans="1:16" x14ac:dyDescent="0.25">
      <c r="A21" s="6" t="str">
        <f t="shared" si="0"/>
        <v>2024 NOV-DEC D75</v>
      </c>
      <c r="B21" s="7">
        <f t="shared" si="0"/>
        <v>46114</v>
      </c>
      <c r="C21" s="7">
        <f t="shared" si="0"/>
        <v>46120</v>
      </c>
      <c r="D21" s="6">
        <v>3280</v>
      </c>
      <c r="E21" s="6">
        <v>337</v>
      </c>
      <c r="F21" s="6">
        <v>4</v>
      </c>
      <c r="G21" s="34">
        <v>2</v>
      </c>
      <c r="H21" s="34">
        <v>81306</v>
      </c>
      <c r="I21" s="34" t="s">
        <v>1505</v>
      </c>
      <c r="J21" s="35">
        <v>15397145</v>
      </c>
      <c r="K21" s="34" t="s">
        <v>4031</v>
      </c>
      <c r="L21" s="34" t="s">
        <v>4019</v>
      </c>
      <c r="M21" s="33">
        <v>239900</v>
      </c>
      <c r="N21" s="9">
        <f t="shared" si="2"/>
        <v>0.75</v>
      </c>
      <c r="O21" s="46">
        <f t="shared" si="1"/>
        <v>59975</v>
      </c>
      <c r="P21" s="6" t="str">
        <f t="shared" si="3"/>
        <v>PERCENTAGE</v>
      </c>
    </row>
    <row r="22" spans="1:16" x14ac:dyDescent="0.25">
      <c r="A22" s="6" t="str">
        <f t="shared" si="0"/>
        <v>2024 NOV-DEC D75</v>
      </c>
      <c r="B22" s="7">
        <f t="shared" si="0"/>
        <v>46114</v>
      </c>
      <c r="C22" s="7">
        <f t="shared" si="0"/>
        <v>46120</v>
      </c>
      <c r="D22" s="6">
        <v>3280</v>
      </c>
      <c r="E22" s="6">
        <v>337</v>
      </c>
      <c r="F22" s="6">
        <v>4</v>
      </c>
      <c r="G22" s="34">
        <v>2</v>
      </c>
      <c r="H22" s="34">
        <v>81306</v>
      </c>
      <c r="I22" s="34" t="s">
        <v>1505</v>
      </c>
      <c r="J22" s="35">
        <v>15397154</v>
      </c>
      <c r="K22" s="34" t="s">
        <v>4031</v>
      </c>
      <c r="L22" s="34" t="s">
        <v>4020</v>
      </c>
      <c r="M22" s="33">
        <v>239900</v>
      </c>
      <c r="N22" s="9">
        <f t="shared" si="2"/>
        <v>0.75</v>
      </c>
      <c r="O22" s="46">
        <f t="shared" si="1"/>
        <v>59975</v>
      </c>
      <c r="P22" s="6" t="str">
        <f t="shared" si="3"/>
        <v>PERCENTAGE</v>
      </c>
    </row>
    <row r="23" spans="1:16" x14ac:dyDescent="0.25">
      <c r="A23" s="6" t="str">
        <f t="shared" si="0"/>
        <v>2024 NOV-DEC D75</v>
      </c>
      <c r="B23" s="7">
        <f t="shared" si="0"/>
        <v>46114</v>
      </c>
      <c r="C23" s="7">
        <f t="shared" si="0"/>
        <v>46120</v>
      </c>
      <c r="D23" s="6">
        <v>3280</v>
      </c>
      <c r="E23" s="6">
        <v>337</v>
      </c>
      <c r="F23" s="6">
        <v>4</v>
      </c>
      <c r="G23" s="34">
        <v>2</v>
      </c>
      <c r="H23" s="34">
        <v>81306</v>
      </c>
      <c r="I23" s="34" t="s">
        <v>1505</v>
      </c>
      <c r="J23" s="35">
        <v>15397163</v>
      </c>
      <c r="K23" s="34" t="s">
        <v>4031</v>
      </c>
      <c r="L23" s="34" t="s">
        <v>4021</v>
      </c>
      <c r="M23" s="33">
        <v>249900</v>
      </c>
      <c r="N23" s="9">
        <f t="shared" si="2"/>
        <v>0.75</v>
      </c>
      <c r="O23" s="46">
        <f t="shared" si="1"/>
        <v>62475</v>
      </c>
      <c r="P23" s="6" t="str">
        <f t="shared" si="3"/>
        <v>PERCENTAGE</v>
      </c>
    </row>
    <row r="24" spans="1:16" x14ac:dyDescent="0.25">
      <c r="A24" s="6" t="str">
        <f t="shared" ref="A24:C61" si="4">A23</f>
        <v>2024 NOV-DEC D75</v>
      </c>
      <c r="B24" s="7">
        <f t="shared" si="4"/>
        <v>46114</v>
      </c>
      <c r="C24" s="7">
        <f t="shared" si="4"/>
        <v>46120</v>
      </c>
      <c r="D24" s="6">
        <v>3280</v>
      </c>
      <c r="E24" s="6">
        <v>337</v>
      </c>
      <c r="F24" s="6">
        <v>4</v>
      </c>
      <c r="G24" s="34">
        <v>2</v>
      </c>
      <c r="H24" s="34">
        <v>81306</v>
      </c>
      <c r="I24" s="34" t="s">
        <v>1505</v>
      </c>
      <c r="J24" s="35">
        <v>15397172</v>
      </c>
      <c r="K24" s="34" t="s">
        <v>4031</v>
      </c>
      <c r="L24" s="34" t="s">
        <v>4022</v>
      </c>
      <c r="M24" s="33">
        <v>249900</v>
      </c>
      <c r="N24" s="9">
        <f t="shared" si="2"/>
        <v>0.75</v>
      </c>
      <c r="O24" s="46">
        <f t="shared" si="1"/>
        <v>62475</v>
      </c>
      <c r="P24" s="6" t="str">
        <f t="shared" si="3"/>
        <v>PERCENTAGE</v>
      </c>
    </row>
    <row r="25" spans="1:16" x14ac:dyDescent="0.25">
      <c r="A25" s="6" t="str">
        <f t="shared" si="4"/>
        <v>2024 NOV-DEC D75</v>
      </c>
      <c r="B25" s="7">
        <f t="shared" si="4"/>
        <v>46114</v>
      </c>
      <c r="C25" s="7">
        <f t="shared" si="4"/>
        <v>46120</v>
      </c>
      <c r="D25" s="6">
        <v>3280</v>
      </c>
      <c r="E25" s="6">
        <v>337</v>
      </c>
      <c r="F25" s="6">
        <v>4</v>
      </c>
      <c r="G25" s="34">
        <v>2</v>
      </c>
      <c r="H25" s="34">
        <v>81306</v>
      </c>
      <c r="I25" s="34" t="s">
        <v>1505</v>
      </c>
      <c r="J25" s="35">
        <v>15397181</v>
      </c>
      <c r="K25" s="34" t="s">
        <v>4031</v>
      </c>
      <c r="L25" s="34" t="s">
        <v>4023</v>
      </c>
      <c r="M25" s="33">
        <v>249900</v>
      </c>
      <c r="N25" s="9">
        <f t="shared" si="2"/>
        <v>0.75</v>
      </c>
      <c r="O25" s="46">
        <f t="shared" si="1"/>
        <v>62475</v>
      </c>
      <c r="P25" s="6" t="str">
        <f t="shared" si="3"/>
        <v>PERCENTAGE</v>
      </c>
    </row>
    <row r="26" spans="1:16" x14ac:dyDescent="0.25">
      <c r="A26" s="6" t="str">
        <f t="shared" si="4"/>
        <v>2024 NOV-DEC D75</v>
      </c>
      <c r="B26" s="7">
        <f t="shared" si="4"/>
        <v>46114</v>
      </c>
      <c r="C26" s="7">
        <f t="shared" si="4"/>
        <v>46120</v>
      </c>
      <c r="D26" s="6">
        <v>3280</v>
      </c>
      <c r="E26" s="6">
        <v>337</v>
      </c>
      <c r="F26" s="6">
        <v>4</v>
      </c>
      <c r="G26" s="34">
        <v>2</v>
      </c>
      <c r="H26" s="34">
        <v>81306</v>
      </c>
      <c r="I26" s="34" t="s">
        <v>1505</v>
      </c>
      <c r="J26" s="35">
        <v>45812693</v>
      </c>
      <c r="K26" s="34" t="s">
        <v>4032</v>
      </c>
      <c r="L26" s="34" t="s">
        <v>4024</v>
      </c>
      <c r="M26" s="33">
        <v>239900</v>
      </c>
      <c r="N26" s="9">
        <f t="shared" si="2"/>
        <v>0.75</v>
      </c>
      <c r="O26" s="46">
        <f t="shared" si="1"/>
        <v>59975</v>
      </c>
      <c r="P26" s="6" t="str">
        <f t="shared" si="3"/>
        <v>PERCENTAGE</v>
      </c>
    </row>
    <row r="27" spans="1:16" x14ac:dyDescent="0.25">
      <c r="A27" s="6" t="str">
        <f t="shared" si="4"/>
        <v>2024 NOV-DEC D75</v>
      </c>
      <c r="B27" s="7">
        <f t="shared" si="4"/>
        <v>46114</v>
      </c>
      <c r="C27" s="7">
        <f t="shared" si="4"/>
        <v>46120</v>
      </c>
      <c r="D27" s="6">
        <v>3280</v>
      </c>
      <c r="E27" s="6">
        <v>337</v>
      </c>
      <c r="F27" s="6">
        <v>4</v>
      </c>
      <c r="G27" s="34">
        <v>2</v>
      </c>
      <c r="H27" s="34">
        <v>81306</v>
      </c>
      <c r="I27" s="34" t="s">
        <v>1505</v>
      </c>
      <c r="J27" s="35">
        <v>45812700</v>
      </c>
      <c r="K27" s="34" t="s">
        <v>4032</v>
      </c>
      <c r="L27" s="34" t="s">
        <v>4025</v>
      </c>
      <c r="M27" s="33">
        <v>239900</v>
      </c>
      <c r="N27" s="9">
        <f t="shared" si="2"/>
        <v>0.75</v>
      </c>
      <c r="O27" s="46">
        <f t="shared" si="1"/>
        <v>59975</v>
      </c>
      <c r="P27" s="6" t="str">
        <f t="shared" si="3"/>
        <v>PERCENTAGE</v>
      </c>
    </row>
    <row r="28" spans="1:16" x14ac:dyDescent="0.25">
      <c r="A28" s="6" t="str">
        <f t="shared" si="4"/>
        <v>2024 NOV-DEC D75</v>
      </c>
      <c r="B28" s="7">
        <f t="shared" si="4"/>
        <v>46114</v>
      </c>
      <c r="C28" s="7">
        <f t="shared" si="4"/>
        <v>46120</v>
      </c>
      <c r="D28" s="6">
        <v>3280</v>
      </c>
      <c r="E28" s="6">
        <v>337</v>
      </c>
      <c r="F28" s="6">
        <v>4</v>
      </c>
      <c r="G28" s="34">
        <v>2</v>
      </c>
      <c r="H28" s="34">
        <v>81306</v>
      </c>
      <c r="I28" s="34" t="s">
        <v>1505</v>
      </c>
      <c r="J28" s="35">
        <v>45812719</v>
      </c>
      <c r="K28" s="34" t="s">
        <v>4032</v>
      </c>
      <c r="L28" s="34" t="s">
        <v>4026</v>
      </c>
      <c r="M28" s="33">
        <v>239900</v>
      </c>
      <c r="N28" s="9">
        <f t="shared" si="2"/>
        <v>0.75</v>
      </c>
      <c r="O28" s="46">
        <f t="shared" si="1"/>
        <v>59975</v>
      </c>
      <c r="P28" s="6" t="str">
        <f t="shared" si="3"/>
        <v>PERCENTAGE</v>
      </c>
    </row>
    <row r="29" spans="1:16" x14ac:dyDescent="0.25">
      <c r="A29" s="6" t="str">
        <f t="shared" si="4"/>
        <v>2024 NOV-DEC D75</v>
      </c>
      <c r="B29" s="7">
        <f t="shared" si="4"/>
        <v>46114</v>
      </c>
      <c r="C29" s="7">
        <f t="shared" si="4"/>
        <v>46120</v>
      </c>
      <c r="D29" s="6">
        <v>3280</v>
      </c>
      <c r="E29" s="6">
        <v>337</v>
      </c>
      <c r="F29" s="6">
        <v>4</v>
      </c>
      <c r="G29" s="34">
        <v>2</v>
      </c>
      <c r="H29" s="34">
        <v>81306</v>
      </c>
      <c r="I29" s="34" t="s">
        <v>1505</v>
      </c>
      <c r="J29" s="35">
        <v>45812728</v>
      </c>
      <c r="K29" s="34" t="s">
        <v>4032</v>
      </c>
      <c r="L29" s="34" t="s">
        <v>4027</v>
      </c>
      <c r="M29" s="33">
        <v>249900</v>
      </c>
      <c r="N29" s="9">
        <f t="shared" si="2"/>
        <v>0.75</v>
      </c>
      <c r="O29" s="46">
        <f t="shared" si="1"/>
        <v>62475</v>
      </c>
      <c r="P29" s="6" t="str">
        <f t="shared" si="3"/>
        <v>PERCENTAGE</v>
      </c>
    </row>
    <row r="30" spans="1:16" x14ac:dyDescent="0.25">
      <c r="A30" s="6" t="str">
        <f t="shared" si="4"/>
        <v>2024 NOV-DEC D75</v>
      </c>
      <c r="B30" s="7">
        <f t="shared" si="4"/>
        <v>46114</v>
      </c>
      <c r="C30" s="7">
        <f t="shared" si="4"/>
        <v>46120</v>
      </c>
      <c r="D30" s="6">
        <v>3280</v>
      </c>
      <c r="E30" s="6">
        <v>337</v>
      </c>
      <c r="F30" s="6">
        <v>4</v>
      </c>
      <c r="G30" s="34">
        <v>2</v>
      </c>
      <c r="H30" s="34">
        <v>81306</v>
      </c>
      <c r="I30" s="34" t="s">
        <v>1505</v>
      </c>
      <c r="J30" s="35">
        <v>45812737</v>
      </c>
      <c r="K30" s="34" t="s">
        <v>4032</v>
      </c>
      <c r="L30" s="34" t="s">
        <v>4028</v>
      </c>
      <c r="M30" s="33">
        <v>249900</v>
      </c>
      <c r="N30" s="9">
        <f t="shared" si="2"/>
        <v>0.75</v>
      </c>
      <c r="O30" s="46">
        <f t="shared" si="1"/>
        <v>62475</v>
      </c>
      <c r="P30" s="6" t="str">
        <f t="shared" si="3"/>
        <v>PERCENTAGE</v>
      </c>
    </row>
    <row r="31" spans="1:16" x14ac:dyDescent="0.25">
      <c r="A31" s="6" t="str">
        <f t="shared" si="4"/>
        <v>2024 NOV-DEC D75</v>
      </c>
      <c r="B31" s="7">
        <f t="shared" si="4"/>
        <v>46114</v>
      </c>
      <c r="C31" s="7">
        <f t="shared" si="4"/>
        <v>46120</v>
      </c>
      <c r="D31" s="6">
        <v>3280</v>
      </c>
      <c r="E31" s="6">
        <v>337</v>
      </c>
      <c r="F31" s="6">
        <v>4</v>
      </c>
      <c r="G31" s="34">
        <v>2</v>
      </c>
      <c r="H31" s="34">
        <v>81306</v>
      </c>
      <c r="I31" s="34" t="s">
        <v>1505</v>
      </c>
      <c r="J31" s="35">
        <v>45812746</v>
      </c>
      <c r="K31" s="34" t="s">
        <v>4032</v>
      </c>
      <c r="L31" s="34" t="s">
        <v>4029</v>
      </c>
      <c r="M31" s="33">
        <v>249900</v>
      </c>
      <c r="N31" s="9">
        <f t="shared" si="2"/>
        <v>0.75</v>
      </c>
      <c r="O31" s="46">
        <f t="shared" si="1"/>
        <v>62475</v>
      </c>
      <c r="P31" s="6" t="str">
        <f t="shared" si="3"/>
        <v>PERCENTAGE</v>
      </c>
    </row>
    <row r="32" spans="1:16" x14ac:dyDescent="0.25">
      <c r="A32" s="6" t="str">
        <f t="shared" si="4"/>
        <v>2024 NOV-DEC D75</v>
      </c>
      <c r="B32" s="7">
        <f t="shared" si="4"/>
        <v>46114</v>
      </c>
      <c r="C32" s="7">
        <f t="shared" si="4"/>
        <v>46120</v>
      </c>
      <c r="D32" s="6">
        <v>3280</v>
      </c>
      <c r="E32" s="6">
        <v>337</v>
      </c>
      <c r="F32" s="6">
        <v>4</v>
      </c>
      <c r="G32" s="34">
        <v>2</v>
      </c>
      <c r="H32" s="34">
        <v>81490</v>
      </c>
      <c r="I32" s="34" t="s">
        <v>1505</v>
      </c>
      <c r="J32" s="35">
        <v>15394988</v>
      </c>
      <c r="K32" s="34" t="s">
        <v>4033</v>
      </c>
      <c r="L32" s="34" t="s">
        <v>4038</v>
      </c>
      <c r="M32" s="33">
        <v>249900</v>
      </c>
      <c r="N32" s="9">
        <f t="shared" si="2"/>
        <v>0.75</v>
      </c>
      <c r="O32" s="46">
        <f t="shared" si="1"/>
        <v>62475</v>
      </c>
      <c r="P32" s="6" t="str">
        <f t="shared" si="3"/>
        <v>PERCENTAGE</v>
      </c>
    </row>
    <row r="33" spans="1:16" x14ac:dyDescent="0.25">
      <c r="A33" s="6" t="str">
        <f t="shared" si="4"/>
        <v>2024 NOV-DEC D75</v>
      </c>
      <c r="B33" s="7">
        <f t="shared" si="4"/>
        <v>46114</v>
      </c>
      <c r="C33" s="7">
        <f t="shared" si="4"/>
        <v>46120</v>
      </c>
      <c r="D33" s="6">
        <v>3280</v>
      </c>
      <c r="E33" s="6">
        <v>337</v>
      </c>
      <c r="F33" s="6">
        <v>4</v>
      </c>
      <c r="G33" s="34">
        <v>2</v>
      </c>
      <c r="H33" s="34">
        <v>81490</v>
      </c>
      <c r="I33" s="34" t="s">
        <v>1505</v>
      </c>
      <c r="J33" s="35">
        <v>15394997</v>
      </c>
      <c r="K33" s="34" t="s">
        <v>4033</v>
      </c>
      <c r="L33" s="34" t="s">
        <v>4039</v>
      </c>
      <c r="M33" s="33">
        <v>249900</v>
      </c>
      <c r="N33" s="9">
        <f t="shared" si="2"/>
        <v>0.75</v>
      </c>
      <c r="O33" s="46">
        <f t="shared" si="1"/>
        <v>62475</v>
      </c>
      <c r="P33" s="6" t="str">
        <f t="shared" si="3"/>
        <v>PERCENTAGE</v>
      </c>
    </row>
    <row r="34" spans="1:16" x14ac:dyDescent="0.25">
      <c r="A34" s="6" t="str">
        <f t="shared" si="4"/>
        <v>2024 NOV-DEC D75</v>
      </c>
      <c r="B34" s="7">
        <f t="shared" si="4"/>
        <v>46114</v>
      </c>
      <c r="C34" s="7">
        <f t="shared" si="4"/>
        <v>46120</v>
      </c>
      <c r="D34" s="6">
        <v>3280</v>
      </c>
      <c r="E34" s="6">
        <v>337</v>
      </c>
      <c r="F34" s="6">
        <v>4</v>
      </c>
      <c r="G34" s="34">
        <v>2</v>
      </c>
      <c r="H34" s="34">
        <v>81490</v>
      </c>
      <c r="I34" s="34" t="s">
        <v>1505</v>
      </c>
      <c r="J34" s="35">
        <v>15395003</v>
      </c>
      <c r="K34" s="34" t="s">
        <v>4033</v>
      </c>
      <c r="L34" s="34" t="s">
        <v>4040</v>
      </c>
      <c r="M34" s="33">
        <v>249900</v>
      </c>
      <c r="N34" s="9">
        <f t="shared" si="2"/>
        <v>0.75</v>
      </c>
      <c r="O34" s="46">
        <f t="shared" si="1"/>
        <v>62475</v>
      </c>
      <c r="P34" s="6" t="str">
        <f t="shared" si="3"/>
        <v>PERCENTAGE</v>
      </c>
    </row>
    <row r="35" spans="1:16" x14ac:dyDescent="0.25">
      <c r="A35" s="6" t="str">
        <f t="shared" si="4"/>
        <v>2024 NOV-DEC D75</v>
      </c>
      <c r="B35" s="7">
        <f t="shared" si="4"/>
        <v>46114</v>
      </c>
      <c r="C35" s="7">
        <f t="shared" si="4"/>
        <v>46120</v>
      </c>
      <c r="D35" s="6">
        <v>3280</v>
      </c>
      <c r="E35" s="6">
        <v>337</v>
      </c>
      <c r="F35" s="6">
        <v>4</v>
      </c>
      <c r="G35" s="34">
        <v>2</v>
      </c>
      <c r="H35" s="34">
        <v>81490</v>
      </c>
      <c r="I35" s="34" t="s">
        <v>1505</v>
      </c>
      <c r="J35" s="35">
        <v>15395012</v>
      </c>
      <c r="K35" s="34" t="s">
        <v>4033</v>
      </c>
      <c r="L35" s="34" t="s">
        <v>4041</v>
      </c>
      <c r="M35" s="33">
        <v>259900</v>
      </c>
      <c r="N35" s="9">
        <f t="shared" si="2"/>
        <v>0.75</v>
      </c>
      <c r="O35" s="46">
        <f t="shared" si="1"/>
        <v>64975</v>
      </c>
      <c r="P35" s="6" t="str">
        <f t="shared" si="3"/>
        <v>PERCENTAGE</v>
      </c>
    </row>
    <row r="36" spans="1:16" x14ac:dyDescent="0.25">
      <c r="A36" s="6" t="str">
        <f t="shared" si="4"/>
        <v>2024 NOV-DEC D75</v>
      </c>
      <c r="B36" s="7">
        <f t="shared" si="4"/>
        <v>46114</v>
      </c>
      <c r="C36" s="7">
        <f t="shared" si="4"/>
        <v>46120</v>
      </c>
      <c r="D36" s="6">
        <v>3280</v>
      </c>
      <c r="E36" s="6">
        <v>337</v>
      </c>
      <c r="F36" s="6">
        <v>4</v>
      </c>
      <c r="G36" s="34">
        <v>2</v>
      </c>
      <c r="H36" s="34">
        <v>81490</v>
      </c>
      <c r="I36" s="34" t="s">
        <v>1505</v>
      </c>
      <c r="J36" s="35">
        <v>15395021</v>
      </c>
      <c r="K36" s="34" t="s">
        <v>4033</v>
      </c>
      <c r="L36" s="34" t="s">
        <v>4042</v>
      </c>
      <c r="M36" s="33">
        <v>259900</v>
      </c>
      <c r="N36" s="9">
        <f t="shared" si="2"/>
        <v>0.75</v>
      </c>
      <c r="O36" s="46">
        <f t="shared" si="1"/>
        <v>64975</v>
      </c>
      <c r="P36" s="6" t="str">
        <f t="shared" si="3"/>
        <v>PERCENTAGE</v>
      </c>
    </row>
    <row r="37" spans="1:16" x14ac:dyDescent="0.25">
      <c r="A37" s="6" t="str">
        <f t="shared" si="4"/>
        <v>2024 NOV-DEC D75</v>
      </c>
      <c r="B37" s="7">
        <f t="shared" si="4"/>
        <v>46114</v>
      </c>
      <c r="C37" s="7">
        <f t="shared" si="4"/>
        <v>46120</v>
      </c>
      <c r="D37" s="6">
        <v>3280</v>
      </c>
      <c r="E37" s="6">
        <v>337</v>
      </c>
      <c r="F37" s="6">
        <v>4</v>
      </c>
      <c r="G37" s="34">
        <v>2</v>
      </c>
      <c r="H37" s="34">
        <v>81490</v>
      </c>
      <c r="I37" s="34" t="s">
        <v>1505</v>
      </c>
      <c r="J37" s="35">
        <v>15395030</v>
      </c>
      <c r="K37" s="34" t="s">
        <v>4033</v>
      </c>
      <c r="L37" s="34" t="s">
        <v>4043</v>
      </c>
      <c r="M37" s="33">
        <v>259900</v>
      </c>
      <c r="N37" s="9">
        <f t="shared" si="2"/>
        <v>0.75</v>
      </c>
      <c r="O37" s="46">
        <f t="shared" si="1"/>
        <v>64975</v>
      </c>
      <c r="P37" s="6" t="str">
        <f t="shared" si="3"/>
        <v>PERCENTAGE</v>
      </c>
    </row>
    <row r="38" spans="1:16" x14ac:dyDescent="0.25">
      <c r="A38" s="6" t="str">
        <f t="shared" si="4"/>
        <v>2024 NOV-DEC D75</v>
      </c>
      <c r="B38" s="7">
        <f t="shared" si="4"/>
        <v>46114</v>
      </c>
      <c r="C38" s="7">
        <f t="shared" si="4"/>
        <v>46120</v>
      </c>
      <c r="D38" s="6">
        <v>3280</v>
      </c>
      <c r="E38" s="6">
        <v>337</v>
      </c>
      <c r="F38" s="6">
        <v>4</v>
      </c>
      <c r="G38" s="34">
        <v>2</v>
      </c>
      <c r="H38" s="34">
        <v>81490</v>
      </c>
      <c r="I38" s="34" t="s">
        <v>1505</v>
      </c>
      <c r="J38" s="35">
        <v>15395245</v>
      </c>
      <c r="K38" s="34" t="s">
        <v>4034</v>
      </c>
      <c r="L38" s="34" t="s">
        <v>4044</v>
      </c>
      <c r="M38" s="33">
        <v>249900</v>
      </c>
      <c r="N38" s="9">
        <f t="shared" si="2"/>
        <v>0.75</v>
      </c>
      <c r="O38" s="46">
        <f t="shared" si="1"/>
        <v>62475</v>
      </c>
      <c r="P38" s="6" t="str">
        <f t="shared" si="3"/>
        <v>PERCENTAGE</v>
      </c>
    </row>
    <row r="39" spans="1:16" x14ac:dyDescent="0.25">
      <c r="A39" s="6" t="str">
        <f t="shared" si="4"/>
        <v>2024 NOV-DEC D75</v>
      </c>
      <c r="B39" s="7">
        <f t="shared" si="4"/>
        <v>46114</v>
      </c>
      <c r="C39" s="7">
        <f t="shared" si="4"/>
        <v>46120</v>
      </c>
      <c r="D39" s="6">
        <v>3280</v>
      </c>
      <c r="E39" s="6">
        <v>337</v>
      </c>
      <c r="F39" s="6">
        <v>4</v>
      </c>
      <c r="G39" s="34">
        <v>2</v>
      </c>
      <c r="H39" s="34">
        <v>81490</v>
      </c>
      <c r="I39" s="34" t="s">
        <v>1505</v>
      </c>
      <c r="J39" s="35">
        <v>15395290</v>
      </c>
      <c r="K39" s="34" t="s">
        <v>4034</v>
      </c>
      <c r="L39" s="34" t="s">
        <v>4045</v>
      </c>
      <c r="M39" s="33">
        <v>249900</v>
      </c>
      <c r="N39" s="9">
        <f t="shared" si="2"/>
        <v>0.75</v>
      </c>
      <c r="O39" s="46">
        <f t="shared" si="1"/>
        <v>62475</v>
      </c>
      <c r="P39" s="6" t="str">
        <f t="shared" si="3"/>
        <v>PERCENTAGE</v>
      </c>
    </row>
    <row r="40" spans="1:16" x14ac:dyDescent="0.25">
      <c r="A40" s="6" t="str">
        <f t="shared" si="4"/>
        <v>2024 NOV-DEC D75</v>
      </c>
      <c r="B40" s="7">
        <f t="shared" si="4"/>
        <v>46114</v>
      </c>
      <c r="C40" s="7">
        <f t="shared" si="4"/>
        <v>46120</v>
      </c>
      <c r="D40" s="6">
        <v>3280</v>
      </c>
      <c r="E40" s="6">
        <v>337</v>
      </c>
      <c r="F40" s="6">
        <v>4</v>
      </c>
      <c r="G40" s="34">
        <v>2</v>
      </c>
      <c r="H40" s="34">
        <v>81490</v>
      </c>
      <c r="I40" s="34" t="s">
        <v>1505</v>
      </c>
      <c r="J40" s="35">
        <v>15395316</v>
      </c>
      <c r="K40" s="34" t="s">
        <v>4034</v>
      </c>
      <c r="L40" s="34" t="s">
        <v>4046</v>
      </c>
      <c r="M40" s="33">
        <v>249900</v>
      </c>
      <c r="N40" s="9">
        <f t="shared" si="2"/>
        <v>0.75</v>
      </c>
      <c r="O40" s="46">
        <f t="shared" si="1"/>
        <v>62475</v>
      </c>
      <c r="P40" s="6" t="str">
        <f t="shared" si="3"/>
        <v>PERCENTAGE</v>
      </c>
    </row>
    <row r="41" spans="1:16" x14ac:dyDescent="0.25">
      <c r="A41" s="6" t="str">
        <f t="shared" si="4"/>
        <v>2024 NOV-DEC D75</v>
      </c>
      <c r="B41" s="7">
        <f t="shared" si="4"/>
        <v>46114</v>
      </c>
      <c r="C41" s="7">
        <f t="shared" si="4"/>
        <v>46120</v>
      </c>
      <c r="D41" s="6">
        <v>3280</v>
      </c>
      <c r="E41" s="6">
        <v>337</v>
      </c>
      <c r="F41" s="6">
        <v>4</v>
      </c>
      <c r="G41" s="34">
        <v>2</v>
      </c>
      <c r="H41" s="34">
        <v>81490</v>
      </c>
      <c r="I41" s="34" t="s">
        <v>1505</v>
      </c>
      <c r="J41" s="35">
        <v>15395389</v>
      </c>
      <c r="K41" s="34" t="s">
        <v>4034</v>
      </c>
      <c r="L41" s="34" t="s">
        <v>4047</v>
      </c>
      <c r="M41" s="33">
        <v>259900</v>
      </c>
      <c r="N41" s="9">
        <f t="shared" si="2"/>
        <v>0.75</v>
      </c>
      <c r="O41" s="46">
        <f t="shared" si="1"/>
        <v>64975</v>
      </c>
      <c r="P41" s="6" t="str">
        <f t="shared" si="3"/>
        <v>PERCENTAGE</v>
      </c>
    </row>
    <row r="42" spans="1:16" x14ac:dyDescent="0.25">
      <c r="A42" s="6" t="str">
        <f t="shared" si="4"/>
        <v>2024 NOV-DEC D75</v>
      </c>
      <c r="B42" s="7">
        <f t="shared" si="4"/>
        <v>46114</v>
      </c>
      <c r="C42" s="7">
        <f t="shared" si="4"/>
        <v>46120</v>
      </c>
      <c r="D42" s="6">
        <v>3280</v>
      </c>
      <c r="E42" s="6">
        <v>337</v>
      </c>
      <c r="F42" s="6">
        <v>4</v>
      </c>
      <c r="G42" s="34">
        <v>2</v>
      </c>
      <c r="H42" s="34">
        <v>81490</v>
      </c>
      <c r="I42" s="34" t="s">
        <v>1505</v>
      </c>
      <c r="J42" s="35">
        <v>15395441</v>
      </c>
      <c r="K42" s="34" t="s">
        <v>4034</v>
      </c>
      <c r="L42" s="34" t="s">
        <v>4048</v>
      </c>
      <c r="M42" s="33">
        <v>259900</v>
      </c>
      <c r="N42" s="9">
        <f t="shared" si="2"/>
        <v>0.75</v>
      </c>
      <c r="O42" s="46">
        <f t="shared" si="1"/>
        <v>64975</v>
      </c>
      <c r="P42" s="6" t="str">
        <f t="shared" si="3"/>
        <v>PERCENTAGE</v>
      </c>
    </row>
    <row r="43" spans="1:16" x14ac:dyDescent="0.25">
      <c r="A43" s="6" t="str">
        <f t="shared" si="4"/>
        <v>2024 NOV-DEC D75</v>
      </c>
      <c r="B43" s="7">
        <f t="shared" si="4"/>
        <v>46114</v>
      </c>
      <c r="C43" s="7">
        <f t="shared" si="4"/>
        <v>46120</v>
      </c>
      <c r="D43" s="6">
        <v>3280</v>
      </c>
      <c r="E43" s="6">
        <v>337</v>
      </c>
      <c r="F43" s="6">
        <v>4</v>
      </c>
      <c r="G43" s="34">
        <v>2</v>
      </c>
      <c r="H43" s="34">
        <v>81490</v>
      </c>
      <c r="I43" s="34" t="s">
        <v>1505</v>
      </c>
      <c r="J43" s="35">
        <v>15395450</v>
      </c>
      <c r="K43" s="34" t="s">
        <v>4034</v>
      </c>
      <c r="L43" s="34" t="s">
        <v>4049</v>
      </c>
      <c r="M43" s="33">
        <v>259900</v>
      </c>
      <c r="N43" s="9">
        <f t="shared" si="2"/>
        <v>0.75</v>
      </c>
      <c r="O43" s="46">
        <f t="shared" si="1"/>
        <v>64975</v>
      </c>
      <c r="P43" s="6" t="str">
        <f t="shared" si="3"/>
        <v>PERCENTAGE</v>
      </c>
    </row>
    <row r="44" spans="1:16" x14ac:dyDescent="0.25">
      <c r="A44" s="6" t="str">
        <f t="shared" si="4"/>
        <v>2024 NOV-DEC D75</v>
      </c>
      <c r="B44" s="7">
        <f t="shared" si="4"/>
        <v>46114</v>
      </c>
      <c r="C44" s="7">
        <f t="shared" si="4"/>
        <v>46120</v>
      </c>
      <c r="D44" s="6">
        <v>3280</v>
      </c>
      <c r="E44" s="6">
        <v>337</v>
      </c>
      <c r="F44" s="6">
        <v>4</v>
      </c>
      <c r="G44" s="34">
        <v>2</v>
      </c>
      <c r="H44" s="34">
        <v>81306</v>
      </c>
      <c r="I44" s="15" t="s">
        <v>1505</v>
      </c>
      <c r="J44" s="15">
        <v>15396593</v>
      </c>
      <c r="K44" s="34" t="s">
        <v>4035</v>
      </c>
      <c r="L44" s="34" t="s">
        <v>4050</v>
      </c>
      <c r="M44" s="33">
        <v>239900</v>
      </c>
      <c r="N44" s="9">
        <f t="shared" si="2"/>
        <v>0.75</v>
      </c>
      <c r="O44" s="46">
        <f t="shared" si="1"/>
        <v>59975</v>
      </c>
      <c r="P44" s="6" t="str">
        <f t="shared" si="3"/>
        <v>PERCENTAGE</v>
      </c>
    </row>
    <row r="45" spans="1:16" x14ac:dyDescent="0.25">
      <c r="A45" s="6" t="str">
        <f t="shared" si="4"/>
        <v>2024 NOV-DEC D75</v>
      </c>
      <c r="B45" s="7">
        <f t="shared" si="4"/>
        <v>46114</v>
      </c>
      <c r="C45" s="7">
        <f t="shared" si="4"/>
        <v>46120</v>
      </c>
      <c r="D45" s="6">
        <v>3280</v>
      </c>
      <c r="E45" s="6">
        <v>337</v>
      </c>
      <c r="F45" s="6">
        <v>4</v>
      </c>
      <c r="G45" s="34">
        <v>2</v>
      </c>
      <c r="H45" s="34">
        <v>81306</v>
      </c>
      <c r="I45" s="15" t="s">
        <v>1505</v>
      </c>
      <c r="J45" s="15">
        <v>15396600</v>
      </c>
      <c r="K45" s="34" t="s">
        <v>4035</v>
      </c>
      <c r="L45" s="34" t="s">
        <v>4051</v>
      </c>
      <c r="M45" s="33">
        <v>239900</v>
      </c>
      <c r="N45" s="9">
        <f t="shared" si="2"/>
        <v>0.75</v>
      </c>
      <c r="O45" s="46">
        <f t="shared" si="1"/>
        <v>59975</v>
      </c>
      <c r="P45" s="6" t="str">
        <f t="shared" si="3"/>
        <v>PERCENTAGE</v>
      </c>
    </row>
    <row r="46" spans="1:16" x14ac:dyDescent="0.25">
      <c r="A46" s="6" t="str">
        <f t="shared" si="4"/>
        <v>2024 NOV-DEC D75</v>
      </c>
      <c r="B46" s="7">
        <f t="shared" si="4"/>
        <v>46114</v>
      </c>
      <c r="C46" s="7">
        <f t="shared" si="4"/>
        <v>46120</v>
      </c>
      <c r="D46" s="6">
        <v>3280</v>
      </c>
      <c r="E46" s="6">
        <v>337</v>
      </c>
      <c r="F46" s="6">
        <v>4</v>
      </c>
      <c r="G46" s="34">
        <v>2</v>
      </c>
      <c r="H46" s="34">
        <v>81306</v>
      </c>
      <c r="I46" s="15" t="s">
        <v>1505</v>
      </c>
      <c r="J46" s="15">
        <v>15396619</v>
      </c>
      <c r="K46" s="34" t="s">
        <v>4035</v>
      </c>
      <c r="L46" s="34" t="s">
        <v>4052</v>
      </c>
      <c r="M46" s="33">
        <v>239900</v>
      </c>
      <c r="N46" s="9">
        <f t="shared" si="2"/>
        <v>0.75</v>
      </c>
      <c r="O46" s="46">
        <f t="shared" si="1"/>
        <v>59975</v>
      </c>
      <c r="P46" s="6" t="str">
        <f t="shared" si="3"/>
        <v>PERCENTAGE</v>
      </c>
    </row>
    <row r="47" spans="1:16" x14ac:dyDescent="0.25">
      <c r="A47" s="6" t="str">
        <f t="shared" si="4"/>
        <v>2024 NOV-DEC D75</v>
      </c>
      <c r="B47" s="7">
        <f t="shared" si="4"/>
        <v>46114</v>
      </c>
      <c r="C47" s="7">
        <f t="shared" si="4"/>
        <v>46120</v>
      </c>
      <c r="D47" s="6">
        <v>3280</v>
      </c>
      <c r="E47" s="6">
        <v>337</v>
      </c>
      <c r="F47" s="6">
        <v>4</v>
      </c>
      <c r="G47" s="34">
        <v>2</v>
      </c>
      <c r="H47" s="34">
        <v>81306</v>
      </c>
      <c r="I47" s="15" t="s">
        <v>1505</v>
      </c>
      <c r="J47" s="15">
        <v>15396628</v>
      </c>
      <c r="K47" s="34" t="s">
        <v>4035</v>
      </c>
      <c r="L47" s="34" t="s">
        <v>4053</v>
      </c>
      <c r="M47" s="33">
        <v>249900</v>
      </c>
      <c r="N47" s="9">
        <f t="shared" si="2"/>
        <v>0.75</v>
      </c>
      <c r="O47" s="46">
        <f t="shared" si="1"/>
        <v>62475</v>
      </c>
      <c r="P47" s="6" t="str">
        <f t="shared" si="3"/>
        <v>PERCENTAGE</v>
      </c>
    </row>
    <row r="48" spans="1:16" x14ac:dyDescent="0.25">
      <c r="A48" s="6" t="str">
        <f t="shared" si="4"/>
        <v>2024 NOV-DEC D75</v>
      </c>
      <c r="B48" s="7">
        <f t="shared" si="4"/>
        <v>46114</v>
      </c>
      <c r="C48" s="7">
        <f t="shared" si="4"/>
        <v>46120</v>
      </c>
      <c r="D48" s="6">
        <v>3280</v>
      </c>
      <c r="E48" s="6">
        <v>337</v>
      </c>
      <c r="F48" s="6">
        <v>4</v>
      </c>
      <c r="G48" s="34">
        <v>2</v>
      </c>
      <c r="H48" s="34">
        <v>81306</v>
      </c>
      <c r="I48" s="15" t="s">
        <v>1505</v>
      </c>
      <c r="J48" s="15">
        <v>15396637</v>
      </c>
      <c r="K48" s="34" t="s">
        <v>4035</v>
      </c>
      <c r="L48" s="34" t="s">
        <v>4054</v>
      </c>
      <c r="M48" s="33">
        <v>249900</v>
      </c>
      <c r="N48" s="9">
        <f t="shared" si="2"/>
        <v>0.75</v>
      </c>
      <c r="O48" s="46">
        <f t="shared" si="1"/>
        <v>62475</v>
      </c>
      <c r="P48" s="6" t="str">
        <f t="shared" si="3"/>
        <v>PERCENTAGE</v>
      </c>
    </row>
    <row r="49" spans="1:16" x14ac:dyDescent="0.25">
      <c r="A49" s="6" t="str">
        <f t="shared" si="4"/>
        <v>2024 NOV-DEC D75</v>
      </c>
      <c r="B49" s="7">
        <f t="shared" si="4"/>
        <v>46114</v>
      </c>
      <c r="C49" s="7">
        <f t="shared" si="4"/>
        <v>46120</v>
      </c>
      <c r="D49" s="6">
        <v>3280</v>
      </c>
      <c r="E49" s="6">
        <v>337</v>
      </c>
      <c r="F49" s="6">
        <v>4</v>
      </c>
      <c r="G49" s="34">
        <v>2</v>
      </c>
      <c r="H49" s="34">
        <v>81306</v>
      </c>
      <c r="I49" s="15" t="s">
        <v>1505</v>
      </c>
      <c r="J49" s="15">
        <v>15396646</v>
      </c>
      <c r="K49" s="34" t="s">
        <v>4035</v>
      </c>
      <c r="L49" s="34" t="s">
        <v>4055</v>
      </c>
      <c r="M49" s="33">
        <v>249900</v>
      </c>
      <c r="N49" s="9">
        <f t="shared" si="2"/>
        <v>0.75</v>
      </c>
      <c r="O49" s="46">
        <f t="shared" si="1"/>
        <v>62475</v>
      </c>
      <c r="P49" s="6" t="str">
        <f t="shared" si="3"/>
        <v>PERCENTAGE</v>
      </c>
    </row>
    <row r="50" spans="1:16" x14ac:dyDescent="0.25">
      <c r="A50" s="6" t="str">
        <f t="shared" si="4"/>
        <v>2024 NOV-DEC D75</v>
      </c>
      <c r="B50" s="7">
        <f t="shared" si="4"/>
        <v>46114</v>
      </c>
      <c r="C50" s="7">
        <f t="shared" si="4"/>
        <v>46120</v>
      </c>
      <c r="D50" s="6">
        <v>3280</v>
      </c>
      <c r="E50" s="6">
        <v>337</v>
      </c>
      <c r="F50" s="6">
        <v>4</v>
      </c>
      <c r="G50" s="34">
        <v>2</v>
      </c>
      <c r="H50" s="34">
        <v>81306</v>
      </c>
      <c r="I50" s="15" t="s">
        <v>1505</v>
      </c>
      <c r="J50" s="15">
        <v>45218951</v>
      </c>
      <c r="K50" s="15" t="s">
        <v>4036</v>
      </c>
      <c r="L50" s="15" t="s">
        <v>4056</v>
      </c>
      <c r="M50" s="33">
        <v>239900</v>
      </c>
      <c r="N50" s="9">
        <f t="shared" si="2"/>
        <v>0.75</v>
      </c>
      <c r="O50" s="46">
        <f t="shared" si="1"/>
        <v>59975</v>
      </c>
      <c r="P50" s="6" t="str">
        <f t="shared" si="3"/>
        <v>PERCENTAGE</v>
      </c>
    </row>
    <row r="51" spans="1:16" x14ac:dyDescent="0.25">
      <c r="A51" s="6" t="str">
        <f t="shared" si="4"/>
        <v>2024 NOV-DEC D75</v>
      </c>
      <c r="B51" s="7">
        <f t="shared" si="4"/>
        <v>46114</v>
      </c>
      <c r="C51" s="7">
        <f t="shared" si="4"/>
        <v>46120</v>
      </c>
      <c r="D51" s="6">
        <v>3280</v>
      </c>
      <c r="E51" s="6">
        <v>337</v>
      </c>
      <c r="F51" s="6">
        <v>4</v>
      </c>
      <c r="G51" s="34">
        <v>2</v>
      </c>
      <c r="H51" s="34">
        <v>81306</v>
      </c>
      <c r="I51" s="15" t="s">
        <v>1505</v>
      </c>
      <c r="J51" s="15">
        <v>45218960</v>
      </c>
      <c r="K51" s="15" t="s">
        <v>4036</v>
      </c>
      <c r="L51" s="15" t="s">
        <v>4057</v>
      </c>
      <c r="M51" s="33">
        <v>239900</v>
      </c>
      <c r="N51" s="9">
        <f t="shared" si="2"/>
        <v>0.75</v>
      </c>
      <c r="O51" s="46">
        <f t="shared" si="1"/>
        <v>59975</v>
      </c>
      <c r="P51" s="6" t="str">
        <f t="shared" si="3"/>
        <v>PERCENTAGE</v>
      </c>
    </row>
    <row r="52" spans="1:16" x14ac:dyDescent="0.25">
      <c r="A52" s="6" t="str">
        <f t="shared" si="4"/>
        <v>2024 NOV-DEC D75</v>
      </c>
      <c r="B52" s="7">
        <f t="shared" si="4"/>
        <v>46114</v>
      </c>
      <c r="C52" s="7">
        <f t="shared" si="4"/>
        <v>46120</v>
      </c>
      <c r="D52" s="6">
        <v>3280</v>
      </c>
      <c r="E52" s="6">
        <v>337</v>
      </c>
      <c r="F52" s="6">
        <v>4</v>
      </c>
      <c r="G52" s="34">
        <v>2</v>
      </c>
      <c r="H52" s="34">
        <v>81306</v>
      </c>
      <c r="I52" s="15" t="s">
        <v>1505</v>
      </c>
      <c r="J52" s="15">
        <v>45218979</v>
      </c>
      <c r="K52" s="15" t="s">
        <v>4036</v>
      </c>
      <c r="L52" s="15" t="s">
        <v>4058</v>
      </c>
      <c r="M52" s="33">
        <v>239900</v>
      </c>
      <c r="N52" s="9">
        <f t="shared" si="2"/>
        <v>0.75</v>
      </c>
      <c r="O52" s="46">
        <f t="shared" si="1"/>
        <v>59975</v>
      </c>
      <c r="P52" s="6" t="str">
        <f t="shared" si="3"/>
        <v>PERCENTAGE</v>
      </c>
    </row>
    <row r="53" spans="1:16" x14ac:dyDescent="0.25">
      <c r="A53" s="6" t="str">
        <f t="shared" si="4"/>
        <v>2024 NOV-DEC D75</v>
      </c>
      <c r="B53" s="7">
        <f t="shared" si="4"/>
        <v>46114</v>
      </c>
      <c r="C53" s="7">
        <f t="shared" si="4"/>
        <v>46120</v>
      </c>
      <c r="D53" s="6">
        <v>3280</v>
      </c>
      <c r="E53" s="6">
        <v>337</v>
      </c>
      <c r="F53" s="6">
        <v>4</v>
      </c>
      <c r="G53" s="34">
        <v>2</v>
      </c>
      <c r="H53" s="34">
        <v>81306</v>
      </c>
      <c r="I53" s="15" t="s">
        <v>1505</v>
      </c>
      <c r="J53" s="15">
        <v>45218988</v>
      </c>
      <c r="K53" s="15" t="s">
        <v>4036</v>
      </c>
      <c r="L53" s="15" t="s">
        <v>4059</v>
      </c>
      <c r="M53" s="33">
        <v>249900</v>
      </c>
      <c r="N53" s="9">
        <f t="shared" si="2"/>
        <v>0.75</v>
      </c>
      <c r="O53" s="46">
        <f t="shared" si="1"/>
        <v>62475</v>
      </c>
      <c r="P53" s="6" t="str">
        <f t="shared" si="3"/>
        <v>PERCENTAGE</v>
      </c>
    </row>
    <row r="54" spans="1:16" x14ac:dyDescent="0.25">
      <c r="A54" s="6" t="str">
        <f t="shared" si="4"/>
        <v>2024 NOV-DEC D75</v>
      </c>
      <c r="B54" s="7">
        <f t="shared" si="4"/>
        <v>46114</v>
      </c>
      <c r="C54" s="7">
        <f t="shared" si="4"/>
        <v>46120</v>
      </c>
      <c r="D54" s="6">
        <v>3280</v>
      </c>
      <c r="E54" s="6">
        <v>337</v>
      </c>
      <c r="F54" s="6">
        <v>4</v>
      </c>
      <c r="G54" s="34">
        <v>2</v>
      </c>
      <c r="H54" s="34">
        <v>81306</v>
      </c>
      <c r="I54" s="15" t="s">
        <v>1505</v>
      </c>
      <c r="J54" s="15">
        <v>45218997</v>
      </c>
      <c r="K54" s="15" t="s">
        <v>4036</v>
      </c>
      <c r="L54" s="15" t="s">
        <v>4060</v>
      </c>
      <c r="M54" s="33">
        <v>249900</v>
      </c>
      <c r="N54" s="9">
        <f t="shared" si="2"/>
        <v>0.75</v>
      </c>
      <c r="O54" s="46">
        <f t="shared" si="1"/>
        <v>62475</v>
      </c>
      <c r="P54" s="6" t="str">
        <f t="shared" si="3"/>
        <v>PERCENTAGE</v>
      </c>
    </row>
    <row r="55" spans="1:16" x14ac:dyDescent="0.25">
      <c r="A55" s="6" t="str">
        <f t="shared" si="4"/>
        <v>2024 NOV-DEC D75</v>
      </c>
      <c r="B55" s="7">
        <f t="shared" si="4"/>
        <v>46114</v>
      </c>
      <c r="C55" s="7">
        <f t="shared" si="4"/>
        <v>46120</v>
      </c>
      <c r="D55" s="6">
        <v>3280</v>
      </c>
      <c r="E55" s="6">
        <v>337</v>
      </c>
      <c r="F55" s="6">
        <v>4</v>
      </c>
      <c r="G55" s="34">
        <v>2</v>
      </c>
      <c r="H55" s="34">
        <v>81306</v>
      </c>
      <c r="I55" s="15" t="s">
        <v>1505</v>
      </c>
      <c r="J55" s="15">
        <v>45219003</v>
      </c>
      <c r="K55" s="15" t="s">
        <v>4036</v>
      </c>
      <c r="L55" s="15" t="s">
        <v>4061</v>
      </c>
      <c r="M55" s="33">
        <v>249900</v>
      </c>
      <c r="N55" s="9">
        <f t="shared" si="2"/>
        <v>0.75</v>
      </c>
      <c r="O55" s="46">
        <f t="shared" si="1"/>
        <v>62475</v>
      </c>
      <c r="P55" s="6" t="str">
        <f t="shared" si="3"/>
        <v>PERCENTAGE</v>
      </c>
    </row>
    <row r="56" spans="1:16" x14ac:dyDescent="0.25">
      <c r="A56" s="6" t="str">
        <f t="shared" si="4"/>
        <v>2024 NOV-DEC D75</v>
      </c>
      <c r="B56" s="7">
        <f t="shared" si="4"/>
        <v>46114</v>
      </c>
      <c r="C56" s="7">
        <f t="shared" si="4"/>
        <v>46120</v>
      </c>
      <c r="D56" s="6">
        <v>3280</v>
      </c>
      <c r="E56" s="6">
        <v>337</v>
      </c>
      <c r="F56" s="6">
        <v>4</v>
      </c>
      <c r="G56" s="34">
        <v>2</v>
      </c>
      <c r="H56" s="34">
        <v>81632</v>
      </c>
      <c r="I56" s="15" t="s">
        <v>1505</v>
      </c>
      <c r="J56" s="15">
        <v>50352635</v>
      </c>
      <c r="K56" s="15" t="s">
        <v>4037</v>
      </c>
      <c r="L56" s="15" t="s">
        <v>4062</v>
      </c>
      <c r="M56" s="33">
        <v>239900</v>
      </c>
      <c r="N56" s="9">
        <f t="shared" si="2"/>
        <v>0.75</v>
      </c>
      <c r="O56" s="46">
        <f t="shared" si="1"/>
        <v>59975</v>
      </c>
      <c r="P56" s="6" t="str">
        <f t="shared" si="3"/>
        <v>PERCENTAGE</v>
      </c>
    </row>
    <row r="57" spans="1:16" x14ac:dyDescent="0.25">
      <c r="A57" s="6" t="str">
        <f t="shared" si="4"/>
        <v>2024 NOV-DEC D75</v>
      </c>
      <c r="B57" s="7">
        <f t="shared" si="4"/>
        <v>46114</v>
      </c>
      <c r="C57" s="7">
        <f t="shared" si="4"/>
        <v>46120</v>
      </c>
      <c r="D57" s="6">
        <v>3280</v>
      </c>
      <c r="E57" s="6">
        <v>337</v>
      </c>
      <c r="F57" s="6">
        <v>4</v>
      </c>
      <c r="G57" s="34">
        <v>2</v>
      </c>
      <c r="H57" s="34">
        <v>81632</v>
      </c>
      <c r="I57" s="15" t="s">
        <v>1505</v>
      </c>
      <c r="J57" s="15">
        <v>50352644</v>
      </c>
      <c r="K57" s="15" t="s">
        <v>4037</v>
      </c>
      <c r="L57" s="15" t="s">
        <v>4063</v>
      </c>
      <c r="M57" s="33">
        <v>239900</v>
      </c>
      <c r="N57" s="9">
        <f t="shared" si="2"/>
        <v>0.75</v>
      </c>
      <c r="O57" s="46">
        <f t="shared" si="1"/>
        <v>59975</v>
      </c>
      <c r="P57" s="6" t="str">
        <f t="shared" si="3"/>
        <v>PERCENTAGE</v>
      </c>
    </row>
    <row r="58" spans="1:16" x14ac:dyDescent="0.25">
      <c r="A58" s="6" t="str">
        <f t="shared" si="4"/>
        <v>2024 NOV-DEC D75</v>
      </c>
      <c r="B58" s="7">
        <f t="shared" si="4"/>
        <v>46114</v>
      </c>
      <c r="C58" s="7">
        <f t="shared" si="4"/>
        <v>46120</v>
      </c>
      <c r="D58" s="6">
        <v>3280</v>
      </c>
      <c r="E58" s="6">
        <v>337</v>
      </c>
      <c r="F58" s="6">
        <v>4</v>
      </c>
      <c r="G58" s="34">
        <v>2</v>
      </c>
      <c r="H58" s="34">
        <v>81632</v>
      </c>
      <c r="I58" s="15" t="s">
        <v>1505</v>
      </c>
      <c r="J58" s="15">
        <v>50352653</v>
      </c>
      <c r="K58" s="15" t="s">
        <v>4037</v>
      </c>
      <c r="L58" s="15" t="s">
        <v>4064</v>
      </c>
      <c r="M58" s="33">
        <v>239900</v>
      </c>
      <c r="N58" s="9">
        <f t="shared" si="2"/>
        <v>0.75</v>
      </c>
      <c r="O58" s="46">
        <f t="shared" si="1"/>
        <v>59975</v>
      </c>
      <c r="P58" s="6" t="str">
        <f t="shared" si="3"/>
        <v>PERCENTAGE</v>
      </c>
    </row>
    <row r="59" spans="1:16" x14ac:dyDescent="0.25">
      <c r="A59" s="6" t="str">
        <f t="shared" si="4"/>
        <v>2024 NOV-DEC D75</v>
      </c>
      <c r="B59" s="7">
        <f t="shared" si="4"/>
        <v>46114</v>
      </c>
      <c r="C59" s="7">
        <f t="shared" si="4"/>
        <v>46120</v>
      </c>
      <c r="D59" s="6">
        <v>3280</v>
      </c>
      <c r="E59" s="6">
        <v>337</v>
      </c>
      <c r="F59" s="6">
        <v>4</v>
      </c>
      <c r="G59" s="34">
        <v>2</v>
      </c>
      <c r="H59" s="34">
        <v>81632</v>
      </c>
      <c r="I59" s="15" t="s">
        <v>1505</v>
      </c>
      <c r="J59" s="15">
        <v>50352662</v>
      </c>
      <c r="K59" s="15" t="s">
        <v>4037</v>
      </c>
      <c r="L59" s="15" t="s">
        <v>4065</v>
      </c>
      <c r="M59" s="33">
        <v>249900</v>
      </c>
      <c r="N59" s="9">
        <f t="shared" si="2"/>
        <v>0.75</v>
      </c>
      <c r="O59" s="46">
        <f t="shared" si="1"/>
        <v>62475</v>
      </c>
      <c r="P59" s="6" t="str">
        <f t="shared" si="3"/>
        <v>PERCENTAGE</v>
      </c>
    </row>
    <row r="60" spans="1:16" x14ac:dyDescent="0.25">
      <c r="A60" s="6" t="str">
        <f t="shared" si="4"/>
        <v>2024 NOV-DEC D75</v>
      </c>
      <c r="B60" s="7">
        <f t="shared" si="4"/>
        <v>46114</v>
      </c>
      <c r="C60" s="7">
        <f t="shared" si="4"/>
        <v>46120</v>
      </c>
      <c r="D60" s="6">
        <v>3280</v>
      </c>
      <c r="E60" s="6">
        <v>337</v>
      </c>
      <c r="F60" s="6">
        <v>4</v>
      </c>
      <c r="G60" s="34">
        <v>2</v>
      </c>
      <c r="H60" s="34">
        <v>81632</v>
      </c>
      <c r="I60" s="15" t="s">
        <v>1505</v>
      </c>
      <c r="J60" s="15">
        <v>50352671</v>
      </c>
      <c r="K60" s="15" t="s">
        <v>4037</v>
      </c>
      <c r="L60" s="15" t="s">
        <v>4066</v>
      </c>
      <c r="M60" s="33">
        <v>249900</v>
      </c>
      <c r="N60" s="9">
        <f t="shared" si="2"/>
        <v>0.75</v>
      </c>
      <c r="O60" s="46">
        <f t="shared" si="1"/>
        <v>62475</v>
      </c>
      <c r="P60" s="6" t="str">
        <f t="shared" si="3"/>
        <v>PERCENTAGE</v>
      </c>
    </row>
    <row r="61" spans="1:16" x14ac:dyDescent="0.25">
      <c r="A61" s="6" t="str">
        <f t="shared" si="4"/>
        <v>2024 NOV-DEC D75</v>
      </c>
      <c r="B61" s="7">
        <f t="shared" si="4"/>
        <v>46114</v>
      </c>
      <c r="C61" s="7">
        <f t="shared" si="4"/>
        <v>46120</v>
      </c>
      <c r="D61" s="6">
        <v>3280</v>
      </c>
      <c r="E61" s="6">
        <v>337</v>
      </c>
      <c r="F61" s="6">
        <v>4</v>
      </c>
      <c r="G61" s="34">
        <v>2</v>
      </c>
      <c r="H61" s="34">
        <v>81632</v>
      </c>
      <c r="I61" s="15" t="s">
        <v>1505</v>
      </c>
      <c r="J61" s="15">
        <v>50352680</v>
      </c>
      <c r="K61" s="15" t="s">
        <v>4037</v>
      </c>
      <c r="L61" s="15" t="s">
        <v>4067</v>
      </c>
      <c r="M61" s="33">
        <v>249900</v>
      </c>
      <c r="N61" s="9">
        <f t="shared" si="2"/>
        <v>0.75</v>
      </c>
      <c r="O61" s="46">
        <f t="shared" si="1"/>
        <v>62475</v>
      </c>
      <c r="P61" s="6" t="str">
        <f t="shared" si="3"/>
        <v>PERCENTAGE</v>
      </c>
    </row>
  </sheetData>
  <phoneticPr fontId="11" type="noConversion"/>
  <conditionalFormatting sqref="J1:J1048576">
    <cfRule type="duplicateValues" dxfId="8" priority="18"/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66"/>
  <sheetViews>
    <sheetView zoomScale="70" zoomScaleNormal="70" workbookViewId="0">
      <selection activeCell="F6" sqref="F6"/>
    </sheetView>
  </sheetViews>
  <sheetFormatPr defaultRowHeight="15" x14ac:dyDescent="0.25"/>
  <cols>
    <col min="1" max="1" width="21.140625" customWidth="1"/>
    <col min="2" max="2" width="15.28515625" bestFit="1" customWidth="1"/>
    <col min="3" max="3" width="18.28515625" bestFit="1" customWidth="1"/>
    <col min="4" max="4" width="12.28515625" customWidth="1"/>
    <col min="5" max="5" width="7.7109375" bestFit="1" customWidth="1"/>
    <col min="7" max="7" width="6.7109375" bestFit="1" customWidth="1"/>
    <col min="8" max="8" width="9.28515625" bestFit="1" customWidth="1"/>
    <col min="9" max="9" width="18.7109375" bestFit="1" customWidth="1"/>
    <col min="10" max="10" width="15.5703125" bestFit="1" customWidth="1"/>
    <col min="11" max="11" width="21" bestFit="1" customWidth="1"/>
    <col min="12" max="12" width="103.7109375" bestFit="1" customWidth="1"/>
    <col min="13" max="13" width="16" customWidth="1"/>
    <col min="14" max="14" width="7.7109375" bestFit="1" customWidth="1"/>
    <col min="15" max="15" width="15" style="45" bestFit="1" customWidth="1"/>
    <col min="16" max="16" width="32.85546875" bestFit="1" customWidth="1"/>
    <col min="18" max="18" width="10.28515625" bestFit="1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43" t="s">
        <v>8</v>
      </c>
      <c r="P1" s="10" t="s">
        <v>9</v>
      </c>
    </row>
    <row r="2" spans="1:16" x14ac:dyDescent="0.25">
      <c r="A2" s="15" t="s">
        <v>4422</v>
      </c>
      <c r="B2" s="7">
        <f>'2019 ALL D95'!B2</f>
        <v>46114</v>
      </c>
      <c r="C2" s="7">
        <f>'2019 ALL D95'!C2</f>
        <v>46120</v>
      </c>
      <c r="D2" s="6">
        <v>3280</v>
      </c>
      <c r="E2" s="6">
        <v>337</v>
      </c>
      <c r="F2" s="6">
        <v>4</v>
      </c>
      <c r="G2" s="25">
        <v>1</v>
      </c>
      <c r="H2" s="25">
        <v>81698</v>
      </c>
      <c r="I2" s="19" t="s">
        <v>1505</v>
      </c>
      <c r="J2" s="15">
        <v>52384811</v>
      </c>
      <c r="K2" s="25" t="s">
        <v>4328</v>
      </c>
      <c r="L2" s="25" t="s">
        <v>4329</v>
      </c>
      <c r="M2" s="28">
        <v>279900</v>
      </c>
      <c r="N2" s="9">
        <v>0.8</v>
      </c>
      <c r="O2" s="44">
        <f>M2-((80*M2)/100)</f>
        <v>55980</v>
      </c>
      <c r="P2" s="6" t="s">
        <v>15</v>
      </c>
    </row>
    <row r="3" spans="1:16" x14ac:dyDescent="0.25">
      <c r="A3" s="15" t="str">
        <f>A2</f>
        <v>2025 H1 D80</v>
      </c>
      <c r="B3" s="7">
        <f>B2</f>
        <v>46114</v>
      </c>
      <c r="C3" s="7">
        <f>C2</f>
        <v>46120</v>
      </c>
      <c r="D3" s="6">
        <v>3280</v>
      </c>
      <c r="E3" s="6">
        <v>337</v>
      </c>
      <c r="F3" s="6">
        <v>4</v>
      </c>
      <c r="G3" s="25">
        <v>1</v>
      </c>
      <c r="H3" s="25">
        <v>81698</v>
      </c>
      <c r="I3" s="19" t="s">
        <v>1505</v>
      </c>
      <c r="J3" s="15">
        <v>52384820</v>
      </c>
      <c r="K3" s="25" t="s">
        <v>4328</v>
      </c>
      <c r="L3" s="25" t="s">
        <v>4330</v>
      </c>
      <c r="M3" s="28">
        <v>279900</v>
      </c>
      <c r="N3" s="9">
        <f>N2</f>
        <v>0.8</v>
      </c>
      <c r="O3" s="44">
        <f>M3-((80*M3)/100)</f>
        <v>55980</v>
      </c>
      <c r="P3" s="6" t="str">
        <f>P2</f>
        <v>PERCENTAGE</v>
      </c>
    </row>
    <row r="4" spans="1:16" x14ac:dyDescent="0.25">
      <c r="A4" s="15" t="str">
        <f t="shared" ref="A4:A66" si="0">A3</f>
        <v>2025 H1 D80</v>
      </c>
      <c r="B4" s="7">
        <f t="shared" ref="B4:C19" si="1">B3</f>
        <v>46114</v>
      </c>
      <c r="C4" s="7">
        <f t="shared" si="1"/>
        <v>46120</v>
      </c>
      <c r="D4" s="6">
        <v>3280</v>
      </c>
      <c r="E4" s="6">
        <v>337</v>
      </c>
      <c r="F4" s="6">
        <v>4</v>
      </c>
      <c r="G4" s="25">
        <v>1</v>
      </c>
      <c r="H4" s="25">
        <v>81698</v>
      </c>
      <c r="I4" s="19" t="s">
        <v>1505</v>
      </c>
      <c r="J4" s="15">
        <v>52384839</v>
      </c>
      <c r="K4" s="25" t="s">
        <v>4328</v>
      </c>
      <c r="L4" s="25" t="s">
        <v>4331</v>
      </c>
      <c r="M4" s="28">
        <v>279900</v>
      </c>
      <c r="N4" s="9">
        <f t="shared" ref="N4:N66" si="2">N3</f>
        <v>0.8</v>
      </c>
      <c r="O4" s="44">
        <f t="shared" ref="O4:O65" si="3">M4-((80*M4)/100)</f>
        <v>55980</v>
      </c>
      <c r="P4" s="6" t="str">
        <f t="shared" ref="P4:P66" si="4">P3</f>
        <v>PERCENTAGE</v>
      </c>
    </row>
    <row r="5" spans="1:16" x14ac:dyDescent="0.25">
      <c r="A5" s="15" t="str">
        <f t="shared" si="0"/>
        <v>2025 H1 D80</v>
      </c>
      <c r="B5" s="7">
        <f t="shared" si="1"/>
        <v>46114</v>
      </c>
      <c r="C5" s="7">
        <f t="shared" si="1"/>
        <v>46120</v>
      </c>
      <c r="D5" s="6">
        <v>3280</v>
      </c>
      <c r="E5" s="6">
        <v>337</v>
      </c>
      <c r="F5" s="6">
        <v>4</v>
      </c>
      <c r="G5" s="25">
        <v>1</v>
      </c>
      <c r="H5" s="25">
        <v>81698</v>
      </c>
      <c r="I5" s="19" t="s">
        <v>1505</v>
      </c>
      <c r="J5" s="15">
        <v>52384848</v>
      </c>
      <c r="K5" s="25" t="s">
        <v>4328</v>
      </c>
      <c r="L5" s="25" t="s">
        <v>4332</v>
      </c>
      <c r="M5" s="28">
        <v>289900</v>
      </c>
      <c r="N5" s="9">
        <f t="shared" si="2"/>
        <v>0.8</v>
      </c>
      <c r="O5" s="44">
        <f t="shared" si="3"/>
        <v>57980</v>
      </c>
      <c r="P5" s="6" t="str">
        <f t="shared" si="4"/>
        <v>PERCENTAGE</v>
      </c>
    </row>
    <row r="6" spans="1:16" x14ac:dyDescent="0.25">
      <c r="A6" s="15" t="str">
        <f t="shared" si="0"/>
        <v>2025 H1 D80</v>
      </c>
      <c r="B6" s="7">
        <f t="shared" si="1"/>
        <v>46114</v>
      </c>
      <c r="C6" s="7">
        <f t="shared" si="1"/>
        <v>46120</v>
      </c>
      <c r="D6" s="6">
        <v>3280</v>
      </c>
      <c r="E6" s="6">
        <v>337</v>
      </c>
      <c r="F6" s="6">
        <v>4</v>
      </c>
      <c r="G6" s="25">
        <v>1</v>
      </c>
      <c r="H6" s="25">
        <v>81698</v>
      </c>
      <c r="I6" s="19" t="s">
        <v>1505</v>
      </c>
      <c r="J6" s="15">
        <v>52384857</v>
      </c>
      <c r="K6" s="25" t="s">
        <v>4328</v>
      </c>
      <c r="L6" s="25" t="s">
        <v>4333</v>
      </c>
      <c r="M6" s="28">
        <v>289900</v>
      </c>
      <c r="N6" s="9">
        <f t="shared" si="2"/>
        <v>0.8</v>
      </c>
      <c r="O6" s="44">
        <f t="shared" si="3"/>
        <v>57980</v>
      </c>
      <c r="P6" s="6" t="str">
        <f t="shared" si="4"/>
        <v>PERCENTAGE</v>
      </c>
    </row>
    <row r="7" spans="1:16" x14ac:dyDescent="0.25">
      <c r="A7" s="15" t="str">
        <f t="shared" si="0"/>
        <v>2025 H1 D80</v>
      </c>
      <c r="B7" s="7">
        <f t="shared" si="1"/>
        <v>46114</v>
      </c>
      <c r="C7" s="7">
        <f t="shared" si="1"/>
        <v>46120</v>
      </c>
      <c r="D7" s="6">
        <v>3280</v>
      </c>
      <c r="E7" s="6">
        <v>337</v>
      </c>
      <c r="F7" s="6">
        <v>4</v>
      </c>
      <c r="G7" s="25">
        <v>1</v>
      </c>
      <c r="H7" s="25">
        <v>81698</v>
      </c>
      <c r="I7" s="19" t="s">
        <v>1505</v>
      </c>
      <c r="J7" s="15">
        <v>52384866</v>
      </c>
      <c r="K7" s="25" t="s">
        <v>4328</v>
      </c>
      <c r="L7" s="25" t="s">
        <v>4334</v>
      </c>
      <c r="M7" s="28">
        <v>289900</v>
      </c>
      <c r="N7" s="9">
        <f t="shared" si="2"/>
        <v>0.8</v>
      </c>
      <c r="O7" s="44">
        <f t="shared" si="3"/>
        <v>57980</v>
      </c>
      <c r="P7" s="6" t="str">
        <f t="shared" si="4"/>
        <v>PERCENTAGE</v>
      </c>
    </row>
    <row r="8" spans="1:16" x14ac:dyDescent="0.25">
      <c r="A8" s="15" t="str">
        <f t="shared" si="0"/>
        <v>2025 H1 D80</v>
      </c>
      <c r="B8" s="7">
        <f t="shared" si="1"/>
        <v>46114</v>
      </c>
      <c r="C8" s="7">
        <f t="shared" si="1"/>
        <v>46120</v>
      </c>
      <c r="D8" s="6">
        <v>3280</v>
      </c>
      <c r="E8" s="6">
        <v>337</v>
      </c>
      <c r="F8" s="6">
        <v>4</v>
      </c>
      <c r="G8" s="25">
        <v>1</v>
      </c>
      <c r="H8" s="25">
        <v>81698</v>
      </c>
      <c r="I8" s="19" t="s">
        <v>1505</v>
      </c>
      <c r="J8" s="15">
        <v>52384759</v>
      </c>
      <c r="K8" s="25" t="s">
        <v>4278</v>
      </c>
      <c r="L8" s="25" t="s">
        <v>4279</v>
      </c>
      <c r="M8" s="28">
        <v>279900</v>
      </c>
      <c r="N8" s="9">
        <f t="shared" si="2"/>
        <v>0.8</v>
      </c>
      <c r="O8" s="44">
        <f t="shared" si="3"/>
        <v>55980</v>
      </c>
      <c r="P8" s="6" t="str">
        <f t="shared" si="4"/>
        <v>PERCENTAGE</v>
      </c>
    </row>
    <row r="9" spans="1:16" x14ac:dyDescent="0.25">
      <c r="A9" s="15" t="str">
        <f t="shared" si="0"/>
        <v>2025 H1 D80</v>
      </c>
      <c r="B9" s="7">
        <f t="shared" si="1"/>
        <v>46114</v>
      </c>
      <c r="C9" s="7">
        <f t="shared" si="1"/>
        <v>46120</v>
      </c>
      <c r="D9" s="6">
        <v>3280</v>
      </c>
      <c r="E9" s="6">
        <v>337</v>
      </c>
      <c r="F9" s="6">
        <v>4</v>
      </c>
      <c r="G9" s="25">
        <v>1</v>
      </c>
      <c r="H9" s="25">
        <v>81698</v>
      </c>
      <c r="I9" s="19" t="s">
        <v>1505</v>
      </c>
      <c r="J9" s="15">
        <v>52384768</v>
      </c>
      <c r="K9" s="25" t="s">
        <v>4278</v>
      </c>
      <c r="L9" s="25" t="s">
        <v>4280</v>
      </c>
      <c r="M9" s="28">
        <v>279900</v>
      </c>
      <c r="N9" s="9">
        <f t="shared" si="2"/>
        <v>0.8</v>
      </c>
      <c r="O9" s="44">
        <f t="shared" si="3"/>
        <v>55980</v>
      </c>
      <c r="P9" s="6" t="str">
        <f t="shared" si="4"/>
        <v>PERCENTAGE</v>
      </c>
    </row>
    <row r="10" spans="1:16" x14ac:dyDescent="0.25">
      <c r="A10" s="15" t="str">
        <f t="shared" si="0"/>
        <v>2025 H1 D80</v>
      </c>
      <c r="B10" s="7">
        <f t="shared" si="1"/>
        <v>46114</v>
      </c>
      <c r="C10" s="7">
        <f t="shared" si="1"/>
        <v>46120</v>
      </c>
      <c r="D10" s="6">
        <v>3280</v>
      </c>
      <c r="E10" s="6">
        <v>337</v>
      </c>
      <c r="F10" s="6">
        <v>4</v>
      </c>
      <c r="G10" s="25">
        <v>1</v>
      </c>
      <c r="H10" s="25">
        <v>81698</v>
      </c>
      <c r="I10" s="19" t="s">
        <v>1505</v>
      </c>
      <c r="J10" s="15">
        <v>52384777</v>
      </c>
      <c r="K10" s="25" t="s">
        <v>4278</v>
      </c>
      <c r="L10" s="25" t="s">
        <v>4281</v>
      </c>
      <c r="M10" s="28">
        <v>279900</v>
      </c>
      <c r="N10" s="9">
        <f t="shared" si="2"/>
        <v>0.8</v>
      </c>
      <c r="O10" s="44">
        <f t="shared" si="3"/>
        <v>55980</v>
      </c>
      <c r="P10" s="6" t="str">
        <f t="shared" si="4"/>
        <v>PERCENTAGE</v>
      </c>
    </row>
    <row r="11" spans="1:16" x14ac:dyDescent="0.25">
      <c r="A11" s="15" t="str">
        <f t="shared" si="0"/>
        <v>2025 H1 D80</v>
      </c>
      <c r="B11" s="7">
        <f t="shared" si="1"/>
        <v>46114</v>
      </c>
      <c r="C11" s="7">
        <f t="shared" si="1"/>
        <v>46120</v>
      </c>
      <c r="D11" s="6">
        <v>3280</v>
      </c>
      <c r="E11" s="6">
        <v>337</v>
      </c>
      <c r="F11" s="6">
        <v>4</v>
      </c>
      <c r="G11" s="25">
        <v>1</v>
      </c>
      <c r="H11" s="25">
        <v>81698</v>
      </c>
      <c r="I11" s="19" t="s">
        <v>1505</v>
      </c>
      <c r="J11" s="15">
        <v>52384786</v>
      </c>
      <c r="K11" s="25" t="s">
        <v>4278</v>
      </c>
      <c r="L11" s="25" t="s">
        <v>4282</v>
      </c>
      <c r="M11" s="28">
        <v>289900</v>
      </c>
      <c r="N11" s="9">
        <f t="shared" si="2"/>
        <v>0.8</v>
      </c>
      <c r="O11" s="44">
        <f t="shared" si="3"/>
        <v>57980</v>
      </c>
      <c r="P11" s="6" t="str">
        <f t="shared" si="4"/>
        <v>PERCENTAGE</v>
      </c>
    </row>
    <row r="12" spans="1:16" x14ac:dyDescent="0.25">
      <c r="A12" s="15" t="str">
        <f t="shared" si="0"/>
        <v>2025 H1 D80</v>
      </c>
      <c r="B12" s="7">
        <f t="shared" si="1"/>
        <v>46114</v>
      </c>
      <c r="C12" s="7">
        <f t="shared" si="1"/>
        <v>46120</v>
      </c>
      <c r="D12" s="6">
        <v>3280</v>
      </c>
      <c r="E12" s="6">
        <v>337</v>
      </c>
      <c r="F12" s="6">
        <v>4</v>
      </c>
      <c r="G12" s="25">
        <v>1</v>
      </c>
      <c r="H12" s="25">
        <v>81698</v>
      </c>
      <c r="I12" s="19" t="s">
        <v>1505</v>
      </c>
      <c r="J12" s="15">
        <v>52384795</v>
      </c>
      <c r="K12" s="25" t="s">
        <v>4278</v>
      </c>
      <c r="L12" s="25" t="s">
        <v>4283</v>
      </c>
      <c r="M12" s="28">
        <v>289900</v>
      </c>
      <c r="N12" s="9">
        <f t="shared" si="2"/>
        <v>0.8</v>
      </c>
      <c r="O12" s="44">
        <f t="shared" si="3"/>
        <v>57980</v>
      </c>
      <c r="P12" s="6" t="str">
        <f t="shared" si="4"/>
        <v>PERCENTAGE</v>
      </c>
    </row>
    <row r="13" spans="1:16" x14ac:dyDescent="0.25">
      <c r="A13" s="15" t="str">
        <f t="shared" si="0"/>
        <v>2025 H1 D80</v>
      </c>
      <c r="B13" s="7">
        <f t="shared" si="1"/>
        <v>46114</v>
      </c>
      <c r="C13" s="7">
        <f t="shared" si="1"/>
        <v>46120</v>
      </c>
      <c r="D13" s="6">
        <v>3280</v>
      </c>
      <c r="E13" s="6">
        <v>337</v>
      </c>
      <c r="F13" s="6">
        <v>4</v>
      </c>
      <c r="G13" s="25">
        <v>1</v>
      </c>
      <c r="H13" s="25">
        <v>81698</v>
      </c>
      <c r="I13" s="19" t="s">
        <v>1505</v>
      </c>
      <c r="J13" s="15">
        <v>52384802</v>
      </c>
      <c r="K13" s="25" t="s">
        <v>4278</v>
      </c>
      <c r="L13" s="25" t="s">
        <v>4284</v>
      </c>
      <c r="M13" s="28">
        <v>289900</v>
      </c>
      <c r="N13" s="9">
        <f t="shared" si="2"/>
        <v>0.8</v>
      </c>
      <c r="O13" s="44">
        <f t="shared" si="3"/>
        <v>57980</v>
      </c>
      <c r="P13" s="6" t="str">
        <f t="shared" si="4"/>
        <v>PERCENTAGE</v>
      </c>
    </row>
    <row r="14" spans="1:16" x14ac:dyDescent="0.25">
      <c r="A14" s="15" t="str">
        <f t="shared" si="0"/>
        <v>2025 H1 D80</v>
      </c>
      <c r="B14" s="7">
        <f t="shared" si="1"/>
        <v>46114</v>
      </c>
      <c r="C14" s="7">
        <f t="shared" si="1"/>
        <v>46120</v>
      </c>
      <c r="D14" s="6">
        <v>3280</v>
      </c>
      <c r="E14" s="6">
        <v>337</v>
      </c>
      <c r="F14" s="6">
        <v>4</v>
      </c>
      <c r="G14" s="25">
        <v>1</v>
      </c>
      <c r="H14" s="25">
        <v>81698</v>
      </c>
      <c r="I14" s="19" t="s">
        <v>1505</v>
      </c>
      <c r="J14" s="15">
        <v>50363276</v>
      </c>
      <c r="K14" s="25" t="s">
        <v>4201</v>
      </c>
      <c r="L14" s="25" t="s">
        <v>4202</v>
      </c>
      <c r="M14" s="28">
        <v>279900</v>
      </c>
      <c r="N14" s="9">
        <f t="shared" si="2"/>
        <v>0.8</v>
      </c>
      <c r="O14" s="44">
        <f t="shared" si="3"/>
        <v>55980</v>
      </c>
      <c r="P14" s="6" t="str">
        <f t="shared" si="4"/>
        <v>PERCENTAGE</v>
      </c>
    </row>
    <row r="15" spans="1:16" x14ac:dyDescent="0.25">
      <c r="A15" s="15" t="str">
        <f t="shared" si="0"/>
        <v>2025 H1 D80</v>
      </c>
      <c r="B15" s="7">
        <f t="shared" si="1"/>
        <v>46114</v>
      </c>
      <c r="C15" s="7">
        <f t="shared" si="1"/>
        <v>46120</v>
      </c>
      <c r="D15" s="6">
        <v>3280</v>
      </c>
      <c r="E15" s="6">
        <v>337</v>
      </c>
      <c r="F15" s="6">
        <v>4</v>
      </c>
      <c r="G15" s="25">
        <v>1</v>
      </c>
      <c r="H15" s="25">
        <v>81698</v>
      </c>
      <c r="I15" s="19" t="s">
        <v>1505</v>
      </c>
      <c r="J15" s="15">
        <v>50363285</v>
      </c>
      <c r="K15" s="25" t="s">
        <v>4201</v>
      </c>
      <c r="L15" s="25" t="s">
        <v>4203</v>
      </c>
      <c r="M15" s="28">
        <v>279900</v>
      </c>
      <c r="N15" s="9">
        <f t="shared" si="2"/>
        <v>0.8</v>
      </c>
      <c r="O15" s="44">
        <f t="shared" si="3"/>
        <v>55980</v>
      </c>
      <c r="P15" s="6" t="str">
        <f t="shared" si="4"/>
        <v>PERCENTAGE</v>
      </c>
    </row>
    <row r="16" spans="1:16" x14ac:dyDescent="0.25">
      <c r="A16" s="15" t="str">
        <f t="shared" si="0"/>
        <v>2025 H1 D80</v>
      </c>
      <c r="B16" s="7">
        <f t="shared" si="1"/>
        <v>46114</v>
      </c>
      <c r="C16" s="7">
        <f t="shared" si="1"/>
        <v>46120</v>
      </c>
      <c r="D16" s="6">
        <v>3280</v>
      </c>
      <c r="E16" s="6">
        <v>337</v>
      </c>
      <c r="F16" s="6">
        <v>4</v>
      </c>
      <c r="G16" s="25">
        <v>1</v>
      </c>
      <c r="H16" s="25">
        <v>81698</v>
      </c>
      <c r="I16" s="19" t="s">
        <v>1505</v>
      </c>
      <c r="J16" s="15">
        <v>50363294</v>
      </c>
      <c r="K16" s="25" t="s">
        <v>4201</v>
      </c>
      <c r="L16" s="19" t="s">
        <v>4204</v>
      </c>
      <c r="M16" s="28">
        <v>279900</v>
      </c>
      <c r="N16" s="9">
        <f t="shared" si="2"/>
        <v>0.8</v>
      </c>
      <c r="O16" s="44">
        <f t="shared" si="3"/>
        <v>55980</v>
      </c>
      <c r="P16" s="6" t="str">
        <f t="shared" si="4"/>
        <v>PERCENTAGE</v>
      </c>
    </row>
    <row r="17" spans="1:16" x14ac:dyDescent="0.25">
      <c r="A17" s="15" t="str">
        <f t="shared" si="0"/>
        <v>2025 H1 D80</v>
      </c>
      <c r="B17" s="7">
        <f t="shared" si="1"/>
        <v>46114</v>
      </c>
      <c r="C17" s="7">
        <f t="shared" si="1"/>
        <v>46120</v>
      </c>
      <c r="D17" s="6">
        <v>3280</v>
      </c>
      <c r="E17" s="6">
        <v>337</v>
      </c>
      <c r="F17" s="6">
        <v>4</v>
      </c>
      <c r="G17" s="25">
        <v>1</v>
      </c>
      <c r="H17" s="25">
        <v>81698</v>
      </c>
      <c r="I17" s="19" t="s">
        <v>1505</v>
      </c>
      <c r="J17" s="15">
        <v>50363301</v>
      </c>
      <c r="K17" s="25" t="s">
        <v>4201</v>
      </c>
      <c r="L17" s="25" t="s">
        <v>4205</v>
      </c>
      <c r="M17" s="28">
        <v>289900</v>
      </c>
      <c r="N17" s="9">
        <f t="shared" si="2"/>
        <v>0.8</v>
      </c>
      <c r="O17" s="44">
        <f t="shared" si="3"/>
        <v>57980</v>
      </c>
      <c r="P17" s="6" t="str">
        <f t="shared" si="4"/>
        <v>PERCENTAGE</v>
      </c>
    </row>
    <row r="18" spans="1:16" x14ac:dyDescent="0.25">
      <c r="A18" s="15" t="str">
        <f t="shared" si="0"/>
        <v>2025 H1 D80</v>
      </c>
      <c r="B18" s="7">
        <f t="shared" si="1"/>
        <v>46114</v>
      </c>
      <c r="C18" s="7">
        <f t="shared" si="1"/>
        <v>46120</v>
      </c>
      <c r="D18" s="6">
        <v>3280</v>
      </c>
      <c r="E18" s="6">
        <v>337</v>
      </c>
      <c r="F18" s="6">
        <v>4</v>
      </c>
      <c r="G18" s="25">
        <v>1</v>
      </c>
      <c r="H18" s="25">
        <v>81698</v>
      </c>
      <c r="I18" s="19" t="s">
        <v>1505</v>
      </c>
      <c r="J18" s="15">
        <v>50363310</v>
      </c>
      <c r="K18" s="25" t="s">
        <v>4201</v>
      </c>
      <c r="L18" s="25" t="s">
        <v>4206</v>
      </c>
      <c r="M18" s="28">
        <v>289900</v>
      </c>
      <c r="N18" s="9">
        <f t="shared" si="2"/>
        <v>0.8</v>
      </c>
      <c r="O18" s="44">
        <f t="shared" si="3"/>
        <v>57980</v>
      </c>
      <c r="P18" s="6" t="str">
        <f t="shared" si="4"/>
        <v>PERCENTAGE</v>
      </c>
    </row>
    <row r="19" spans="1:16" x14ac:dyDescent="0.25">
      <c r="A19" s="15" t="str">
        <f t="shared" si="0"/>
        <v>2025 H1 D80</v>
      </c>
      <c r="B19" s="7">
        <f t="shared" si="1"/>
        <v>46114</v>
      </c>
      <c r="C19" s="7">
        <f t="shared" si="1"/>
        <v>46120</v>
      </c>
      <c r="D19" s="6">
        <v>3280</v>
      </c>
      <c r="E19" s="6">
        <v>337</v>
      </c>
      <c r="F19" s="6">
        <v>4</v>
      </c>
      <c r="G19" s="25">
        <v>1</v>
      </c>
      <c r="H19" s="25">
        <v>81698</v>
      </c>
      <c r="I19" s="19" t="s">
        <v>1505</v>
      </c>
      <c r="J19" s="15">
        <v>50363329</v>
      </c>
      <c r="K19" s="25" t="s">
        <v>4201</v>
      </c>
      <c r="L19" s="25" t="s">
        <v>4207</v>
      </c>
      <c r="M19" s="28">
        <v>289900</v>
      </c>
      <c r="N19" s="9">
        <f t="shared" si="2"/>
        <v>0.8</v>
      </c>
      <c r="O19" s="44">
        <f t="shared" si="3"/>
        <v>57980</v>
      </c>
      <c r="P19" s="6" t="str">
        <f t="shared" si="4"/>
        <v>PERCENTAGE</v>
      </c>
    </row>
    <row r="20" spans="1:16" x14ac:dyDescent="0.25">
      <c r="A20" s="15" t="str">
        <f t="shared" si="0"/>
        <v>2025 H1 D80</v>
      </c>
      <c r="B20" s="7">
        <f t="shared" ref="B20:C35" si="5">B19</f>
        <v>46114</v>
      </c>
      <c r="C20" s="7">
        <f t="shared" si="5"/>
        <v>46120</v>
      </c>
      <c r="D20" s="6">
        <v>3280</v>
      </c>
      <c r="E20" s="6">
        <v>337</v>
      </c>
      <c r="F20" s="6">
        <v>4</v>
      </c>
      <c r="G20" s="25">
        <v>2</v>
      </c>
      <c r="H20" s="25">
        <v>81506</v>
      </c>
      <c r="I20" s="19" t="s">
        <v>1505</v>
      </c>
      <c r="J20" s="15">
        <v>52036223</v>
      </c>
      <c r="K20" s="25" t="s">
        <v>4321</v>
      </c>
      <c r="L20" s="25" t="s">
        <v>4322</v>
      </c>
      <c r="M20" s="28">
        <v>249900</v>
      </c>
      <c r="N20" s="9">
        <f t="shared" si="2"/>
        <v>0.8</v>
      </c>
      <c r="O20" s="44">
        <f t="shared" si="3"/>
        <v>49980</v>
      </c>
      <c r="P20" s="6" t="str">
        <f t="shared" si="4"/>
        <v>PERCENTAGE</v>
      </c>
    </row>
    <row r="21" spans="1:16" x14ac:dyDescent="0.25">
      <c r="A21" s="15" t="str">
        <f t="shared" si="0"/>
        <v>2025 H1 D80</v>
      </c>
      <c r="B21" s="7">
        <f t="shared" si="5"/>
        <v>46114</v>
      </c>
      <c r="C21" s="7">
        <f t="shared" si="5"/>
        <v>46120</v>
      </c>
      <c r="D21" s="6">
        <v>3280</v>
      </c>
      <c r="E21" s="6">
        <v>337</v>
      </c>
      <c r="F21" s="6">
        <v>4</v>
      </c>
      <c r="G21" s="25">
        <v>2</v>
      </c>
      <c r="H21" s="25">
        <v>81506</v>
      </c>
      <c r="I21" s="19" t="s">
        <v>1505</v>
      </c>
      <c r="J21" s="15">
        <v>52036232</v>
      </c>
      <c r="K21" s="25" t="s">
        <v>4321</v>
      </c>
      <c r="L21" s="25" t="s">
        <v>4323</v>
      </c>
      <c r="M21" s="28">
        <v>249900</v>
      </c>
      <c r="N21" s="9">
        <f t="shared" si="2"/>
        <v>0.8</v>
      </c>
      <c r="O21" s="44">
        <f t="shared" si="3"/>
        <v>49980</v>
      </c>
      <c r="P21" s="6" t="str">
        <f t="shared" si="4"/>
        <v>PERCENTAGE</v>
      </c>
    </row>
    <row r="22" spans="1:16" x14ac:dyDescent="0.25">
      <c r="A22" s="15" t="str">
        <f t="shared" si="0"/>
        <v>2025 H1 D80</v>
      </c>
      <c r="B22" s="7">
        <f t="shared" si="5"/>
        <v>46114</v>
      </c>
      <c r="C22" s="7">
        <f t="shared" si="5"/>
        <v>46120</v>
      </c>
      <c r="D22" s="6">
        <v>3280</v>
      </c>
      <c r="E22" s="6">
        <v>337</v>
      </c>
      <c r="F22" s="6">
        <v>4</v>
      </c>
      <c r="G22" s="25">
        <v>2</v>
      </c>
      <c r="H22" s="25">
        <v>81506</v>
      </c>
      <c r="I22" s="19" t="s">
        <v>1505</v>
      </c>
      <c r="J22" s="15">
        <v>52036241</v>
      </c>
      <c r="K22" s="25" t="s">
        <v>4321</v>
      </c>
      <c r="L22" s="25" t="s">
        <v>4324</v>
      </c>
      <c r="M22" s="28">
        <v>249900</v>
      </c>
      <c r="N22" s="9">
        <f t="shared" si="2"/>
        <v>0.8</v>
      </c>
      <c r="O22" s="44">
        <f t="shared" si="3"/>
        <v>49980</v>
      </c>
      <c r="P22" s="6" t="str">
        <f t="shared" si="4"/>
        <v>PERCENTAGE</v>
      </c>
    </row>
    <row r="23" spans="1:16" x14ac:dyDescent="0.25">
      <c r="A23" s="15" t="str">
        <f t="shared" si="0"/>
        <v>2025 H1 D80</v>
      </c>
      <c r="B23" s="7">
        <f t="shared" si="5"/>
        <v>46114</v>
      </c>
      <c r="C23" s="7">
        <f t="shared" si="5"/>
        <v>46120</v>
      </c>
      <c r="D23" s="6">
        <v>3280</v>
      </c>
      <c r="E23" s="6">
        <v>337</v>
      </c>
      <c r="F23" s="6">
        <v>4</v>
      </c>
      <c r="G23" s="25">
        <v>2</v>
      </c>
      <c r="H23" s="25">
        <v>81506</v>
      </c>
      <c r="I23" s="19" t="s">
        <v>1505</v>
      </c>
      <c r="J23" s="15">
        <v>52036250</v>
      </c>
      <c r="K23" s="25" t="s">
        <v>4321</v>
      </c>
      <c r="L23" s="25" t="s">
        <v>4325</v>
      </c>
      <c r="M23" s="28">
        <v>259900</v>
      </c>
      <c r="N23" s="9">
        <f t="shared" si="2"/>
        <v>0.8</v>
      </c>
      <c r="O23" s="44">
        <f t="shared" si="3"/>
        <v>51980</v>
      </c>
      <c r="P23" s="6" t="str">
        <f t="shared" si="4"/>
        <v>PERCENTAGE</v>
      </c>
    </row>
    <row r="24" spans="1:16" x14ac:dyDescent="0.25">
      <c r="A24" s="15" t="str">
        <f t="shared" si="0"/>
        <v>2025 H1 D80</v>
      </c>
      <c r="B24" s="7">
        <f t="shared" si="5"/>
        <v>46114</v>
      </c>
      <c r="C24" s="7">
        <f t="shared" si="5"/>
        <v>46120</v>
      </c>
      <c r="D24" s="6">
        <v>3280</v>
      </c>
      <c r="E24" s="6">
        <v>337</v>
      </c>
      <c r="F24" s="6">
        <v>4</v>
      </c>
      <c r="G24" s="25">
        <v>2</v>
      </c>
      <c r="H24" s="25">
        <v>81506</v>
      </c>
      <c r="I24" s="19" t="s">
        <v>1505</v>
      </c>
      <c r="J24" s="15">
        <v>52036269</v>
      </c>
      <c r="K24" s="25" t="s">
        <v>4321</v>
      </c>
      <c r="L24" s="25" t="s">
        <v>4326</v>
      </c>
      <c r="M24" s="28">
        <v>259900</v>
      </c>
      <c r="N24" s="9">
        <f t="shared" si="2"/>
        <v>0.8</v>
      </c>
      <c r="O24" s="44">
        <f t="shared" si="3"/>
        <v>51980</v>
      </c>
      <c r="P24" s="6" t="str">
        <f t="shared" si="4"/>
        <v>PERCENTAGE</v>
      </c>
    </row>
    <row r="25" spans="1:16" x14ac:dyDescent="0.25">
      <c r="A25" s="15" t="str">
        <f t="shared" si="0"/>
        <v>2025 H1 D80</v>
      </c>
      <c r="B25" s="7">
        <f t="shared" si="5"/>
        <v>46114</v>
      </c>
      <c r="C25" s="7">
        <f t="shared" si="5"/>
        <v>46120</v>
      </c>
      <c r="D25" s="6">
        <v>3280</v>
      </c>
      <c r="E25" s="6">
        <v>337</v>
      </c>
      <c r="F25" s="6">
        <v>4</v>
      </c>
      <c r="G25" s="25">
        <v>2</v>
      </c>
      <c r="H25" s="25">
        <v>81506</v>
      </c>
      <c r="I25" s="19" t="s">
        <v>1505</v>
      </c>
      <c r="J25" s="15">
        <v>52036278</v>
      </c>
      <c r="K25" s="25" t="s">
        <v>4321</v>
      </c>
      <c r="L25" s="25" t="s">
        <v>4327</v>
      </c>
      <c r="M25" s="28">
        <v>259900</v>
      </c>
      <c r="N25" s="9">
        <f t="shared" si="2"/>
        <v>0.8</v>
      </c>
      <c r="O25" s="44">
        <f t="shared" si="3"/>
        <v>51980</v>
      </c>
      <c r="P25" s="6" t="str">
        <f t="shared" si="4"/>
        <v>PERCENTAGE</v>
      </c>
    </row>
    <row r="26" spans="1:16" x14ac:dyDescent="0.25">
      <c r="A26" s="15" t="str">
        <f t="shared" si="0"/>
        <v>2025 H1 D80</v>
      </c>
      <c r="B26" s="7">
        <f t="shared" si="5"/>
        <v>46114</v>
      </c>
      <c r="C26" s="7">
        <f t="shared" si="5"/>
        <v>46120</v>
      </c>
      <c r="D26" s="6">
        <v>3280</v>
      </c>
      <c r="E26" s="6">
        <v>337</v>
      </c>
      <c r="F26" s="6">
        <v>4</v>
      </c>
      <c r="G26" s="25">
        <v>2</v>
      </c>
      <c r="H26" s="25">
        <v>81306</v>
      </c>
      <c r="I26" s="19" t="s">
        <v>1505</v>
      </c>
      <c r="J26" s="15">
        <v>51144377</v>
      </c>
      <c r="K26" s="25" t="s">
        <v>4342</v>
      </c>
      <c r="L26" s="25" t="s">
        <v>4351</v>
      </c>
      <c r="M26" s="28">
        <v>249900</v>
      </c>
      <c r="N26" s="9">
        <f t="shared" si="2"/>
        <v>0.8</v>
      </c>
      <c r="O26" s="44">
        <f t="shared" si="3"/>
        <v>49980</v>
      </c>
      <c r="P26" s="6" t="str">
        <f t="shared" si="4"/>
        <v>PERCENTAGE</v>
      </c>
    </row>
    <row r="27" spans="1:16" x14ac:dyDescent="0.25">
      <c r="A27" s="15" t="str">
        <f t="shared" si="0"/>
        <v>2025 H1 D80</v>
      </c>
      <c r="B27" s="7">
        <f t="shared" si="5"/>
        <v>46114</v>
      </c>
      <c r="C27" s="7">
        <f t="shared" si="5"/>
        <v>46120</v>
      </c>
      <c r="D27" s="6">
        <v>3280</v>
      </c>
      <c r="E27" s="6">
        <v>337</v>
      </c>
      <c r="F27" s="6">
        <v>4</v>
      </c>
      <c r="G27" s="25">
        <v>2</v>
      </c>
      <c r="H27" s="25">
        <v>81306</v>
      </c>
      <c r="I27" s="19" t="s">
        <v>1505</v>
      </c>
      <c r="J27" s="15">
        <v>51144386</v>
      </c>
      <c r="K27" s="25" t="s">
        <v>4342</v>
      </c>
      <c r="L27" s="25" t="s">
        <v>4352</v>
      </c>
      <c r="M27" s="28">
        <v>249900</v>
      </c>
      <c r="N27" s="9">
        <f t="shared" si="2"/>
        <v>0.8</v>
      </c>
      <c r="O27" s="44">
        <f t="shared" si="3"/>
        <v>49980</v>
      </c>
      <c r="P27" s="6" t="str">
        <f t="shared" si="4"/>
        <v>PERCENTAGE</v>
      </c>
    </row>
    <row r="28" spans="1:16" x14ac:dyDescent="0.25">
      <c r="A28" s="15" t="str">
        <f t="shared" si="0"/>
        <v>2025 H1 D80</v>
      </c>
      <c r="B28" s="7">
        <f t="shared" si="5"/>
        <v>46114</v>
      </c>
      <c r="C28" s="7">
        <f t="shared" si="5"/>
        <v>46120</v>
      </c>
      <c r="D28" s="6">
        <v>3280</v>
      </c>
      <c r="E28" s="6">
        <v>337</v>
      </c>
      <c r="F28" s="6">
        <v>4</v>
      </c>
      <c r="G28" s="25">
        <v>2</v>
      </c>
      <c r="H28" s="25">
        <v>81306</v>
      </c>
      <c r="I28" s="19" t="s">
        <v>1505</v>
      </c>
      <c r="J28" s="15">
        <v>51144395</v>
      </c>
      <c r="K28" s="25" t="s">
        <v>4342</v>
      </c>
      <c r="L28" s="25" t="s">
        <v>4353</v>
      </c>
      <c r="M28" s="28">
        <v>249900</v>
      </c>
      <c r="N28" s="9">
        <f t="shared" si="2"/>
        <v>0.8</v>
      </c>
      <c r="O28" s="44">
        <f t="shared" si="3"/>
        <v>49980</v>
      </c>
      <c r="P28" s="6" t="str">
        <f t="shared" si="4"/>
        <v>PERCENTAGE</v>
      </c>
    </row>
    <row r="29" spans="1:16" x14ac:dyDescent="0.25">
      <c r="A29" s="15" t="str">
        <f t="shared" si="0"/>
        <v>2025 H1 D80</v>
      </c>
      <c r="B29" s="7">
        <f t="shared" si="5"/>
        <v>46114</v>
      </c>
      <c r="C29" s="7">
        <f t="shared" si="5"/>
        <v>46120</v>
      </c>
      <c r="D29" s="6">
        <v>3280</v>
      </c>
      <c r="E29" s="6">
        <v>337</v>
      </c>
      <c r="F29" s="6">
        <v>4</v>
      </c>
      <c r="G29" s="25">
        <v>2</v>
      </c>
      <c r="H29" s="25">
        <v>81306</v>
      </c>
      <c r="I29" s="19" t="s">
        <v>1505</v>
      </c>
      <c r="J29" s="15">
        <v>51144402</v>
      </c>
      <c r="K29" s="25" t="s">
        <v>4342</v>
      </c>
      <c r="L29" s="25" t="s">
        <v>4354</v>
      </c>
      <c r="M29" s="28">
        <v>259900</v>
      </c>
      <c r="N29" s="9">
        <f t="shared" si="2"/>
        <v>0.8</v>
      </c>
      <c r="O29" s="44">
        <f t="shared" si="3"/>
        <v>51980</v>
      </c>
      <c r="P29" s="6" t="str">
        <f t="shared" si="4"/>
        <v>PERCENTAGE</v>
      </c>
    </row>
    <row r="30" spans="1:16" x14ac:dyDescent="0.25">
      <c r="A30" s="15" t="str">
        <f t="shared" si="0"/>
        <v>2025 H1 D80</v>
      </c>
      <c r="B30" s="7">
        <f t="shared" si="5"/>
        <v>46114</v>
      </c>
      <c r="C30" s="7">
        <f t="shared" si="5"/>
        <v>46120</v>
      </c>
      <c r="D30" s="6">
        <v>3280</v>
      </c>
      <c r="E30" s="6">
        <v>337</v>
      </c>
      <c r="F30" s="6">
        <v>4</v>
      </c>
      <c r="G30" s="25">
        <v>2</v>
      </c>
      <c r="H30" s="25">
        <v>81306</v>
      </c>
      <c r="I30" s="19" t="s">
        <v>1505</v>
      </c>
      <c r="J30" s="15">
        <v>51144411</v>
      </c>
      <c r="K30" s="25" t="s">
        <v>4342</v>
      </c>
      <c r="L30" s="25" t="s">
        <v>4355</v>
      </c>
      <c r="M30" s="28">
        <v>259900</v>
      </c>
      <c r="N30" s="9">
        <f t="shared" si="2"/>
        <v>0.8</v>
      </c>
      <c r="O30" s="44">
        <f t="shared" si="3"/>
        <v>51980</v>
      </c>
      <c r="P30" s="6" t="str">
        <f t="shared" si="4"/>
        <v>PERCENTAGE</v>
      </c>
    </row>
    <row r="31" spans="1:16" x14ac:dyDescent="0.25">
      <c r="A31" s="15" t="str">
        <f t="shared" si="0"/>
        <v>2025 H1 D80</v>
      </c>
      <c r="B31" s="7">
        <f t="shared" si="5"/>
        <v>46114</v>
      </c>
      <c r="C31" s="7">
        <f t="shared" si="5"/>
        <v>46120</v>
      </c>
      <c r="D31" s="6">
        <v>3280</v>
      </c>
      <c r="E31" s="6">
        <v>337</v>
      </c>
      <c r="F31" s="6">
        <v>4</v>
      </c>
      <c r="G31" s="25">
        <v>2</v>
      </c>
      <c r="H31" s="25">
        <v>81306</v>
      </c>
      <c r="I31" s="19" t="s">
        <v>1505</v>
      </c>
      <c r="J31" s="15">
        <v>51144420</v>
      </c>
      <c r="K31" s="25" t="s">
        <v>4342</v>
      </c>
      <c r="L31" s="25" t="s">
        <v>4356</v>
      </c>
      <c r="M31" s="28">
        <v>259900</v>
      </c>
      <c r="N31" s="9">
        <f t="shared" si="2"/>
        <v>0.8</v>
      </c>
      <c r="O31" s="44">
        <f t="shared" si="3"/>
        <v>51980</v>
      </c>
      <c r="P31" s="6" t="str">
        <f t="shared" si="4"/>
        <v>PERCENTAGE</v>
      </c>
    </row>
    <row r="32" spans="1:16" x14ac:dyDescent="0.25">
      <c r="A32" s="15" t="str">
        <f t="shared" si="0"/>
        <v>2025 H1 D80</v>
      </c>
      <c r="B32" s="7">
        <f t="shared" si="5"/>
        <v>46114</v>
      </c>
      <c r="C32" s="7">
        <f t="shared" si="5"/>
        <v>46120</v>
      </c>
      <c r="D32" s="6">
        <v>3280</v>
      </c>
      <c r="E32" s="6">
        <v>337</v>
      </c>
      <c r="F32" s="6">
        <v>4</v>
      </c>
      <c r="G32" s="25">
        <v>2</v>
      </c>
      <c r="H32" s="25">
        <v>81306</v>
      </c>
      <c r="I32" s="19" t="s">
        <v>1505</v>
      </c>
      <c r="J32" s="15">
        <v>51144439</v>
      </c>
      <c r="K32" s="25" t="s">
        <v>4292</v>
      </c>
      <c r="L32" s="25" t="s">
        <v>4293</v>
      </c>
      <c r="M32" s="28">
        <v>239900</v>
      </c>
      <c r="N32" s="9">
        <f t="shared" si="2"/>
        <v>0.8</v>
      </c>
      <c r="O32" s="44">
        <f t="shared" si="3"/>
        <v>47980</v>
      </c>
      <c r="P32" s="6" t="str">
        <f t="shared" si="4"/>
        <v>PERCENTAGE</v>
      </c>
    </row>
    <row r="33" spans="1:16" x14ac:dyDescent="0.25">
      <c r="A33" s="15" t="str">
        <f t="shared" si="0"/>
        <v>2025 H1 D80</v>
      </c>
      <c r="B33" s="7">
        <f t="shared" si="5"/>
        <v>46114</v>
      </c>
      <c r="C33" s="7">
        <f t="shared" si="5"/>
        <v>46120</v>
      </c>
      <c r="D33" s="6">
        <v>3280</v>
      </c>
      <c r="E33" s="6">
        <v>337</v>
      </c>
      <c r="F33" s="6">
        <v>4</v>
      </c>
      <c r="G33" s="25">
        <v>2</v>
      </c>
      <c r="H33" s="25">
        <v>81306</v>
      </c>
      <c r="I33" s="19" t="s">
        <v>1505</v>
      </c>
      <c r="J33" s="15">
        <v>51144448</v>
      </c>
      <c r="K33" s="25" t="s">
        <v>4292</v>
      </c>
      <c r="L33" s="25" t="s">
        <v>4294</v>
      </c>
      <c r="M33" s="28">
        <v>239900</v>
      </c>
      <c r="N33" s="9">
        <f t="shared" si="2"/>
        <v>0.8</v>
      </c>
      <c r="O33" s="44">
        <f t="shared" si="3"/>
        <v>47980</v>
      </c>
      <c r="P33" s="6" t="str">
        <f t="shared" si="4"/>
        <v>PERCENTAGE</v>
      </c>
    </row>
    <row r="34" spans="1:16" x14ac:dyDescent="0.25">
      <c r="A34" s="15" t="str">
        <f t="shared" si="0"/>
        <v>2025 H1 D80</v>
      </c>
      <c r="B34" s="7">
        <f t="shared" si="5"/>
        <v>46114</v>
      </c>
      <c r="C34" s="7">
        <f t="shared" si="5"/>
        <v>46120</v>
      </c>
      <c r="D34" s="6">
        <v>3280</v>
      </c>
      <c r="E34" s="6">
        <v>337</v>
      </c>
      <c r="F34" s="6">
        <v>4</v>
      </c>
      <c r="G34" s="25">
        <v>2</v>
      </c>
      <c r="H34" s="25">
        <v>81306</v>
      </c>
      <c r="I34" s="19" t="s">
        <v>1505</v>
      </c>
      <c r="J34" s="15">
        <v>51144457</v>
      </c>
      <c r="K34" s="25" t="s">
        <v>4292</v>
      </c>
      <c r="L34" s="25" t="s">
        <v>4295</v>
      </c>
      <c r="M34" s="28">
        <v>239900</v>
      </c>
      <c r="N34" s="9">
        <f t="shared" si="2"/>
        <v>0.8</v>
      </c>
      <c r="O34" s="44">
        <f t="shared" si="3"/>
        <v>47980</v>
      </c>
      <c r="P34" s="6" t="str">
        <f t="shared" si="4"/>
        <v>PERCENTAGE</v>
      </c>
    </row>
    <row r="35" spans="1:16" x14ac:dyDescent="0.25">
      <c r="A35" s="15" t="str">
        <f t="shared" si="0"/>
        <v>2025 H1 D80</v>
      </c>
      <c r="B35" s="7">
        <f t="shared" si="5"/>
        <v>46114</v>
      </c>
      <c r="C35" s="7">
        <f t="shared" si="5"/>
        <v>46120</v>
      </c>
      <c r="D35" s="6">
        <v>3280</v>
      </c>
      <c r="E35" s="6">
        <v>337</v>
      </c>
      <c r="F35" s="6">
        <v>4</v>
      </c>
      <c r="G35" s="25">
        <v>2</v>
      </c>
      <c r="H35" s="25">
        <v>81306</v>
      </c>
      <c r="I35" s="19" t="s">
        <v>1505</v>
      </c>
      <c r="J35" s="15">
        <v>51144466</v>
      </c>
      <c r="K35" s="25" t="s">
        <v>4292</v>
      </c>
      <c r="L35" s="25" t="s">
        <v>4296</v>
      </c>
      <c r="M35" s="28">
        <v>249900</v>
      </c>
      <c r="N35" s="9">
        <f t="shared" si="2"/>
        <v>0.8</v>
      </c>
      <c r="O35" s="44">
        <f t="shared" si="3"/>
        <v>49980</v>
      </c>
      <c r="P35" s="6" t="str">
        <f t="shared" si="4"/>
        <v>PERCENTAGE</v>
      </c>
    </row>
    <row r="36" spans="1:16" x14ac:dyDescent="0.25">
      <c r="A36" s="15" t="str">
        <f t="shared" si="0"/>
        <v>2025 H1 D80</v>
      </c>
      <c r="B36" s="7">
        <f t="shared" ref="B36:C49" si="6">B35</f>
        <v>46114</v>
      </c>
      <c r="C36" s="7">
        <f t="shared" si="6"/>
        <v>46120</v>
      </c>
      <c r="D36" s="6">
        <v>3280</v>
      </c>
      <c r="E36" s="6">
        <v>337</v>
      </c>
      <c r="F36" s="6">
        <v>4</v>
      </c>
      <c r="G36" s="25">
        <v>2</v>
      </c>
      <c r="H36" s="25">
        <v>81306</v>
      </c>
      <c r="I36" s="19" t="s">
        <v>1505</v>
      </c>
      <c r="J36" s="15">
        <v>51144475</v>
      </c>
      <c r="K36" s="25" t="s">
        <v>4292</v>
      </c>
      <c r="L36" s="25" t="s">
        <v>4297</v>
      </c>
      <c r="M36" s="28">
        <v>249900</v>
      </c>
      <c r="N36" s="9">
        <f t="shared" si="2"/>
        <v>0.8</v>
      </c>
      <c r="O36" s="44">
        <f t="shared" si="3"/>
        <v>49980</v>
      </c>
      <c r="P36" s="6" t="str">
        <f t="shared" si="4"/>
        <v>PERCENTAGE</v>
      </c>
    </row>
    <row r="37" spans="1:16" x14ac:dyDescent="0.25">
      <c r="A37" s="15" t="str">
        <f t="shared" si="0"/>
        <v>2025 H1 D80</v>
      </c>
      <c r="B37" s="7">
        <f t="shared" si="6"/>
        <v>46114</v>
      </c>
      <c r="C37" s="7">
        <f t="shared" si="6"/>
        <v>46120</v>
      </c>
      <c r="D37" s="6">
        <v>3280</v>
      </c>
      <c r="E37" s="6">
        <v>337</v>
      </c>
      <c r="F37" s="6">
        <v>4</v>
      </c>
      <c r="G37" s="25">
        <v>2</v>
      </c>
      <c r="H37" s="25">
        <v>81306</v>
      </c>
      <c r="I37" s="19" t="s">
        <v>1505</v>
      </c>
      <c r="J37" s="15">
        <v>51144484</v>
      </c>
      <c r="K37" s="25" t="s">
        <v>4292</v>
      </c>
      <c r="L37" s="25" t="s">
        <v>4298</v>
      </c>
      <c r="M37" s="28">
        <v>249900</v>
      </c>
      <c r="N37" s="9">
        <f t="shared" si="2"/>
        <v>0.8</v>
      </c>
      <c r="O37" s="44">
        <f t="shared" si="3"/>
        <v>49980</v>
      </c>
      <c r="P37" s="6" t="str">
        <f t="shared" si="4"/>
        <v>PERCENTAGE</v>
      </c>
    </row>
    <row r="38" spans="1:16" x14ac:dyDescent="0.25">
      <c r="A38" s="15" t="str">
        <f t="shared" si="0"/>
        <v>2025 H1 D80</v>
      </c>
      <c r="B38" s="7">
        <f t="shared" si="6"/>
        <v>46114</v>
      </c>
      <c r="C38" s="7">
        <f t="shared" si="6"/>
        <v>46120</v>
      </c>
      <c r="D38" s="6">
        <v>3280</v>
      </c>
      <c r="E38" s="6">
        <v>337</v>
      </c>
      <c r="F38" s="6">
        <v>4</v>
      </c>
      <c r="G38" s="25">
        <v>2</v>
      </c>
      <c r="H38" s="25">
        <v>81632</v>
      </c>
      <c r="I38" s="19" t="s">
        <v>1505</v>
      </c>
      <c r="J38" s="15">
        <v>51144975</v>
      </c>
      <c r="K38" s="25" t="s">
        <v>4285</v>
      </c>
      <c r="L38" s="25" t="s">
        <v>4286</v>
      </c>
      <c r="M38" s="28">
        <v>239900</v>
      </c>
      <c r="N38" s="9">
        <f t="shared" si="2"/>
        <v>0.8</v>
      </c>
      <c r="O38" s="44">
        <f t="shared" si="3"/>
        <v>47980</v>
      </c>
      <c r="P38" s="6" t="str">
        <f t="shared" si="4"/>
        <v>PERCENTAGE</v>
      </c>
    </row>
    <row r="39" spans="1:16" x14ac:dyDescent="0.25">
      <c r="A39" s="15" t="str">
        <f t="shared" si="0"/>
        <v>2025 H1 D80</v>
      </c>
      <c r="B39" s="7">
        <f t="shared" si="6"/>
        <v>46114</v>
      </c>
      <c r="C39" s="7">
        <f t="shared" si="6"/>
        <v>46120</v>
      </c>
      <c r="D39" s="6">
        <v>3280</v>
      </c>
      <c r="E39" s="6">
        <v>337</v>
      </c>
      <c r="F39" s="6">
        <v>4</v>
      </c>
      <c r="G39" s="25">
        <v>2</v>
      </c>
      <c r="H39" s="25">
        <v>81632</v>
      </c>
      <c r="I39" s="19" t="s">
        <v>1505</v>
      </c>
      <c r="J39" s="15">
        <v>51144984</v>
      </c>
      <c r="K39" s="25" t="s">
        <v>4285</v>
      </c>
      <c r="L39" s="25" t="s">
        <v>4287</v>
      </c>
      <c r="M39" s="28">
        <v>239900</v>
      </c>
      <c r="N39" s="9">
        <f t="shared" si="2"/>
        <v>0.8</v>
      </c>
      <c r="O39" s="44">
        <f t="shared" si="3"/>
        <v>47980</v>
      </c>
      <c r="P39" s="6" t="str">
        <f t="shared" si="4"/>
        <v>PERCENTAGE</v>
      </c>
    </row>
    <row r="40" spans="1:16" x14ac:dyDescent="0.25">
      <c r="A40" s="15" t="str">
        <f t="shared" si="0"/>
        <v>2025 H1 D80</v>
      </c>
      <c r="B40" s="7">
        <f t="shared" si="6"/>
        <v>46114</v>
      </c>
      <c r="C40" s="7">
        <f t="shared" si="6"/>
        <v>46120</v>
      </c>
      <c r="D40" s="6">
        <v>3280</v>
      </c>
      <c r="E40" s="6">
        <v>337</v>
      </c>
      <c r="F40" s="6">
        <v>4</v>
      </c>
      <c r="G40" s="25">
        <v>2</v>
      </c>
      <c r="H40" s="25">
        <v>81632</v>
      </c>
      <c r="I40" s="19" t="s">
        <v>1505</v>
      </c>
      <c r="J40" s="15">
        <v>51144993</v>
      </c>
      <c r="K40" s="25" t="s">
        <v>4285</v>
      </c>
      <c r="L40" s="25" t="s">
        <v>4288</v>
      </c>
      <c r="M40" s="28">
        <v>239900</v>
      </c>
      <c r="N40" s="9">
        <f t="shared" si="2"/>
        <v>0.8</v>
      </c>
      <c r="O40" s="44">
        <f t="shared" si="3"/>
        <v>47980</v>
      </c>
      <c r="P40" s="6" t="str">
        <f t="shared" si="4"/>
        <v>PERCENTAGE</v>
      </c>
    </row>
    <row r="41" spans="1:16" x14ac:dyDescent="0.25">
      <c r="A41" s="15" t="str">
        <f t="shared" si="0"/>
        <v>2025 H1 D80</v>
      </c>
      <c r="B41" s="7">
        <f t="shared" si="6"/>
        <v>46114</v>
      </c>
      <c r="C41" s="7">
        <f t="shared" si="6"/>
        <v>46120</v>
      </c>
      <c r="D41" s="6">
        <v>3280</v>
      </c>
      <c r="E41" s="6">
        <v>337</v>
      </c>
      <c r="F41" s="6">
        <v>4</v>
      </c>
      <c r="G41" s="25">
        <v>2</v>
      </c>
      <c r="H41" s="25">
        <v>81632</v>
      </c>
      <c r="I41" s="19" t="s">
        <v>1505</v>
      </c>
      <c r="J41" s="15">
        <v>51145009</v>
      </c>
      <c r="K41" s="25" t="s">
        <v>4285</v>
      </c>
      <c r="L41" s="25" t="s">
        <v>4289</v>
      </c>
      <c r="M41" s="28">
        <v>249900</v>
      </c>
      <c r="N41" s="9">
        <f t="shared" si="2"/>
        <v>0.8</v>
      </c>
      <c r="O41" s="44">
        <f t="shared" si="3"/>
        <v>49980</v>
      </c>
      <c r="P41" s="6" t="str">
        <f t="shared" si="4"/>
        <v>PERCENTAGE</v>
      </c>
    </row>
    <row r="42" spans="1:16" x14ac:dyDescent="0.25">
      <c r="A42" s="15" t="str">
        <f t="shared" si="0"/>
        <v>2025 H1 D80</v>
      </c>
      <c r="B42" s="7">
        <f t="shared" si="6"/>
        <v>46114</v>
      </c>
      <c r="C42" s="7">
        <f t="shared" si="6"/>
        <v>46120</v>
      </c>
      <c r="D42" s="6">
        <v>3280</v>
      </c>
      <c r="E42" s="6">
        <v>337</v>
      </c>
      <c r="F42" s="6">
        <v>4</v>
      </c>
      <c r="G42" s="25">
        <v>2</v>
      </c>
      <c r="H42" s="25">
        <v>81632</v>
      </c>
      <c r="I42" s="19" t="s">
        <v>1505</v>
      </c>
      <c r="J42" s="15">
        <v>51145018</v>
      </c>
      <c r="K42" s="25" t="s">
        <v>4285</v>
      </c>
      <c r="L42" s="25" t="s">
        <v>4290</v>
      </c>
      <c r="M42" s="28">
        <v>249900</v>
      </c>
      <c r="N42" s="9">
        <f t="shared" si="2"/>
        <v>0.8</v>
      </c>
      <c r="O42" s="44">
        <f t="shared" si="3"/>
        <v>49980</v>
      </c>
      <c r="P42" s="6" t="str">
        <f t="shared" si="4"/>
        <v>PERCENTAGE</v>
      </c>
    </row>
    <row r="43" spans="1:16" x14ac:dyDescent="0.25">
      <c r="A43" s="15" t="str">
        <f t="shared" si="0"/>
        <v>2025 H1 D80</v>
      </c>
      <c r="B43" s="7">
        <f t="shared" si="6"/>
        <v>46114</v>
      </c>
      <c r="C43" s="7">
        <f t="shared" si="6"/>
        <v>46120</v>
      </c>
      <c r="D43" s="6">
        <v>3280</v>
      </c>
      <c r="E43" s="6">
        <v>337</v>
      </c>
      <c r="F43" s="6">
        <v>4</v>
      </c>
      <c r="G43" s="25">
        <v>2</v>
      </c>
      <c r="H43" s="25">
        <v>81632</v>
      </c>
      <c r="I43" s="19" t="s">
        <v>1505</v>
      </c>
      <c r="J43" s="15">
        <v>51145027</v>
      </c>
      <c r="K43" s="25" t="s">
        <v>4285</v>
      </c>
      <c r="L43" s="25" t="s">
        <v>4291</v>
      </c>
      <c r="M43" s="28">
        <v>249900</v>
      </c>
      <c r="N43" s="9">
        <f t="shared" si="2"/>
        <v>0.8</v>
      </c>
      <c r="O43" s="44">
        <f t="shared" si="3"/>
        <v>49980</v>
      </c>
      <c r="P43" s="6" t="str">
        <f t="shared" si="4"/>
        <v>PERCENTAGE</v>
      </c>
    </row>
    <row r="44" spans="1:16" x14ac:dyDescent="0.25">
      <c r="A44" s="15" t="str">
        <f t="shared" si="0"/>
        <v>2025 H1 D80</v>
      </c>
      <c r="B44" s="7">
        <f t="shared" si="6"/>
        <v>46114</v>
      </c>
      <c r="C44" s="7">
        <f t="shared" si="6"/>
        <v>46120</v>
      </c>
      <c r="D44" s="6">
        <v>3280</v>
      </c>
      <c r="E44" s="6">
        <v>337</v>
      </c>
      <c r="F44" s="6">
        <v>4</v>
      </c>
      <c r="G44" s="25">
        <v>2</v>
      </c>
      <c r="H44" s="25">
        <v>81698</v>
      </c>
      <c r="I44" s="19" t="s">
        <v>1505</v>
      </c>
      <c r="J44" s="15">
        <v>51145036</v>
      </c>
      <c r="K44" s="25" t="s">
        <v>4343</v>
      </c>
      <c r="L44" s="25" t="s">
        <v>4357</v>
      </c>
      <c r="M44" s="28">
        <v>239900</v>
      </c>
      <c r="N44" s="9">
        <f t="shared" si="2"/>
        <v>0.8</v>
      </c>
      <c r="O44" s="44">
        <f t="shared" si="3"/>
        <v>47980</v>
      </c>
      <c r="P44" s="6" t="str">
        <f t="shared" si="4"/>
        <v>PERCENTAGE</v>
      </c>
    </row>
    <row r="45" spans="1:16" x14ac:dyDescent="0.25">
      <c r="A45" s="15" t="str">
        <f t="shared" si="0"/>
        <v>2025 H1 D80</v>
      </c>
      <c r="B45" s="7">
        <f t="shared" si="6"/>
        <v>46114</v>
      </c>
      <c r="C45" s="7">
        <f t="shared" si="6"/>
        <v>46120</v>
      </c>
      <c r="D45" s="6">
        <v>3280</v>
      </c>
      <c r="E45" s="6">
        <v>337</v>
      </c>
      <c r="F45" s="6">
        <v>4</v>
      </c>
      <c r="G45" s="25">
        <v>2</v>
      </c>
      <c r="H45" s="25">
        <v>81698</v>
      </c>
      <c r="I45" s="19" t="s">
        <v>1505</v>
      </c>
      <c r="J45" s="15">
        <v>51145045</v>
      </c>
      <c r="K45" s="25" t="s">
        <v>4343</v>
      </c>
      <c r="L45" s="25" t="s">
        <v>4358</v>
      </c>
      <c r="M45" s="28">
        <v>239900</v>
      </c>
      <c r="N45" s="9">
        <f t="shared" si="2"/>
        <v>0.8</v>
      </c>
      <c r="O45" s="44">
        <f t="shared" si="3"/>
        <v>47980</v>
      </c>
      <c r="P45" s="6" t="str">
        <f t="shared" si="4"/>
        <v>PERCENTAGE</v>
      </c>
    </row>
    <row r="46" spans="1:16" x14ac:dyDescent="0.25">
      <c r="A46" s="15" t="str">
        <f t="shared" si="0"/>
        <v>2025 H1 D80</v>
      </c>
      <c r="B46" s="7">
        <f t="shared" si="6"/>
        <v>46114</v>
      </c>
      <c r="C46" s="7">
        <f t="shared" si="6"/>
        <v>46120</v>
      </c>
      <c r="D46" s="6">
        <v>3280</v>
      </c>
      <c r="E46" s="6">
        <v>337</v>
      </c>
      <c r="F46" s="6">
        <v>4</v>
      </c>
      <c r="G46" s="25">
        <v>2</v>
      </c>
      <c r="H46" s="25">
        <v>81698</v>
      </c>
      <c r="I46" s="19" t="s">
        <v>1505</v>
      </c>
      <c r="J46" s="15">
        <v>51145054</v>
      </c>
      <c r="K46" s="25" t="s">
        <v>4343</v>
      </c>
      <c r="L46" s="25" t="s">
        <v>4359</v>
      </c>
      <c r="M46" s="28">
        <v>239900</v>
      </c>
      <c r="N46" s="9">
        <f t="shared" si="2"/>
        <v>0.8</v>
      </c>
      <c r="O46" s="44">
        <f t="shared" si="3"/>
        <v>47980</v>
      </c>
      <c r="P46" s="6" t="str">
        <f t="shared" si="4"/>
        <v>PERCENTAGE</v>
      </c>
    </row>
    <row r="47" spans="1:16" x14ac:dyDescent="0.25">
      <c r="A47" s="15" t="str">
        <f t="shared" si="0"/>
        <v>2025 H1 D80</v>
      </c>
      <c r="B47" s="7">
        <f t="shared" si="6"/>
        <v>46114</v>
      </c>
      <c r="C47" s="7">
        <f t="shared" si="6"/>
        <v>46120</v>
      </c>
      <c r="D47" s="6">
        <v>3280</v>
      </c>
      <c r="E47" s="6">
        <v>337</v>
      </c>
      <c r="F47" s="6">
        <v>4</v>
      </c>
      <c r="G47" s="25">
        <v>2</v>
      </c>
      <c r="H47" s="25">
        <v>81698</v>
      </c>
      <c r="I47" s="19" t="s">
        <v>1505</v>
      </c>
      <c r="J47" s="15">
        <v>51145063</v>
      </c>
      <c r="K47" s="25" t="s">
        <v>4343</v>
      </c>
      <c r="L47" s="25" t="s">
        <v>4360</v>
      </c>
      <c r="M47" s="28">
        <v>249900</v>
      </c>
      <c r="N47" s="9">
        <f t="shared" si="2"/>
        <v>0.8</v>
      </c>
      <c r="O47" s="44">
        <f t="shared" si="3"/>
        <v>49980</v>
      </c>
      <c r="P47" s="6" t="str">
        <f t="shared" si="4"/>
        <v>PERCENTAGE</v>
      </c>
    </row>
    <row r="48" spans="1:16" x14ac:dyDescent="0.25">
      <c r="A48" s="15" t="str">
        <f t="shared" si="0"/>
        <v>2025 H1 D80</v>
      </c>
      <c r="B48" s="7">
        <f t="shared" si="6"/>
        <v>46114</v>
      </c>
      <c r="C48" s="7">
        <f t="shared" si="6"/>
        <v>46120</v>
      </c>
      <c r="D48" s="6">
        <v>3280</v>
      </c>
      <c r="E48" s="6">
        <v>337</v>
      </c>
      <c r="F48" s="6">
        <v>4</v>
      </c>
      <c r="G48" s="25">
        <v>2</v>
      </c>
      <c r="H48" s="25">
        <v>81698</v>
      </c>
      <c r="I48" s="19" t="s">
        <v>1505</v>
      </c>
      <c r="J48" s="15">
        <v>51145072</v>
      </c>
      <c r="K48" s="25" t="s">
        <v>4343</v>
      </c>
      <c r="L48" s="25" t="s">
        <v>4361</v>
      </c>
      <c r="M48" s="28">
        <v>249900</v>
      </c>
      <c r="N48" s="9">
        <f t="shared" si="2"/>
        <v>0.8</v>
      </c>
      <c r="O48" s="44">
        <f t="shared" si="3"/>
        <v>49980</v>
      </c>
      <c r="P48" s="6" t="str">
        <f t="shared" si="4"/>
        <v>PERCENTAGE</v>
      </c>
    </row>
    <row r="49" spans="1:16" x14ac:dyDescent="0.25">
      <c r="A49" s="15" t="str">
        <f t="shared" si="0"/>
        <v>2025 H1 D80</v>
      </c>
      <c r="B49" s="7">
        <f t="shared" si="6"/>
        <v>46114</v>
      </c>
      <c r="C49" s="7">
        <f t="shared" si="6"/>
        <v>46120</v>
      </c>
      <c r="D49" s="6">
        <v>3280</v>
      </c>
      <c r="E49" s="6">
        <v>337</v>
      </c>
      <c r="F49" s="6">
        <v>4</v>
      </c>
      <c r="G49" s="25">
        <v>2</v>
      </c>
      <c r="H49" s="25">
        <v>81698</v>
      </c>
      <c r="I49" s="19" t="s">
        <v>1505</v>
      </c>
      <c r="J49" s="15">
        <v>51145081</v>
      </c>
      <c r="K49" s="25" t="s">
        <v>4343</v>
      </c>
      <c r="L49" s="25" t="s">
        <v>4362</v>
      </c>
      <c r="M49" s="28">
        <v>249900</v>
      </c>
      <c r="N49" s="9">
        <f t="shared" si="2"/>
        <v>0.8</v>
      </c>
      <c r="O49" s="44">
        <f t="shared" si="3"/>
        <v>49980</v>
      </c>
      <c r="P49" s="6" t="str">
        <f t="shared" si="4"/>
        <v>PERCENTAGE</v>
      </c>
    </row>
    <row r="50" spans="1:16" x14ac:dyDescent="0.25">
      <c r="A50" s="15" t="str">
        <f t="shared" si="0"/>
        <v>2025 H1 D80</v>
      </c>
      <c r="B50" s="7">
        <f t="shared" ref="B50:B66" si="7">B49</f>
        <v>46114</v>
      </c>
      <c r="C50" s="7">
        <f t="shared" ref="C50:C66" si="8">C49</f>
        <v>46120</v>
      </c>
      <c r="D50" s="6">
        <v>3280</v>
      </c>
      <c r="E50" s="6">
        <v>337</v>
      </c>
      <c r="F50" s="6">
        <v>4</v>
      </c>
      <c r="G50" s="15">
        <v>2</v>
      </c>
      <c r="H50" s="15">
        <v>81632</v>
      </c>
      <c r="I50" s="15" t="s">
        <v>1505</v>
      </c>
      <c r="J50" s="15">
        <v>51605851</v>
      </c>
      <c r="K50" s="15" t="s">
        <v>4344</v>
      </c>
      <c r="L50" s="15" t="s">
        <v>4363</v>
      </c>
      <c r="M50" s="15">
        <v>239900</v>
      </c>
      <c r="N50" s="9">
        <f t="shared" si="2"/>
        <v>0.8</v>
      </c>
      <c r="O50" s="44">
        <f t="shared" si="3"/>
        <v>47980</v>
      </c>
      <c r="P50" s="6" t="str">
        <f t="shared" si="4"/>
        <v>PERCENTAGE</v>
      </c>
    </row>
    <row r="51" spans="1:16" x14ac:dyDescent="0.25">
      <c r="A51" s="15" t="str">
        <f t="shared" si="0"/>
        <v>2025 H1 D80</v>
      </c>
      <c r="B51" s="7">
        <f t="shared" si="7"/>
        <v>46114</v>
      </c>
      <c r="C51" s="7">
        <f t="shared" si="8"/>
        <v>46120</v>
      </c>
      <c r="D51" s="6">
        <v>3280</v>
      </c>
      <c r="E51" s="6">
        <v>337</v>
      </c>
      <c r="F51" s="6">
        <v>4</v>
      </c>
      <c r="G51" s="15">
        <v>2</v>
      </c>
      <c r="H51" s="15">
        <v>81632</v>
      </c>
      <c r="I51" s="15" t="s">
        <v>1505</v>
      </c>
      <c r="J51" s="15">
        <v>51605860</v>
      </c>
      <c r="K51" s="15" t="s">
        <v>4344</v>
      </c>
      <c r="L51" s="15" t="s">
        <v>4364</v>
      </c>
      <c r="M51" s="15">
        <v>239900</v>
      </c>
      <c r="N51" s="9">
        <f t="shared" si="2"/>
        <v>0.8</v>
      </c>
      <c r="O51" s="44">
        <f t="shared" si="3"/>
        <v>47980</v>
      </c>
      <c r="P51" s="6" t="str">
        <f t="shared" si="4"/>
        <v>PERCENTAGE</v>
      </c>
    </row>
    <row r="52" spans="1:16" x14ac:dyDescent="0.25">
      <c r="A52" s="15" t="str">
        <f t="shared" si="0"/>
        <v>2025 H1 D80</v>
      </c>
      <c r="B52" s="7">
        <f t="shared" si="7"/>
        <v>46114</v>
      </c>
      <c r="C52" s="7">
        <f t="shared" si="8"/>
        <v>46120</v>
      </c>
      <c r="D52" s="6">
        <v>3280</v>
      </c>
      <c r="E52" s="6">
        <v>337</v>
      </c>
      <c r="F52" s="6">
        <v>4</v>
      </c>
      <c r="G52" s="15">
        <v>2</v>
      </c>
      <c r="H52" s="15">
        <v>81632</v>
      </c>
      <c r="I52" s="15" t="s">
        <v>1505</v>
      </c>
      <c r="J52" s="15">
        <v>51605879</v>
      </c>
      <c r="K52" s="15" t="s">
        <v>4344</v>
      </c>
      <c r="L52" s="15" t="s">
        <v>4365</v>
      </c>
      <c r="M52" s="15">
        <v>239900</v>
      </c>
      <c r="N52" s="9">
        <f t="shared" si="2"/>
        <v>0.8</v>
      </c>
      <c r="O52" s="44">
        <f t="shared" si="3"/>
        <v>47980</v>
      </c>
      <c r="P52" s="6" t="str">
        <f t="shared" si="4"/>
        <v>PERCENTAGE</v>
      </c>
    </row>
    <row r="53" spans="1:16" x14ac:dyDescent="0.25">
      <c r="A53" s="15" t="str">
        <f t="shared" si="0"/>
        <v>2025 H1 D80</v>
      </c>
      <c r="B53" s="7">
        <f t="shared" si="7"/>
        <v>46114</v>
      </c>
      <c r="C53" s="7">
        <f t="shared" si="8"/>
        <v>46120</v>
      </c>
      <c r="D53" s="6">
        <v>3280</v>
      </c>
      <c r="E53" s="6">
        <v>337</v>
      </c>
      <c r="F53" s="6">
        <v>4</v>
      </c>
      <c r="G53" s="15">
        <v>2</v>
      </c>
      <c r="H53" s="15">
        <v>81632</v>
      </c>
      <c r="I53" s="15" t="s">
        <v>1505</v>
      </c>
      <c r="J53" s="15">
        <v>51605888</v>
      </c>
      <c r="K53" s="15" t="s">
        <v>4344</v>
      </c>
      <c r="L53" s="15" t="s">
        <v>4366</v>
      </c>
      <c r="M53" s="15">
        <v>249900</v>
      </c>
      <c r="N53" s="9">
        <f t="shared" si="2"/>
        <v>0.8</v>
      </c>
      <c r="O53" s="44">
        <f t="shared" si="3"/>
        <v>49980</v>
      </c>
      <c r="P53" s="6" t="str">
        <f t="shared" si="4"/>
        <v>PERCENTAGE</v>
      </c>
    </row>
    <row r="54" spans="1:16" x14ac:dyDescent="0.25">
      <c r="A54" s="15" t="str">
        <f t="shared" si="0"/>
        <v>2025 H1 D80</v>
      </c>
      <c r="B54" s="7">
        <f t="shared" si="7"/>
        <v>46114</v>
      </c>
      <c r="C54" s="7">
        <f t="shared" si="8"/>
        <v>46120</v>
      </c>
      <c r="D54" s="6">
        <v>3280</v>
      </c>
      <c r="E54" s="6">
        <v>337</v>
      </c>
      <c r="F54" s="6">
        <v>4</v>
      </c>
      <c r="G54" s="15">
        <v>2</v>
      </c>
      <c r="H54" s="15">
        <v>81632</v>
      </c>
      <c r="I54" s="15" t="s">
        <v>1505</v>
      </c>
      <c r="J54" s="15">
        <v>51605897</v>
      </c>
      <c r="K54" s="15" t="s">
        <v>4344</v>
      </c>
      <c r="L54" s="15" t="s">
        <v>4367</v>
      </c>
      <c r="M54" s="15">
        <v>249900</v>
      </c>
      <c r="N54" s="9">
        <f t="shared" si="2"/>
        <v>0.8</v>
      </c>
      <c r="O54" s="44">
        <f t="shared" si="3"/>
        <v>49980</v>
      </c>
      <c r="P54" s="6" t="str">
        <f t="shared" si="4"/>
        <v>PERCENTAGE</v>
      </c>
    </row>
    <row r="55" spans="1:16" x14ac:dyDescent="0.25">
      <c r="A55" s="15" t="str">
        <f t="shared" si="0"/>
        <v>2025 H1 D80</v>
      </c>
      <c r="B55" s="7">
        <f t="shared" si="7"/>
        <v>46114</v>
      </c>
      <c r="C55" s="7">
        <f t="shared" si="8"/>
        <v>46120</v>
      </c>
      <c r="D55" s="6">
        <v>3280</v>
      </c>
      <c r="E55" s="6">
        <v>337</v>
      </c>
      <c r="F55" s="6">
        <v>4</v>
      </c>
      <c r="G55" s="15">
        <v>2</v>
      </c>
      <c r="H55" s="15">
        <v>81490</v>
      </c>
      <c r="I55" s="15" t="s">
        <v>1505</v>
      </c>
      <c r="J55" s="15">
        <v>52384875</v>
      </c>
      <c r="K55" s="15" t="s">
        <v>4407</v>
      </c>
      <c r="L55" s="15" t="s">
        <v>4408</v>
      </c>
      <c r="M55" s="15">
        <v>249900</v>
      </c>
      <c r="N55" s="9">
        <f t="shared" si="2"/>
        <v>0.8</v>
      </c>
      <c r="O55" s="44">
        <f t="shared" si="3"/>
        <v>49980</v>
      </c>
      <c r="P55" s="6" t="str">
        <f t="shared" si="4"/>
        <v>PERCENTAGE</v>
      </c>
    </row>
    <row r="56" spans="1:16" x14ac:dyDescent="0.25">
      <c r="A56" s="15" t="str">
        <f t="shared" si="0"/>
        <v>2025 H1 D80</v>
      </c>
      <c r="B56" s="7">
        <f t="shared" si="7"/>
        <v>46114</v>
      </c>
      <c r="C56" s="7">
        <f t="shared" si="8"/>
        <v>46120</v>
      </c>
      <c r="D56" s="6">
        <v>3280</v>
      </c>
      <c r="E56" s="6">
        <v>337</v>
      </c>
      <c r="F56" s="6">
        <v>4</v>
      </c>
      <c r="G56" s="15">
        <v>2</v>
      </c>
      <c r="H56" s="15">
        <v>81490</v>
      </c>
      <c r="I56" s="15" t="s">
        <v>1505</v>
      </c>
      <c r="J56" s="15">
        <v>52384884</v>
      </c>
      <c r="K56" s="15" t="s">
        <v>4407</v>
      </c>
      <c r="L56" s="15" t="s">
        <v>4409</v>
      </c>
      <c r="M56" s="15">
        <v>249900</v>
      </c>
      <c r="N56" s="9">
        <f t="shared" si="2"/>
        <v>0.8</v>
      </c>
      <c r="O56" s="44">
        <f t="shared" si="3"/>
        <v>49980</v>
      </c>
      <c r="P56" s="6" t="str">
        <f t="shared" si="4"/>
        <v>PERCENTAGE</v>
      </c>
    </row>
    <row r="57" spans="1:16" x14ac:dyDescent="0.25">
      <c r="A57" s="15" t="str">
        <f t="shared" si="0"/>
        <v>2025 H1 D80</v>
      </c>
      <c r="B57" s="7">
        <f t="shared" si="7"/>
        <v>46114</v>
      </c>
      <c r="C57" s="7">
        <f t="shared" si="8"/>
        <v>46120</v>
      </c>
      <c r="D57" s="6">
        <v>3280</v>
      </c>
      <c r="E57" s="6">
        <v>337</v>
      </c>
      <c r="F57" s="6">
        <v>4</v>
      </c>
      <c r="G57" s="15">
        <v>2</v>
      </c>
      <c r="H57" s="15">
        <v>81490</v>
      </c>
      <c r="I57" s="15" t="s">
        <v>1505</v>
      </c>
      <c r="J57" s="15">
        <v>52384893</v>
      </c>
      <c r="K57" s="15" t="s">
        <v>4407</v>
      </c>
      <c r="L57" s="15" t="s">
        <v>4410</v>
      </c>
      <c r="M57" s="15">
        <v>249900</v>
      </c>
      <c r="N57" s="9">
        <f t="shared" si="2"/>
        <v>0.8</v>
      </c>
      <c r="O57" s="44">
        <f t="shared" si="3"/>
        <v>49980</v>
      </c>
      <c r="P57" s="6" t="str">
        <f t="shared" si="4"/>
        <v>PERCENTAGE</v>
      </c>
    </row>
    <row r="58" spans="1:16" x14ac:dyDescent="0.25">
      <c r="A58" s="15" t="str">
        <f t="shared" si="0"/>
        <v>2025 H1 D80</v>
      </c>
      <c r="B58" s="7">
        <f t="shared" si="7"/>
        <v>46114</v>
      </c>
      <c r="C58" s="7">
        <f t="shared" si="8"/>
        <v>46120</v>
      </c>
      <c r="D58" s="6">
        <v>3280</v>
      </c>
      <c r="E58" s="6">
        <v>337</v>
      </c>
      <c r="F58" s="6">
        <v>4</v>
      </c>
      <c r="G58" s="15">
        <v>2</v>
      </c>
      <c r="H58" s="15">
        <v>81490</v>
      </c>
      <c r="I58" s="15" t="s">
        <v>1505</v>
      </c>
      <c r="J58" s="15">
        <v>52384900</v>
      </c>
      <c r="K58" s="15" t="s">
        <v>4407</v>
      </c>
      <c r="L58" s="15" t="s">
        <v>4411</v>
      </c>
      <c r="M58" s="15">
        <v>259900</v>
      </c>
      <c r="N58" s="9">
        <f t="shared" si="2"/>
        <v>0.8</v>
      </c>
      <c r="O58" s="44">
        <f t="shared" si="3"/>
        <v>51980</v>
      </c>
      <c r="P58" s="6" t="str">
        <f t="shared" si="4"/>
        <v>PERCENTAGE</v>
      </c>
    </row>
    <row r="59" spans="1:16" x14ac:dyDescent="0.25">
      <c r="A59" s="15" t="str">
        <f t="shared" si="0"/>
        <v>2025 H1 D80</v>
      </c>
      <c r="B59" s="7">
        <f t="shared" si="7"/>
        <v>46114</v>
      </c>
      <c r="C59" s="7">
        <f t="shared" si="8"/>
        <v>46120</v>
      </c>
      <c r="D59" s="6">
        <v>3280</v>
      </c>
      <c r="E59" s="6">
        <v>337</v>
      </c>
      <c r="F59" s="6">
        <v>4</v>
      </c>
      <c r="G59" s="15">
        <v>2</v>
      </c>
      <c r="H59" s="15">
        <v>81490</v>
      </c>
      <c r="I59" s="15" t="s">
        <v>1505</v>
      </c>
      <c r="J59" s="15">
        <v>52384919</v>
      </c>
      <c r="K59" s="15" t="s">
        <v>4407</v>
      </c>
      <c r="L59" s="15" t="s">
        <v>4412</v>
      </c>
      <c r="M59" s="15">
        <v>259900</v>
      </c>
      <c r="N59" s="9">
        <f t="shared" si="2"/>
        <v>0.8</v>
      </c>
      <c r="O59" s="44">
        <f t="shared" si="3"/>
        <v>51980</v>
      </c>
      <c r="P59" s="6" t="str">
        <f t="shared" si="4"/>
        <v>PERCENTAGE</v>
      </c>
    </row>
    <row r="60" spans="1:16" x14ac:dyDescent="0.25">
      <c r="A60" s="15" t="str">
        <f t="shared" si="0"/>
        <v>2025 H1 D80</v>
      </c>
      <c r="B60" s="7">
        <f t="shared" si="7"/>
        <v>46114</v>
      </c>
      <c r="C60" s="7">
        <f t="shared" si="8"/>
        <v>46120</v>
      </c>
      <c r="D60" s="6">
        <v>3280</v>
      </c>
      <c r="E60" s="6">
        <v>337</v>
      </c>
      <c r="F60" s="6">
        <v>4</v>
      </c>
      <c r="G60" s="15">
        <v>2</v>
      </c>
      <c r="H60" s="15">
        <v>81490</v>
      </c>
      <c r="I60" s="15" t="s">
        <v>1505</v>
      </c>
      <c r="J60" s="15">
        <v>52384928</v>
      </c>
      <c r="K60" s="15" t="s">
        <v>4407</v>
      </c>
      <c r="L60" s="15" t="s">
        <v>4413</v>
      </c>
      <c r="M60" s="15">
        <v>259900</v>
      </c>
      <c r="N60" s="9">
        <f t="shared" si="2"/>
        <v>0.8</v>
      </c>
      <c r="O60" s="44">
        <f t="shared" si="3"/>
        <v>51980</v>
      </c>
      <c r="P60" s="6" t="str">
        <f t="shared" si="4"/>
        <v>PERCENTAGE</v>
      </c>
    </row>
    <row r="61" spans="1:16" x14ac:dyDescent="0.25">
      <c r="A61" s="15" t="str">
        <f t="shared" si="0"/>
        <v>2025 H1 D80</v>
      </c>
      <c r="B61" s="7">
        <f t="shared" si="7"/>
        <v>46114</v>
      </c>
      <c r="C61" s="7">
        <f t="shared" si="8"/>
        <v>46120</v>
      </c>
      <c r="D61" s="6">
        <v>3280</v>
      </c>
      <c r="E61" s="6">
        <v>337</v>
      </c>
      <c r="F61" s="6">
        <v>4</v>
      </c>
      <c r="G61" s="15">
        <v>2</v>
      </c>
      <c r="H61" s="15">
        <v>81490</v>
      </c>
      <c r="I61" s="15" t="s">
        <v>1505</v>
      </c>
      <c r="J61" s="15">
        <v>52384937</v>
      </c>
      <c r="K61" s="15" t="s">
        <v>4414</v>
      </c>
      <c r="L61" s="15" t="s">
        <v>4415</v>
      </c>
      <c r="M61" s="15">
        <v>249900</v>
      </c>
      <c r="N61" s="9">
        <f t="shared" si="2"/>
        <v>0.8</v>
      </c>
      <c r="O61" s="44">
        <f t="shared" si="3"/>
        <v>49980</v>
      </c>
      <c r="P61" s="6" t="str">
        <f t="shared" si="4"/>
        <v>PERCENTAGE</v>
      </c>
    </row>
    <row r="62" spans="1:16" x14ac:dyDescent="0.25">
      <c r="A62" s="15" t="str">
        <f t="shared" si="0"/>
        <v>2025 H1 D80</v>
      </c>
      <c r="B62" s="7">
        <f t="shared" si="7"/>
        <v>46114</v>
      </c>
      <c r="C62" s="7">
        <f t="shared" si="8"/>
        <v>46120</v>
      </c>
      <c r="D62" s="6">
        <v>3280</v>
      </c>
      <c r="E62" s="6">
        <v>337</v>
      </c>
      <c r="F62" s="6">
        <v>4</v>
      </c>
      <c r="G62" s="15">
        <v>2</v>
      </c>
      <c r="H62" s="15">
        <v>81490</v>
      </c>
      <c r="I62" s="15" t="s">
        <v>1505</v>
      </c>
      <c r="J62" s="15">
        <v>52384946</v>
      </c>
      <c r="K62" s="15" t="s">
        <v>4414</v>
      </c>
      <c r="L62" s="15" t="s">
        <v>4416</v>
      </c>
      <c r="M62" s="15">
        <v>249900</v>
      </c>
      <c r="N62" s="9">
        <f t="shared" si="2"/>
        <v>0.8</v>
      </c>
      <c r="O62" s="44">
        <f t="shared" si="3"/>
        <v>49980</v>
      </c>
      <c r="P62" s="6" t="str">
        <f t="shared" si="4"/>
        <v>PERCENTAGE</v>
      </c>
    </row>
    <row r="63" spans="1:16" x14ac:dyDescent="0.25">
      <c r="A63" s="15" t="str">
        <f t="shared" si="0"/>
        <v>2025 H1 D80</v>
      </c>
      <c r="B63" s="7">
        <f t="shared" si="7"/>
        <v>46114</v>
      </c>
      <c r="C63" s="7">
        <f t="shared" si="8"/>
        <v>46120</v>
      </c>
      <c r="D63" s="6">
        <v>3280</v>
      </c>
      <c r="E63" s="6">
        <v>337</v>
      </c>
      <c r="F63" s="6">
        <v>4</v>
      </c>
      <c r="G63" s="15">
        <v>2</v>
      </c>
      <c r="H63" s="15">
        <v>81490</v>
      </c>
      <c r="I63" s="15" t="s">
        <v>1505</v>
      </c>
      <c r="J63" s="15">
        <v>52384955</v>
      </c>
      <c r="K63" s="15" t="s">
        <v>4414</v>
      </c>
      <c r="L63" s="15" t="s">
        <v>4417</v>
      </c>
      <c r="M63" s="15">
        <v>249900</v>
      </c>
      <c r="N63" s="9">
        <f t="shared" si="2"/>
        <v>0.8</v>
      </c>
      <c r="O63" s="44">
        <f t="shared" si="3"/>
        <v>49980</v>
      </c>
      <c r="P63" s="6" t="str">
        <f t="shared" si="4"/>
        <v>PERCENTAGE</v>
      </c>
    </row>
    <row r="64" spans="1:16" x14ac:dyDescent="0.25">
      <c r="A64" s="15" t="str">
        <f t="shared" si="0"/>
        <v>2025 H1 D80</v>
      </c>
      <c r="B64" s="7">
        <f t="shared" si="7"/>
        <v>46114</v>
      </c>
      <c r="C64" s="7">
        <f t="shared" si="8"/>
        <v>46120</v>
      </c>
      <c r="D64" s="6">
        <v>3280</v>
      </c>
      <c r="E64" s="6">
        <v>337</v>
      </c>
      <c r="F64" s="6">
        <v>4</v>
      </c>
      <c r="G64" s="15">
        <v>2</v>
      </c>
      <c r="H64" s="15">
        <v>81490</v>
      </c>
      <c r="I64" s="15" t="s">
        <v>1505</v>
      </c>
      <c r="J64" s="15">
        <v>52384964</v>
      </c>
      <c r="K64" s="15" t="s">
        <v>4414</v>
      </c>
      <c r="L64" s="15" t="s">
        <v>4418</v>
      </c>
      <c r="M64" s="15">
        <v>259900</v>
      </c>
      <c r="N64" s="9">
        <f t="shared" si="2"/>
        <v>0.8</v>
      </c>
      <c r="O64" s="44">
        <f t="shared" si="3"/>
        <v>51980</v>
      </c>
      <c r="P64" s="6" t="str">
        <f t="shared" si="4"/>
        <v>PERCENTAGE</v>
      </c>
    </row>
    <row r="65" spans="1:16" x14ac:dyDescent="0.25">
      <c r="A65" s="15" t="str">
        <f t="shared" si="0"/>
        <v>2025 H1 D80</v>
      </c>
      <c r="B65" s="7">
        <f t="shared" si="7"/>
        <v>46114</v>
      </c>
      <c r="C65" s="7">
        <f t="shared" si="8"/>
        <v>46120</v>
      </c>
      <c r="D65" s="6">
        <v>3280</v>
      </c>
      <c r="E65" s="6">
        <v>337</v>
      </c>
      <c r="F65" s="6">
        <v>4</v>
      </c>
      <c r="G65" s="15">
        <v>2</v>
      </c>
      <c r="H65" s="15">
        <v>81490</v>
      </c>
      <c r="I65" s="15" t="s">
        <v>1505</v>
      </c>
      <c r="J65" s="15">
        <v>52384973</v>
      </c>
      <c r="K65" s="15" t="s">
        <v>4414</v>
      </c>
      <c r="L65" s="15" t="s">
        <v>4419</v>
      </c>
      <c r="M65" s="15">
        <v>259900</v>
      </c>
      <c r="N65" s="9">
        <f t="shared" si="2"/>
        <v>0.8</v>
      </c>
      <c r="O65" s="44">
        <f t="shared" si="3"/>
        <v>51980</v>
      </c>
      <c r="P65" s="6" t="str">
        <f t="shared" si="4"/>
        <v>PERCENTAGE</v>
      </c>
    </row>
    <row r="66" spans="1:16" x14ac:dyDescent="0.25">
      <c r="A66" s="15" t="str">
        <f t="shared" si="0"/>
        <v>2025 H1 D80</v>
      </c>
      <c r="B66" s="7">
        <f t="shared" si="7"/>
        <v>46114</v>
      </c>
      <c r="C66" s="7">
        <f t="shared" si="8"/>
        <v>46120</v>
      </c>
      <c r="D66" s="6">
        <v>3280</v>
      </c>
      <c r="E66" s="6">
        <v>337</v>
      </c>
      <c r="F66" s="6">
        <v>4</v>
      </c>
      <c r="G66" s="15">
        <v>2</v>
      </c>
      <c r="H66" s="15">
        <v>81490</v>
      </c>
      <c r="I66" s="15" t="s">
        <v>1505</v>
      </c>
      <c r="J66" s="15">
        <v>52384982</v>
      </c>
      <c r="K66" s="15" t="s">
        <v>4414</v>
      </c>
      <c r="L66" s="15" t="s">
        <v>4420</v>
      </c>
      <c r="M66" s="15">
        <v>259900</v>
      </c>
      <c r="N66" s="9">
        <f t="shared" si="2"/>
        <v>0.8</v>
      </c>
      <c r="O66" s="44">
        <f>M66-((80*M66)/100)</f>
        <v>51980</v>
      </c>
      <c r="P66" s="6" t="str">
        <f t="shared" si="4"/>
        <v>PERCENTAGE</v>
      </c>
    </row>
  </sheetData>
  <autoFilter ref="A1:P54" xr:uid="{00000000-0009-0000-0000-000009000000}"/>
  <phoneticPr fontId="11" type="noConversion"/>
  <conditionalFormatting sqref="J1:J54 J67:J1048576">
    <cfRule type="duplicateValues" dxfId="7" priority="15"/>
  </conditionalFormatting>
  <conditionalFormatting sqref="J55:J66">
    <cfRule type="duplicateValues" dxfId="6" priority="1"/>
    <cfRule type="duplicateValues" dxfId="5" priority="2"/>
  </conditionalFormatting>
  <conditionalFormatting sqref="J67:J1048576 J1:J49">
    <cfRule type="duplicateValues" dxfId="4" priority="16"/>
  </conditionalFormatting>
  <conditionalFormatting sqref="R1:R54 R67:R1048576 J1:J54 J67:J1048576 Q55:Q66">
    <cfRule type="duplicateValues" dxfId="3" priority="3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0319-AE2A-4899-8BE9-1156FA6BC0C1}">
  <dimension ref="A1:P163"/>
  <sheetViews>
    <sheetView zoomScale="85" zoomScaleNormal="85" workbookViewId="0">
      <selection activeCell="B2" sqref="B2"/>
    </sheetView>
  </sheetViews>
  <sheetFormatPr defaultRowHeight="15" x14ac:dyDescent="0.25"/>
  <cols>
    <col min="1" max="1" width="16.28515625" bestFit="1" customWidth="1"/>
    <col min="2" max="3" width="12.28515625" customWidth="1"/>
    <col min="9" max="9" width="11.140625" bestFit="1" customWidth="1"/>
    <col min="10" max="10" width="9.5703125" bestFit="1" customWidth="1"/>
    <col min="12" max="12" width="100.140625" bestFit="1" customWidth="1"/>
    <col min="16" max="16" width="14.28515625" bestFit="1" customWidth="1"/>
  </cols>
  <sheetData>
    <row r="1" spans="1:16" s="2" customFormat="1" ht="30.75" customHeight="1" x14ac:dyDescent="0.25">
      <c r="A1" s="10" t="s">
        <v>0</v>
      </c>
      <c r="B1" s="11" t="s">
        <v>14</v>
      </c>
      <c r="C1" s="11" t="s">
        <v>10</v>
      </c>
      <c r="D1" s="10" t="s">
        <v>1</v>
      </c>
      <c r="E1" s="10" t="s">
        <v>2</v>
      </c>
      <c r="F1" s="10" t="s">
        <v>11</v>
      </c>
      <c r="G1" s="1" t="s">
        <v>3368</v>
      </c>
      <c r="H1" s="1" t="s">
        <v>3</v>
      </c>
      <c r="I1" s="10" t="s">
        <v>4</v>
      </c>
      <c r="J1" s="10" t="s">
        <v>5</v>
      </c>
      <c r="K1" s="10" t="s">
        <v>6</v>
      </c>
      <c r="L1" s="10" t="s">
        <v>12</v>
      </c>
      <c r="M1" s="12" t="s">
        <v>13</v>
      </c>
      <c r="N1" s="13" t="s">
        <v>7</v>
      </c>
      <c r="O1" s="12" t="s">
        <v>8</v>
      </c>
      <c r="P1" s="10" t="s">
        <v>9</v>
      </c>
    </row>
    <row r="2" spans="1:16" x14ac:dyDescent="0.25">
      <c r="A2" s="15" t="s">
        <v>4421</v>
      </c>
      <c r="B2" s="7">
        <f>'2019 ALL D95'!B2</f>
        <v>46114</v>
      </c>
      <c r="C2" s="7">
        <f>'2019 ALL D95'!C2</f>
        <v>46120</v>
      </c>
      <c r="D2" s="6">
        <v>3280</v>
      </c>
      <c r="E2" s="6">
        <v>337</v>
      </c>
      <c r="F2" s="6">
        <v>4</v>
      </c>
      <c r="G2" s="15">
        <v>3</v>
      </c>
      <c r="H2" s="15">
        <v>81698</v>
      </c>
      <c r="I2" s="15" t="s">
        <v>1505</v>
      </c>
      <c r="J2" s="15">
        <v>50362900</v>
      </c>
      <c r="K2" s="15" t="s">
        <v>4068</v>
      </c>
      <c r="L2" s="15" t="s">
        <v>4076</v>
      </c>
      <c r="M2" s="15">
        <v>349900</v>
      </c>
      <c r="N2" s="9">
        <v>0.8</v>
      </c>
      <c r="O2" s="8">
        <f>M2-((80*M2)/100)</f>
        <v>69980</v>
      </c>
      <c r="P2" s="6" t="s">
        <v>15</v>
      </c>
    </row>
    <row r="3" spans="1:16" x14ac:dyDescent="0.25">
      <c r="A3" s="15" t="str">
        <f>A2</f>
        <v>BAMUS 2025 D80</v>
      </c>
      <c r="B3" s="7">
        <f>B2</f>
        <v>46114</v>
      </c>
      <c r="C3" s="7">
        <f>C2</f>
        <v>46120</v>
      </c>
      <c r="D3" s="6">
        <v>3280</v>
      </c>
      <c r="E3" s="6">
        <v>337</v>
      </c>
      <c r="F3" s="6">
        <v>4</v>
      </c>
      <c r="G3" s="15">
        <v>3</v>
      </c>
      <c r="H3" s="15">
        <v>81698</v>
      </c>
      <c r="I3" s="15" t="s">
        <v>1505</v>
      </c>
      <c r="J3" s="15">
        <v>50362919</v>
      </c>
      <c r="K3" s="15" t="s">
        <v>4068</v>
      </c>
      <c r="L3" s="15" t="s">
        <v>4077</v>
      </c>
      <c r="M3" s="15">
        <v>349900</v>
      </c>
      <c r="N3" s="9">
        <f>N2</f>
        <v>0.8</v>
      </c>
      <c r="O3" s="8">
        <f t="shared" ref="O3:O66" si="0">M3-((80*M3)/100)</f>
        <v>69980</v>
      </c>
      <c r="P3" s="6" t="str">
        <f>P2</f>
        <v>PERCENTAGE</v>
      </c>
    </row>
    <row r="4" spans="1:16" x14ac:dyDescent="0.25">
      <c r="A4" s="15" t="str">
        <f t="shared" ref="A4:A67" si="1">A3</f>
        <v>BAMUS 2025 D80</v>
      </c>
      <c r="B4" s="7">
        <f t="shared" ref="B4:B34" si="2">B3</f>
        <v>46114</v>
      </c>
      <c r="C4" s="7">
        <f t="shared" ref="C4:C34" si="3">C3</f>
        <v>46120</v>
      </c>
      <c r="D4" s="6">
        <v>3280</v>
      </c>
      <c r="E4" s="6">
        <v>337</v>
      </c>
      <c r="F4" s="6">
        <v>4</v>
      </c>
      <c r="G4" s="15">
        <v>3</v>
      </c>
      <c r="H4" s="15">
        <v>81698</v>
      </c>
      <c r="I4" s="15" t="s">
        <v>1505</v>
      </c>
      <c r="J4" s="15">
        <v>50362928</v>
      </c>
      <c r="K4" s="15" t="s">
        <v>4068</v>
      </c>
      <c r="L4" s="15" t="s">
        <v>4078</v>
      </c>
      <c r="M4" s="15">
        <v>349900</v>
      </c>
      <c r="N4" s="9">
        <f t="shared" ref="N4:N67" si="4">N3</f>
        <v>0.8</v>
      </c>
      <c r="O4" s="8">
        <f t="shared" si="0"/>
        <v>69980</v>
      </c>
      <c r="P4" s="6" t="str">
        <f t="shared" ref="P4:P67" si="5">P3</f>
        <v>PERCENTAGE</v>
      </c>
    </row>
    <row r="5" spans="1:16" x14ac:dyDescent="0.25">
      <c r="A5" s="15" t="str">
        <f t="shared" si="1"/>
        <v>BAMUS 2025 D80</v>
      </c>
      <c r="B5" s="7">
        <f t="shared" si="2"/>
        <v>46114</v>
      </c>
      <c r="C5" s="7">
        <f t="shared" si="3"/>
        <v>46120</v>
      </c>
      <c r="D5" s="6">
        <v>3280</v>
      </c>
      <c r="E5" s="6">
        <v>337</v>
      </c>
      <c r="F5" s="6">
        <v>4</v>
      </c>
      <c r="G5" s="15">
        <v>3</v>
      </c>
      <c r="H5" s="15">
        <v>81698</v>
      </c>
      <c r="I5" s="15" t="s">
        <v>1505</v>
      </c>
      <c r="J5" s="15">
        <v>50362937</v>
      </c>
      <c r="K5" s="15" t="s">
        <v>4068</v>
      </c>
      <c r="L5" s="15" t="s">
        <v>4079</v>
      </c>
      <c r="M5" s="15">
        <v>359900</v>
      </c>
      <c r="N5" s="9">
        <f t="shared" si="4"/>
        <v>0.8</v>
      </c>
      <c r="O5" s="8">
        <f t="shared" si="0"/>
        <v>71980</v>
      </c>
      <c r="P5" s="6" t="str">
        <f t="shared" si="5"/>
        <v>PERCENTAGE</v>
      </c>
    </row>
    <row r="6" spans="1:16" x14ac:dyDescent="0.25">
      <c r="A6" s="15" t="str">
        <f t="shared" si="1"/>
        <v>BAMUS 2025 D80</v>
      </c>
      <c r="B6" s="7">
        <f t="shared" si="2"/>
        <v>46114</v>
      </c>
      <c r="C6" s="7">
        <f t="shared" si="3"/>
        <v>46120</v>
      </c>
      <c r="D6" s="6">
        <v>3280</v>
      </c>
      <c r="E6" s="6">
        <v>337</v>
      </c>
      <c r="F6" s="6">
        <v>4</v>
      </c>
      <c r="G6" s="15">
        <v>3</v>
      </c>
      <c r="H6" s="15">
        <v>81698</v>
      </c>
      <c r="I6" s="15" t="s">
        <v>1505</v>
      </c>
      <c r="J6" s="15">
        <v>50362946</v>
      </c>
      <c r="K6" s="15" t="s">
        <v>4068</v>
      </c>
      <c r="L6" s="15" t="s">
        <v>4080</v>
      </c>
      <c r="M6" s="15">
        <v>359900</v>
      </c>
      <c r="N6" s="9">
        <f t="shared" si="4"/>
        <v>0.8</v>
      </c>
      <c r="O6" s="8">
        <f t="shared" si="0"/>
        <v>71980</v>
      </c>
      <c r="P6" s="6" t="str">
        <f t="shared" si="5"/>
        <v>PERCENTAGE</v>
      </c>
    </row>
    <row r="7" spans="1:16" x14ac:dyDescent="0.25">
      <c r="A7" s="15" t="str">
        <f t="shared" si="1"/>
        <v>BAMUS 2025 D80</v>
      </c>
      <c r="B7" s="7">
        <f t="shared" si="2"/>
        <v>46114</v>
      </c>
      <c r="C7" s="7">
        <f t="shared" si="3"/>
        <v>46120</v>
      </c>
      <c r="D7" s="6">
        <v>3280</v>
      </c>
      <c r="E7" s="6">
        <v>337</v>
      </c>
      <c r="F7" s="6">
        <v>4</v>
      </c>
      <c r="G7" s="15">
        <v>3</v>
      </c>
      <c r="H7" s="15">
        <v>81698</v>
      </c>
      <c r="I7" s="15" t="s">
        <v>1505</v>
      </c>
      <c r="J7" s="15">
        <v>50362955</v>
      </c>
      <c r="K7" s="15" t="s">
        <v>4068</v>
      </c>
      <c r="L7" s="15" t="s">
        <v>4081</v>
      </c>
      <c r="M7" s="15">
        <v>359900</v>
      </c>
      <c r="N7" s="9">
        <f t="shared" si="4"/>
        <v>0.8</v>
      </c>
      <c r="O7" s="8">
        <f t="shared" si="0"/>
        <v>71980</v>
      </c>
      <c r="P7" s="6" t="str">
        <f t="shared" si="5"/>
        <v>PERCENTAGE</v>
      </c>
    </row>
    <row r="8" spans="1:16" x14ac:dyDescent="0.25">
      <c r="A8" s="15" t="str">
        <f t="shared" si="1"/>
        <v>BAMUS 2025 D80</v>
      </c>
      <c r="B8" s="7">
        <f t="shared" si="2"/>
        <v>46114</v>
      </c>
      <c r="C8" s="7">
        <f t="shared" si="3"/>
        <v>46120</v>
      </c>
      <c r="D8" s="6">
        <v>3280</v>
      </c>
      <c r="E8" s="6">
        <v>337</v>
      </c>
      <c r="F8" s="6">
        <v>4</v>
      </c>
      <c r="G8" s="15">
        <v>3</v>
      </c>
      <c r="H8" s="15">
        <v>81698</v>
      </c>
      <c r="I8" s="15" t="s">
        <v>1505</v>
      </c>
      <c r="J8" s="15">
        <v>50363034</v>
      </c>
      <c r="K8" s="15" t="s">
        <v>4069</v>
      </c>
      <c r="L8" s="15" t="s">
        <v>4082</v>
      </c>
      <c r="M8" s="15">
        <v>349900</v>
      </c>
      <c r="N8" s="9">
        <f t="shared" si="4"/>
        <v>0.8</v>
      </c>
      <c r="O8" s="8">
        <f t="shared" si="0"/>
        <v>69980</v>
      </c>
      <c r="P8" s="6" t="str">
        <f t="shared" si="5"/>
        <v>PERCENTAGE</v>
      </c>
    </row>
    <row r="9" spans="1:16" x14ac:dyDescent="0.25">
      <c r="A9" s="15" t="str">
        <f t="shared" si="1"/>
        <v>BAMUS 2025 D80</v>
      </c>
      <c r="B9" s="7">
        <f t="shared" si="2"/>
        <v>46114</v>
      </c>
      <c r="C9" s="7">
        <f t="shared" si="3"/>
        <v>46120</v>
      </c>
      <c r="D9" s="6">
        <v>3280</v>
      </c>
      <c r="E9" s="6">
        <v>337</v>
      </c>
      <c r="F9" s="6">
        <v>4</v>
      </c>
      <c r="G9" s="15">
        <v>3</v>
      </c>
      <c r="H9" s="15">
        <v>81698</v>
      </c>
      <c r="I9" s="15" t="s">
        <v>1505</v>
      </c>
      <c r="J9" s="15">
        <v>50363043</v>
      </c>
      <c r="K9" s="15" t="s">
        <v>4069</v>
      </c>
      <c r="L9" s="15" t="s">
        <v>4083</v>
      </c>
      <c r="M9" s="15">
        <v>349900</v>
      </c>
      <c r="N9" s="9">
        <f t="shared" si="4"/>
        <v>0.8</v>
      </c>
      <c r="O9" s="8">
        <f t="shared" si="0"/>
        <v>69980</v>
      </c>
      <c r="P9" s="6" t="str">
        <f t="shared" si="5"/>
        <v>PERCENTAGE</v>
      </c>
    </row>
    <row r="10" spans="1:16" x14ac:dyDescent="0.25">
      <c r="A10" s="15" t="str">
        <f t="shared" si="1"/>
        <v>BAMUS 2025 D80</v>
      </c>
      <c r="B10" s="7">
        <f t="shared" si="2"/>
        <v>46114</v>
      </c>
      <c r="C10" s="7">
        <f t="shared" si="3"/>
        <v>46120</v>
      </c>
      <c r="D10" s="6">
        <v>3280</v>
      </c>
      <c r="E10" s="6">
        <v>337</v>
      </c>
      <c r="F10" s="6">
        <v>4</v>
      </c>
      <c r="G10" s="15">
        <v>3</v>
      </c>
      <c r="H10" s="15">
        <v>81698</v>
      </c>
      <c r="I10" s="15" t="s">
        <v>1505</v>
      </c>
      <c r="J10" s="15">
        <v>50363052</v>
      </c>
      <c r="K10" s="15" t="s">
        <v>4069</v>
      </c>
      <c r="L10" s="15" t="s">
        <v>4084</v>
      </c>
      <c r="M10" s="15">
        <v>349900</v>
      </c>
      <c r="N10" s="9">
        <f t="shared" si="4"/>
        <v>0.8</v>
      </c>
      <c r="O10" s="8">
        <f t="shared" si="0"/>
        <v>69980</v>
      </c>
      <c r="P10" s="6" t="str">
        <f t="shared" si="5"/>
        <v>PERCENTAGE</v>
      </c>
    </row>
    <row r="11" spans="1:16" x14ac:dyDescent="0.25">
      <c r="A11" s="15" t="str">
        <f t="shared" si="1"/>
        <v>BAMUS 2025 D80</v>
      </c>
      <c r="B11" s="7">
        <f t="shared" si="2"/>
        <v>46114</v>
      </c>
      <c r="C11" s="7">
        <f t="shared" si="3"/>
        <v>46120</v>
      </c>
      <c r="D11" s="6">
        <v>3280</v>
      </c>
      <c r="E11" s="6">
        <v>337</v>
      </c>
      <c r="F11" s="6">
        <v>4</v>
      </c>
      <c r="G11" s="15">
        <v>3</v>
      </c>
      <c r="H11" s="15">
        <v>81698</v>
      </c>
      <c r="I11" s="15" t="s">
        <v>1505</v>
      </c>
      <c r="J11" s="15">
        <v>50363061</v>
      </c>
      <c r="K11" s="15" t="s">
        <v>4069</v>
      </c>
      <c r="L11" s="15" t="s">
        <v>4085</v>
      </c>
      <c r="M11" s="15">
        <v>359900</v>
      </c>
      <c r="N11" s="9">
        <f t="shared" si="4"/>
        <v>0.8</v>
      </c>
      <c r="O11" s="8">
        <f t="shared" si="0"/>
        <v>71980</v>
      </c>
      <c r="P11" s="6" t="str">
        <f t="shared" si="5"/>
        <v>PERCENTAGE</v>
      </c>
    </row>
    <row r="12" spans="1:16" x14ac:dyDescent="0.25">
      <c r="A12" s="15" t="str">
        <f t="shared" si="1"/>
        <v>BAMUS 2025 D80</v>
      </c>
      <c r="B12" s="7">
        <f t="shared" si="2"/>
        <v>46114</v>
      </c>
      <c r="C12" s="7">
        <f t="shared" si="3"/>
        <v>46120</v>
      </c>
      <c r="D12" s="6">
        <v>3280</v>
      </c>
      <c r="E12" s="6">
        <v>337</v>
      </c>
      <c r="F12" s="6">
        <v>4</v>
      </c>
      <c r="G12" s="15">
        <v>3</v>
      </c>
      <c r="H12" s="15">
        <v>81698</v>
      </c>
      <c r="I12" s="15" t="s">
        <v>1505</v>
      </c>
      <c r="J12" s="15">
        <v>50363070</v>
      </c>
      <c r="K12" s="15" t="s">
        <v>4069</v>
      </c>
      <c r="L12" s="15" t="s">
        <v>4086</v>
      </c>
      <c r="M12" s="15">
        <v>359900</v>
      </c>
      <c r="N12" s="9">
        <f t="shared" si="4"/>
        <v>0.8</v>
      </c>
      <c r="O12" s="8">
        <f t="shared" si="0"/>
        <v>71980</v>
      </c>
      <c r="P12" s="6" t="str">
        <f t="shared" si="5"/>
        <v>PERCENTAGE</v>
      </c>
    </row>
    <row r="13" spans="1:16" x14ac:dyDescent="0.25">
      <c r="A13" s="15" t="str">
        <f t="shared" si="1"/>
        <v>BAMUS 2025 D80</v>
      </c>
      <c r="B13" s="7">
        <f t="shared" si="2"/>
        <v>46114</v>
      </c>
      <c r="C13" s="7">
        <f t="shared" si="3"/>
        <v>46120</v>
      </c>
      <c r="D13" s="6">
        <v>3280</v>
      </c>
      <c r="E13" s="6">
        <v>337</v>
      </c>
      <c r="F13" s="6">
        <v>4</v>
      </c>
      <c r="G13" s="15">
        <v>3</v>
      </c>
      <c r="H13" s="15">
        <v>81698</v>
      </c>
      <c r="I13" s="15" t="s">
        <v>1505</v>
      </c>
      <c r="J13" s="15">
        <v>50363089</v>
      </c>
      <c r="K13" s="15" t="s">
        <v>4069</v>
      </c>
      <c r="L13" s="15" t="s">
        <v>4087</v>
      </c>
      <c r="M13" s="15">
        <v>359900</v>
      </c>
      <c r="N13" s="9">
        <f t="shared" si="4"/>
        <v>0.8</v>
      </c>
      <c r="O13" s="8">
        <f t="shared" si="0"/>
        <v>71980</v>
      </c>
      <c r="P13" s="6" t="str">
        <f t="shared" si="5"/>
        <v>PERCENTAGE</v>
      </c>
    </row>
    <row r="14" spans="1:16" x14ac:dyDescent="0.25">
      <c r="A14" s="15" t="str">
        <f t="shared" si="1"/>
        <v>BAMUS 2025 D80</v>
      </c>
      <c r="B14" s="7">
        <f t="shared" si="2"/>
        <v>46114</v>
      </c>
      <c r="C14" s="7">
        <f t="shared" si="3"/>
        <v>46120</v>
      </c>
      <c r="D14" s="6">
        <v>3280</v>
      </c>
      <c r="E14" s="6">
        <v>337</v>
      </c>
      <c r="F14" s="6">
        <v>4</v>
      </c>
      <c r="G14" s="15">
        <v>3</v>
      </c>
      <c r="H14" s="15">
        <v>81698</v>
      </c>
      <c r="I14" s="15" t="s">
        <v>1505</v>
      </c>
      <c r="J14" s="15">
        <v>50363150</v>
      </c>
      <c r="K14" s="15" t="s">
        <v>4070</v>
      </c>
      <c r="L14" s="15" t="s">
        <v>4088</v>
      </c>
      <c r="M14" s="15">
        <v>349900</v>
      </c>
      <c r="N14" s="9">
        <f t="shared" si="4"/>
        <v>0.8</v>
      </c>
      <c r="O14" s="8">
        <f t="shared" si="0"/>
        <v>69980</v>
      </c>
      <c r="P14" s="6" t="str">
        <f t="shared" si="5"/>
        <v>PERCENTAGE</v>
      </c>
    </row>
    <row r="15" spans="1:16" x14ac:dyDescent="0.25">
      <c r="A15" s="15" t="str">
        <f t="shared" si="1"/>
        <v>BAMUS 2025 D80</v>
      </c>
      <c r="B15" s="7">
        <f t="shared" si="2"/>
        <v>46114</v>
      </c>
      <c r="C15" s="7">
        <f t="shared" si="3"/>
        <v>46120</v>
      </c>
      <c r="D15" s="6">
        <v>3280</v>
      </c>
      <c r="E15" s="6">
        <v>337</v>
      </c>
      <c r="F15" s="6">
        <v>4</v>
      </c>
      <c r="G15" s="15">
        <v>3</v>
      </c>
      <c r="H15" s="15">
        <v>81698</v>
      </c>
      <c r="I15" s="15" t="s">
        <v>1505</v>
      </c>
      <c r="J15" s="15">
        <v>50363169</v>
      </c>
      <c r="K15" s="15" t="s">
        <v>4070</v>
      </c>
      <c r="L15" s="15" t="s">
        <v>4089</v>
      </c>
      <c r="M15" s="15">
        <v>349900</v>
      </c>
      <c r="N15" s="9">
        <f t="shared" si="4"/>
        <v>0.8</v>
      </c>
      <c r="O15" s="8">
        <f t="shared" si="0"/>
        <v>69980</v>
      </c>
      <c r="P15" s="6" t="str">
        <f t="shared" si="5"/>
        <v>PERCENTAGE</v>
      </c>
    </row>
    <row r="16" spans="1:16" x14ac:dyDescent="0.25">
      <c r="A16" s="15" t="str">
        <f t="shared" si="1"/>
        <v>BAMUS 2025 D80</v>
      </c>
      <c r="B16" s="7">
        <f t="shared" si="2"/>
        <v>46114</v>
      </c>
      <c r="C16" s="7">
        <f t="shared" si="3"/>
        <v>46120</v>
      </c>
      <c r="D16" s="6">
        <v>3280</v>
      </c>
      <c r="E16" s="6">
        <v>337</v>
      </c>
      <c r="F16" s="6">
        <v>4</v>
      </c>
      <c r="G16" s="15">
        <v>3</v>
      </c>
      <c r="H16" s="15">
        <v>81698</v>
      </c>
      <c r="I16" s="15" t="s">
        <v>1505</v>
      </c>
      <c r="J16" s="15">
        <v>50363178</v>
      </c>
      <c r="K16" s="15" t="s">
        <v>4070</v>
      </c>
      <c r="L16" s="15" t="s">
        <v>4090</v>
      </c>
      <c r="M16" s="15">
        <v>349900</v>
      </c>
      <c r="N16" s="9">
        <f t="shared" si="4"/>
        <v>0.8</v>
      </c>
      <c r="O16" s="8">
        <f t="shared" si="0"/>
        <v>69980</v>
      </c>
      <c r="P16" s="6" t="str">
        <f t="shared" si="5"/>
        <v>PERCENTAGE</v>
      </c>
    </row>
    <row r="17" spans="1:16" x14ac:dyDescent="0.25">
      <c r="A17" s="15" t="str">
        <f t="shared" si="1"/>
        <v>BAMUS 2025 D80</v>
      </c>
      <c r="B17" s="7">
        <f t="shared" si="2"/>
        <v>46114</v>
      </c>
      <c r="C17" s="7">
        <f t="shared" si="3"/>
        <v>46120</v>
      </c>
      <c r="D17" s="6">
        <v>3280</v>
      </c>
      <c r="E17" s="6">
        <v>337</v>
      </c>
      <c r="F17" s="6">
        <v>4</v>
      </c>
      <c r="G17" s="15">
        <v>3</v>
      </c>
      <c r="H17" s="15">
        <v>81698</v>
      </c>
      <c r="I17" s="15" t="s">
        <v>1505</v>
      </c>
      <c r="J17" s="15">
        <v>50363187</v>
      </c>
      <c r="K17" s="15" t="s">
        <v>4070</v>
      </c>
      <c r="L17" s="15" t="s">
        <v>4091</v>
      </c>
      <c r="M17" s="15">
        <v>359900</v>
      </c>
      <c r="N17" s="9">
        <f t="shared" si="4"/>
        <v>0.8</v>
      </c>
      <c r="O17" s="8">
        <f t="shared" si="0"/>
        <v>71980</v>
      </c>
      <c r="P17" s="6" t="str">
        <f t="shared" si="5"/>
        <v>PERCENTAGE</v>
      </c>
    </row>
    <row r="18" spans="1:16" x14ac:dyDescent="0.25">
      <c r="A18" s="15" t="str">
        <f t="shared" si="1"/>
        <v>BAMUS 2025 D80</v>
      </c>
      <c r="B18" s="7">
        <f t="shared" si="2"/>
        <v>46114</v>
      </c>
      <c r="C18" s="7">
        <f t="shared" si="3"/>
        <v>46120</v>
      </c>
      <c r="D18" s="6">
        <v>3280</v>
      </c>
      <c r="E18" s="6">
        <v>337</v>
      </c>
      <c r="F18" s="6">
        <v>4</v>
      </c>
      <c r="G18" s="15">
        <v>3</v>
      </c>
      <c r="H18" s="15">
        <v>81698</v>
      </c>
      <c r="I18" s="15" t="s">
        <v>1505</v>
      </c>
      <c r="J18" s="15">
        <v>50363196</v>
      </c>
      <c r="K18" s="15" t="s">
        <v>4070</v>
      </c>
      <c r="L18" s="15" t="s">
        <v>4092</v>
      </c>
      <c r="M18" s="15">
        <v>359900</v>
      </c>
      <c r="N18" s="9">
        <f t="shared" si="4"/>
        <v>0.8</v>
      </c>
      <c r="O18" s="8">
        <f t="shared" si="0"/>
        <v>71980</v>
      </c>
      <c r="P18" s="6" t="str">
        <f t="shared" si="5"/>
        <v>PERCENTAGE</v>
      </c>
    </row>
    <row r="19" spans="1:16" x14ac:dyDescent="0.25">
      <c r="A19" s="15" t="str">
        <f t="shared" si="1"/>
        <v>BAMUS 2025 D80</v>
      </c>
      <c r="B19" s="7">
        <f t="shared" si="2"/>
        <v>46114</v>
      </c>
      <c r="C19" s="7">
        <f t="shared" si="3"/>
        <v>46120</v>
      </c>
      <c r="D19" s="6">
        <v>3280</v>
      </c>
      <c r="E19" s="6">
        <v>337</v>
      </c>
      <c r="F19" s="6">
        <v>4</v>
      </c>
      <c r="G19" s="15">
        <v>3</v>
      </c>
      <c r="H19" s="15">
        <v>81698</v>
      </c>
      <c r="I19" s="15" t="s">
        <v>1505</v>
      </c>
      <c r="J19" s="15">
        <v>50363203</v>
      </c>
      <c r="K19" s="15" t="s">
        <v>4070</v>
      </c>
      <c r="L19" s="15" t="s">
        <v>4093</v>
      </c>
      <c r="M19" s="15">
        <v>359900</v>
      </c>
      <c r="N19" s="9">
        <f t="shared" si="4"/>
        <v>0.8</v>
      </c>
      <c r="O19" s="8">
        <f t="shared" si="0"/>
        <v>71980</v>
      </c>
      <c r="P19" s="6" t="str">
        <f t="shared" si="5"/>
        <v>PERCENTAGE</v>
      </c>
    </row>
    <row r="20" spans="1:16" x14ac:dyDescent="0.25">
      <c r="A20" s="15" t="str">
        <f t="shared" si="1"/>
        <v>BAMUS 2025 D80</v>
      </c>
      <c r="B20" s="7">
        <f t="shared" si="2"/>
        <v>46114</v>
      </c>
      <c r="C20" s="7">
        <f t="shared" si="3"/>
        <v>46120</v>
      </c>
      <c r="D20" s="6">
        <v>3280</v>
      </c>
      <c r="E20" s="6">
        <v>337</v>
      </c>
      <c r="F20" s="6">
        <v>4</v>
      </c>
      <c r="G20" s="15">
        <v>3</v>
      </c>
      <c r="H20" s="15">
        <v>81809</v>
      </c>
      <c r="I20" s="15" t="s">
        <v>1505</v>
      </c>
      <c r="J20" s="15">
        <v>15552717</v>
      </c>
      <c r="K20" s="15" t="s">
        <v>4257</v>
      </c>
      <c r="L20" s="15" t="s">
        <v>4258</v>
      </c>
      <c r="M20" s="15">
        <v>349900</v>
      </c>
      <c r="N20" s="9">
        <f t="shared" si="4"/>
        <v>0.8</v>
      </c>
      <c r="O20" s="8">
        <f t="shared" si="0"/>
        <v>69980</v>
      </c>
      <c r="P20" s="6" t="str">
        <f t="shared" si="5"/>
        <v>PERCENTAGE</v>
      </c>
    </row>
    <row r="21" spans="1:16" x14ac:dyDescent="0.25">
      <c r="A21" s="15" t="str">
        <f t="shared" si="1"/>
        <v>BAMUS 2025 D80</v>
      </c>
      <c r="B21" s="7">
        <f t="shared" si="2"/>
        <v>46114</v>
      </c>
      <c r="C21" s="7">
        <f t="shared" si="3"/>
        <v>46120</v>
      </c>
      <c r="D21" s="6">
        <v>3280</v>
      </c>
      <c r="E21" s="6">
        <v>337</v>
      </c>
      <c r="F21" s="6">
        <v>4</v>
      </c>
      <c r="G21" s="15">
        <v>3</v>
      </c>
      <c r="H21" s="15">
        <v>81809</v>
      </c>
      <c r="I21" s="15" t="s">
        <v>1505</v>
      </c>
      <c r="J21" s="15">
        <v>15552726</v>
      </c>
      <c r="K21" s="15" t="s">
        <v>4257</v>
      </c>
      <c r="L21" s="15" t="s">
        <v>4259</v>
      </c>
      <c r="M21" s="15">
        <v>349900</v>
      </c>
      <c r="N21" s="9">
        <f t="shared" si="4"/>
        <v>0.8</v>
      </c>
      <c r="O21" s="8">
        <f t="shared" si="0"/>
        <v>69980</v>
      </c>
      <c r="P21" s="6" t="str">
        <f t="shared" si="5"/>
        <v>PERCENTAGE</v>
      </c>
    </row>
    <row r="22" spans="1:16" x14ac:dyDescent="0.25">
      <c r="A22" s="15" t="str">
        <f t="shared" si="1"/>
        <v>BAMUS 2025 D80</v>
      </c>
      <c r="B22" s="7">
        <f t="shared" si="2"/>
        <v>46114</v>
      </c>
      <c r="C22" s="7">
        <f t="shared" si="3"/>
        <v>46120</v>
      </c>
      <c r="D22" s="6">
        <v>3280</v>
      </c>
      <c r="E22" s="6">
        <v>337</v>
      </c>
      <c r="F22" s="6">
        <v>4</v>
      </c>
      <c r="G22" s="15">
        <v>3</v>
      </c>
      <c r="H22" s="15">
        <v>81809</v>
      </c>
      <c r="I22" s="15" t="s">
        <v>1505</v>
      </c>
      <c r="J22" s="15">
        <v>15552735</v>
      </c>
      <c r="K22" s="15" t="s">
        <v>4257</v>
      </c>
      <c r="L22" s="15" t="s">
        <v>4260</v>
      </c>
      <c r="M22" s="15">
        <v>349900</v>
      </c>
      <c r="N22" s="9">
        <f t="shared" si="4"/>
        <v>0.8</v>
      </c>
      <c r="O22" s="8">
        <f t="shared" si="0"/>
        <v>69980</v>
      </c>
      <c r="P22" s="6" t="str">
        <f t="shared" si="5"/>
        <v>PERCENTAGE</v>
      </c>
    </row>
    <row r="23" spans="1:16" x14ac:dyDescent="0.25">
      <c r="A23" s="15" t="str">
        <f t="shared" si="1"/>
        <v>BAMUS 2025 D80</v>
      </c>
      <c r="B23" s="7">
        <f t="shared" si="2"/>
        <v>46114</v>
      </c>
      <c r="C23" s="7">
        <f t="shared" si="3"/>
        <v>46120</v>
      </c>
      <c r="D23" s="6">
        <v>3280</v>
      </c>
      <c r="E23" s="6">
        <v>337</v>
      </c>
      <c r="F23" s="6">
        <v>4</v>
      </c>
      <c r="G23" s="15">
        <v>3</v>
      </c>
      <c r="H23" s="15">
        <v>81809</v>
      </c>
      <c r="I23" s="15" t="s">
        <v>1505</v>
      </c>
      <c r="J23" s="15">
        <v>15552744</v>
      </c>
      <c r="K23" s="15" t="s">
        <v>4257</v>
      </c>
      <c r="L23" s="15" t="s">
        <v>4261</v>
      </c>
      <c r="M23" s="15">
        <v>359900</v>
      </c>
      <c r="N23" s="9">
        <f t="shared" si="4"/>
        <v>0.8</v>
      </c>
      <c r="O23" s="8">
        <f t="shared" si="0"/>
        <v>71980</v>
      </c>
      <c r="P23" s="6" t="str">
        <f t="shared" si="5"/>
        <v>PERCENTAGE</v>
      </c>
    </row>
    <row r="24" spans="1:16" x14ac:dyDescent="0.25">
      <c r="A24" s="15" t="str">
        <f t="shared" si="1"/>
        <v>BAMUS 2025 D80</v>
      </c>
      <c r="B24" s="7">
        <f t="shared" si="2"/>
        <v>46114</v>
      </c>
      <c r="C24" s="7">
        <f t="shared" si="3"/>
        <v>46120</v>
      </c>
      <c r="D24" s="6">
        <v>3280</v>
      </c>
      <c r="E24" s="6">
        <v>337</v>
      </c>
      <c r="F24" s="6">
        <v>4</v>
      </c>
      <c r="G24" s="15">
        <v>3</v>
      </c>
      <c r="H24" s="15">
        <v>81809</v>
      </c>
      <c r="I24" s="15" t="s">
        <v>1505</v>
      </c>
      <c r="J24" s="15">
        <v>15552753</v>
      </c>
      <c r="K24" s="15" t="s">
        <v>4257</v>
      </c>
      <c r="L24" s="15" t="s">
        <v>4262</v>
      </c>
      <c r="M24" s="15">
        <v>359900</v>
      </c>
      <c r="N24" s="9">
        <f t="shared" si="4"/>
        <v>0.8</v>
      </c>
      <c r="O24" s="8">
        <f t="shared" si="0"/>
        <v>71980</v>
      </c>
      <c r="P24" s="6" t="str">
        <f t="shared" si="5"/>
        <v>PERCENTAGE</v>
      </c>
    </row>
    <row r="25" spans="1:16" x14ac:dyDescent="0.25">
      <c r="A25" s="15" t="str">
        <f t="shared" si="1"/>
        <v>BAMUS 2025 D80</v>
      </c>
      <c r="B25" s="7">
        <f t="shared" si="2"/>
        <v>46114</v>
      </c>
      <c r="C25" s="7">
        <f t="shared" si="3"/>
        <v>46120</v>
      </c>
      <c r="D25" s="6">
        <v>3280</v>
      </c>
      <c r="E25" s="6">
        <v>337</v>
      </c>
      <c r="F25" s="6">
        <v>4</v>
      </c>
      <c r="G25" s="15">
        <v>3</v>
      </c>
      <c r="H25" s="15">
        <v>81809</v>
      </c>
      <c r="I25" s="15" t="s">
        <v>1505</v>
      </c>
      <c r="J25" s="15">
        <v>15552762</v>
      </c>
      <c r="K25" s="15" t="s">
        <v>4257</v>
      </c>
      <c r="L25" s="15" t="s">
        <v>4263</v>
      </c>
      <c r="M25" s="15">
        <v>359900</v>
      </c>
      <c r="N25" s="9">
        <f t="shared" si="4"/>
        <v>0.8</v>
      </c>
      <c r="O25" s="8">
        <f t="shared" si="0"/>
        <v>71980</v>
      </c>
      <c r="P25" s="6" t="str">
        <f t="shared" si="5"/>
        <v>PERCENTAGE</v>
      </c>
    </row>
    <row r="26" spans="1:16" x14ac:dyDescent="0.25">
      <c r="A26" s="15" t="str">
        <f t="shared" si="1"/>
        <v>BAMUS 2025 D80</v>
      </c>
      <c r="B26" s="7">
        <f t="shared" si="2"/>
        <v>46114</v>
      </c>
      <c r="C26" s="7">
        <f t="shared" si="3"/>
        <v>46120</v>
      </c>
      <c r="D26" s="6">
        <v>3280</v>
      </c>
      <c r="E26" s="6">
        <v>337</v>
      </c>
      <c r="F26" s="6">
        <v>4</v>
      </c>
      <c r="G26" s="15">
        <v>3</v>
      </c>
      <c r="H26" s="15">
        <v>81809</v>
      </c>
      <c r="I26" s="15" t="s">
        <v>1505</v>
      </c>
      <c r="J26" s="15">
        <v>15553136</v>
      </c>
      <c r="K26" s="15" t="s">
        <v>4264</v>
      </c>
      <c r="L26" s="15" t="s">
        <v>4265</v>
      </c>
      <c r="M26" s="15">
        <v>349900</v>
      </c>
      <c r="N26" s="9">
        <f t="shared" si="4"/>
        <v>0.8</v>
      </c>
      <c r="O26" s="8">
        <f t="shared" si="0"/>
        <v>69980</v>
      </c>
      <c r="P26" s="6" t="str">
        <f t="shared" si="5"/>
        <v>PERCENTAGE</v>
      </c>
    </row>
    <row r="27" spans="1:16" x14ac:dyDescent="0.25">
      <c r="A27" s="15" t="str">
        <f t="shared" si="1"/>
        <v>BAMUS 2025 D80</v>
      </c>
      <c r="B27" s="7">
        <f t="shared" si="2"/>
        <v>46114</v>
      </c>
      <c r="C27" s="7">
        <f t="shared" si="3"/>
        <v>46120</v>
      </c>
      <c r="D27" s="6">
        <v>3280</v>
      </c>
      <c r="E27" s="6">
        <v>337</v>
      </c>
      <c r="F27" s="6">
        <v>4</v>
      </c>
      <c r="G27" s="15">
        <v>3</v>
      </c>
      <c r="H27" s="15">
        <v>81809</v>
      </c>
      <c r="I27" s="15" t="s">
        <v>1505</v>
      </c>
      <c r="J27" s="15">
        <v>15553145</v>
      </c>
      <c r="K27" s="15" t="s">
        <v>4264</v>
      </c>
      <c r="L27" s="15" t="s">
        <v>4266</v>
      </c>
      <c r="M27" s="15">
        <v>349900</v>
      </c>
      <c r="N27" s="9">
        <f t="shared" si="4"/>
        <v>0.8</v>
      </c>
      <c r="O27" s="8">
        <f t="shared" si="0"/>
        <v>69980</v>
      </c>
      <c r="P27" s="6" t="str">
        <f t="shared" si="5"/>
        <v>PERCENTAGE</v>
      </c>
    </row>
    <row r="28" spans="1:16" x14ac:dyDescent="0.25">
      <c r="A28" s="15" t="str">
        <f t="shared" si="1"/>
        <v>BAMUS 2025 D80</v>
      </c>
      <c r="B28" s="7">
        <f t="shared" si="2"/>
        <v>46114</v>
      </c>
      <c r="C28" s="7">
        <f t="shared" si="3"/>
        <v>46120</v>
      </c>
      <c r="D28" s="6">
        <v>3280</v>
      </c>
      <c r="E28" s="6">
        <v>337</v>
      </c>
      <c r="F28" s="6">
        <v>4</v>
      </c>
      <c r="G28" s="15">
        <v>3</v>
      </c>
      <c r="H28" s="15">
        <v>81809</v>
      </c>
      <c r="I28" s="15" t="s">
        <v>1505</v>
      </c>
      <c r="J28" s="15">
        <v>15553154</v>
      </c>
      <c r="K28" s="15" t="s">
        <v>4264</v>
      </c>
      <c r="L28" s="15" t="s">
        <v>4267</v>
      </c>
      <c r="M28" s="15">
        <v>349900</v>
      </c>
      <c r="N28" s="9">
        <f t="shared" si="4"/>
        <v>0.8</v>
      </c>
      <c r="O28" s="8">
        <f t="shared" si="0"/>
        <v>69980</v>
      </c>
      <c r="P28" s="6" t="str">
        <f t="shared" si="5"/>
        <v>PERCENTAGE</v>
      </c>
    </row>
    <row r="29" spans="1:16" x14ac:dyDescent="0.25">
      <c r="A29" s="15" t="str">
        <f t="shared" si="1"/>
        <v>BAMUS 2025 D80</v>
      </c>
      <c r="B29" s="7">
        <f t="shared" si="2"/>
        <v>46114</v>
      </c>
      <c r="C29" s="7">
        <f t="shared" si="3"/>
        <v>46120</v>
      </c>
      <c r="D29" s="6">
        <v>3280</v>
      </c>
      <c r="E29" s="6">
        <v>337</v>
      </c>
      <c r="F29" s="6">
        <v>4</v>
      </c>
      <c r="G29" s="15">
        <v>3</v>
      </c>
      <c r="H29" s="15">
        <v>81809</v>
      </c>
      <c r="I29" s="15" t="s">
        <v>1505</v>
      </c>
      <c r="J29" s="15">
        <v>15553163</v>
      </c>
      <c r="K29" s="15" t="s">
        <v>4264</v>
      </c>
      <c r="L29" s="15" t="s">
        <v>4268</v>
      </c>
      <c r="M29" s="15">
        <v>359900</v>
      </c>
      <c r="N29" s="9">
        <f t="shared" si="4"/>
        <v>0.8</v>
      </c>
      <c r="O29" s="8">
        <f t="shared" si="0"/>
        <v>71980</v>
      </c>
      <c r="P29" s="6" t="str">
        <f t="shared" si="5"/>
        <v>PERCENTAGE</v>
      </c>
    </row>
    <row r="30" spans="1:16" x14ac:dyDescent="0.25">
      <c r="A30" s="15" t="str">
        <f t="shared" si="1"/>
        <v>BAMUS 2025 D80</v>
      </c>
      <c r="B30" s="7">
        <f t="shared" si="2"/>
        <v>46114</v>
      </c>
      <c r="C30" s="7">
        <f t="shared" si="3"/>
        <v>46120</v>
      </c>
      <c r="D30" s="6">
        <v>3280</v>
      </c>
      <c r="E30" s="6">
        <v>337</v>
      </c>
      <c r="F30" s="6">
        <v>4</v>
      </c>
      <c r="G30" s="15">
        <v>3</v>
      </c>
      <c r="H30" s="15">
        <v>81809</v>
      </c>
      <c r="I30" s="15" t="s">
        <v>1505</v>
      </c>
      <c r="J30" s="15">
        <v>15553172</v>
      </c>
      <c r="K30" s="15" t="s">
        <v>4264</v>
      </c>
      <c r="L30" s="15" t="s">
        <v>4269</v>
      </c>
      <c r="M30" s="15">
        <v>359900</v>
      </c>
      <c r="N30" s="9">
        <f t="shared" si="4"/>
        <v>0.8</v>
      </c>
      <c r="O30" s="8">
        <f t="shared" si="0"/>
        <v>71980</v>
      </c>
      <c r="P30" s="6" t="str">
        <f t="shared" si="5"/>
        <v>PERCENTAGE</v>
      </c>
    </row>
    <row r="31" spans="1:16" x14ac:dyDescent="0.25">
      <c r="A31" s="15" t="str">
        <f t="shared" si="1"/>
        <v>BAMUS 2025 D80</v>
      </c>
      <c r="B31" s="7">
        <f t="shared" si="2"/>
        <v>46114</v>
      </c>
      <c r="C31" s="7">
        <f t="shared" si="3"/>
        <v>46120</v>
      </c>
      <c r="D31" s="6">
        <v>3280</v>
      </c>
      <c r="E31" s="6">
        <v>337</v>
      </c>
      <c r="F31" s="6">
        <v>4</v>
      </c>
      <c r="G31" s="15">
        <v>3</v>
      </c>
      <c r="H31" s="15">
        <v>81809</v>
      </c>
      <c r="I31" s="15" t="s">
        <v>1505</v>
      </c>
      <c r="J31" s="15">
        <v>15553181</v>
      </c>
      <c r="K31" s="15" t="s">
        <v>4264</v>
      </c>
      <c r="L31" s="15" t="s">
        <v>4270</v>
      </c>
      <c r="M31" s="15">
        <v>359900</v>
      </c>
      <c r="N31" s="9">
        <f t="shared" si="4"/>
        <v>0.8</v>
      </c>
      <c r="O31" s="8">
        <f t="shared" si="0"/>
        <v>71980</v>
      </c>
      <c r="P31" s="6" t="str">
        <f t="shared" si="5"/>
        <v>PERCENTAGE</v>
      </c>
    </row>
    <row r="32" spans="1:16" x14ac:dyDescent="0.25">
      <c r="A32" s="15" t="str">
        <f t="shared" si="1"/>
        <v>BAMUS 2025 D80</v>
      </c>
      <c r="B32" s="7">
        <f t="shared" si="2"/>
        <v>46114</v>
      </c>
      <c r="C32" s="7">
        <f t="shared" si="3"/>
        <v>46120</v>
      </c>
      <c r="D32" s="6">
        <v>3280</v>
      </c>
      <c r="E32" s="6">
        <v>337</v>
      </c>
      <c r="F32" s="6">
        <v>4</v>
      </c>
      <c r="G32" s="15">
        <v>3</v>
      </c>
      <c r="H32" s="15">
        <v>81809</v>
      </c>
      <c r="I32" s="15" t="s">
        <v>1505</v>
      </c>
      <c r="J32" s="15">
        <v>15553314</v>
      </c>
      <c r="K32" s="15" t="s">
        <v>4271</v>
      </c>
      <c r="L32" s="15" t="s">
        <v>4272</v>
      </c>
      <c r="M32" s="15">
        <v>349900</v>
      </c>
      <c r="N32" s="9">
        <f t="shared" si="4"/>
        <v>0.8</v>
      </c>
      <c r="O32" s="8">
        <f t="shared" si="0"/>
        <v>69980</v>
      </c>
      <c r="P32" s="6" t="str">
        <f t="shared" si="5"/>
        <v>PERCENTAGE</v>
      </c>
    </row>
    <row r="33" spans="1:16" x14ac:dyDescent="0.25">
      <c r="A33" s="15" t="str">
        <f t="shared" si="1"/>
        <v>BAMUS 2025 D80</v>
      </c>
      <c r="B33" s="7">
        <f t="shared" si="2"/>
        <v>46114</v>
      </c>
      <c r="C33" s="7">
        <f t="shared" si="3"/>
        <v>46120</v>
      </c>
      <c r="D33" s="6">
        <v>3280</v>
      </c>
      <c r="E33" s="6">
        <v>337</v>
      </c>
      <c r="F33" s="6">
        <v>4</v>
      </c>
      <c r="G33" s="15">
        <v>3</v>
      </c>
      <c r="H33" s="15">
        <v>81809</v>
      </c>
      <c r="I33" s="15" t="s">
        <v>1505</v>
      </c>
      <c r="J33" s="15">
        <v>15553323</v>
      </c>
      <c r="K33" s="15" t="s">
        <v>4271</v>
      </c>
      <c r="L33" s="15" t="s">
        <v>4273</v>
      </c>
      <c r="M33" s="15">
        <v>349900</v>
      </c>
      <c r="N33" s="9">
        <f t="shared" si="4"/>
        <v>0.8</v>
      </c>
      <c r="O33" s="8">
        <f t="shared" si="0"/>
        <v>69980</v>
      </c>
      <c r="P33" s="6" t="str">
        <f t="shared" si="5"/>
        <v>PERCENTAGE</v>
      </c>
    </row>
    <row r="34" spans="1:16" x14ac:dyDescent="0.25">
      <c r="A34" s="15" t="str">
        <f t="shared" si="1"/>
        <v>BAMUS 2025 D80</v>
      </c>
      <c r="B34" s="7">
        <f t="shared" si="2"/>
        <v>46114</v>
      </c>
      <c r="C34" s="7">
        <f t="shared" si="3"/>
        <v>46120</v>
      </c>
      <c r="D34" s="6">
        <v>3280</v>
      </c>
      <c r="E34" s="6">
        <v>337</v>
      </c>
      <c r="F34" s="6">
        <v>4</v>
      </c>
      <c r="G34" s="15">
        <v>3</v>
      </c>
      <c r="H34" s="15">
        <v>81809</v>
      </c>
      <c r="I34" s="15" t="s">
        <v>1505</v>
      </c>
      <c r="J34" s="15">
        <v>15553332</v>
      </c>
      <c r="K34" s="15" t="s">
        <v>4271</v>
      </c>
      <c r="L34" s="15" t="s">
        <v>4274</v>
      </c>
      <c r="M34" s="15">
        <v>349900</v>
      </c>
      <c r="N34" s="9">
        <f t="shared" si="4"/>
        <v>0.8</v>
      </c>
      <c r="O34" s="8">
        <f t="shared" si="0"/>
        <v>69980</v>
      </c>
      <c r="P34" s="6" t="str">
        <f t="shared" si="5"/>
        <v>PERCENTAGE</v>
      </c>
    </row>
    <row r="35" spans="1:16" x14ac:dyDescent="0.25">
      <c r="A35" s="15" t="str">
        <f t="shared" si="1"/>
        <v>BAMUS 2025 D80</v>
      </c>
      <c r="B35" s="7">
        <f t="shared" ref="B35:B66" si="6">B34</f>
        <v>46114</v>
      </c>
      <c r="C35" s="7">
        <f t="shared" ref="C35:C66" si="7">C34</f>
        <v>46120</v>
      </c>
      <c r="D35" s="6">
        <v>3280</v>
      </c>
      <c r="E35" s="6">
        <v>337</v>
      </c>
      <c r="F35" s="6">
        <v>4</v>
      </c>
      <c r="G35" s="15">
        <v>3</v>
      </c>
      <c r="H35" s="15">
        <v>81809</v>
      </c>
      <c r="I35" s="15" t="s">
        <v>1505</v>
      </c>
      <c r="J35" s="15">
        <v>15553341</v>
      </c>
      <c r="K35" s="15" t="s">
        <v>4271</v>
      </c>
      <c r="L35" s="15" t="s">
        <v>4275</v>
      </c>
      <c r="M35" s="15">
        <v>359900</v>
      </c>
      <c r="N35" s="9">
        <f t="shared" si="4"/>
        <v>0.8</v>
      </c>
      <c r="O35" s="8">
        <f t="shared" si="0"/>
        <v>71980</v>
      </c>
      <c r="P35" s="6" t="str">
        <f t="shared" si="5"/>
        <v>PERCENTAGE</v>
      </c>
    </row>
    <row r="36" spans="1:16" x14ac:dyDescent="0.25">
      <c r="A36" s="15" t="str">
        <f t="shared" si="1"/>
        <v>BAMUS 2025 D80</v>
      </c>
      <c r="B36" s="7">
        <f t="shared" si="6"/>
        <v>46114</v>
      </c>
      <c r="C36" s="7">
        <f t="shared" si="7"/>
        <v>46120</v>
      </c>
      <c r="D36" s="6">
        <v>3280</v>
      </c>
      <c r="E36" s="6">
        <v>337</v>
      </c>
      <c r="F36" s="6">
        <v>4</v>
      </c>
      <c r="G36" s="15">
        <v>3</v>
      </c>
      <c r="H36" s="15">
        <v>81809</v>
      </c>
      <c r="I36" s="15" t="s">
        <v>1505</v>
      </c>
      <c r="J36" s="15">
        <v>15553350</v>
      </c>
      <c r="K36" s="15" t="s">
        <v>4271</v>
      </c>
      <c r="L36" s="15" t="s">
        <v>4276</v>
      </c>
      <c r="M36" s="15">
        <v>359900</v>
      </c>
      <c r="N36" s="9">
        <f t="shared" si="4"/>
        <v>0.8</v>
      </c>
      <c r="O36" s="8">
        <f t="shared" si="0"/>
        <v>71980</v>
      </c>
      <c r="P36" s="6" t="str">
        <f t="shared" si="5"/>
        <v>PERCENTAGE</v>
      </c>
    </row>
    <row r="37" spans="1:16" x14ac:dyDescent="0.25">
      <c r="A37" s="15" t="str">
        <f t="shared" si="1"/>
        <v>BAMUS 2025 D80</v>
      </c>
      <c r="B37" s="7">
        <f t="shared" si="6"/>
        <v>46114</v>
      </c>
      <c r="C37" s="7">
        <f t="shared" si="7"/>
        <v>46120</v>
      </c>
      <c r="D37" s="6">
        <v>3280</v>
      </c>
      <c r="E37" s="6">
        <v>337</v>
      </c>
      <c r="F37" s="6">
        <v>4</v>
      </c>
      <c r="G37" s="15">
        <v>3</v>
      </c>
      <c r="H37" s="15">
        <v>81809</v>
      </c>
      <c r="I37" s="15" t="s">
        <v>1505</v>
      </c>
      <c r="J37" s="15">
        <v>15553369</v>
      </c>
      <c r="K37" s="15" t="s">
        <v>4271</v>
      </c>
      <c r="L37" s="15" t="s">
        <v>4277</v>
      </c>
      <c r="M37" s="15">
        <v>359900</v>
      </c>
      <c r="N37" s="9">
        <f t="shared" si="4"/>
        <v>0.8</v>
      </c>
      <c r="O37" s="8">
        <f t="shared" si="0"/>
        <v>71980</v>
      </c>
      <c r="P37" s="6" t="str">
        <f t="shared" si="5"/>
        <v>PERCENTAGE</v>
      </c>
    </row>
    <row r="38" spans="1:16" x14ac:dyDescent="0.25">
      <c r="A38" s="15" t="str">
        <f t="shared" si="1"/>
        <v>BAMUS 2025 D80</v>
      </c>
      <c r="B38" s="7">
        <f t="shared" si="6"/>
        <v>46114</v>
      </c>
      <c r="C38" s="7">
        <f t="shared" si="7"/>
        <v>46120</v>
      </c>
      <c r="D38" s="6">
        <v>3280</v>
      </c>
      <c r="E38" s="6">
        <v>337</v>
      </c>
      <c r="F38" s="6">
        <v>4</v>
      </c>
      <c r="G38" s="15">
        <v>3</v>
      </c>
      <c r="H38" s="15">
        <v>81809</v>
      </c>
      <c r="I38" s="15" t="s">
        <v>1505</v>
      </c>
      <c r="J38" s="15">
        <v>15553378</v>
      </c>
      <c r="K38" s="15" t="s">
        <v>3773</v>
      </c>
      <c r="L38" s="15" t="s">
        <v>3774</v>
      </c>
      <c r="M38" s="15">
        <v>349900</v>
      </c>
      <c r="N38" s="9">
        <f t="shared" si="4"/>
        <v>0.8</v>
      </c>
      <c r="O38" s="8">
        <f t="shared" si="0"/>
        <v>69980</v>
      </c>
      <c r="P38" s="6" t="str">
        <f t="shared" si="5"/>
        <v>PERCENTAGE</v>
      </c>
    </row>
    <row r="39" spans="1:16" x14ac:dyDescent="0.25">
      <c r="A39" s="15" t="str">
        <f t="shared" si="1"/>
        <v>BAMUS 2025 D80</v>
      </c>
      <c r="B39" s="7">
        <f t="shared" si="6"/>
        <v>46114</v>
      </c>
      <c r="C39" s="7">
        <f t="shared" si="7"/>
        <v>46120</v>
      </c>
      <c r="D39" s="6">
        <v>3280</v>
      </c>
      <c r="E39" s="6">
        <v>337</v>
      </c>
      <c r="F39" s="6">
        <v>4</v>
      </c>
      <c r="G39" s="15">
        <v>3</v>
      </c>
      <c r="H39" s="15">
        <v>81809</v>
      </c>
      <c r="I39" s="15" t="s">
        <v>1505</v>
      </c>
      <c r="J39" s="15">
        <v>15553387</v>
      </c>
      <c r="K39" s="15" t="s">
        <v>3773</v>
      </c>
      <c r="L39" s="15" t="s">
        <v>3777</v>
      </c>
      <c r="M39" s="15">
        <v>349900</v>
      </c>
      <c r="N39" s="9">
        <f t="shared" si="4"/>
        <v>0.8</v>
      </c>
      <c r="O39" s="8">
        <f t="shared" si="0"/>
        <v>69980</v>
      </c>
      <c r="P39" s="6" t="str">
        <f t="shared" si="5"/>
        <v>PERCENTAGE</v>
      </c>
    </row>
    <row r="40" spans="1:16" x14ac:dyDescent="0.25">
      <c r="A40" s="15" t="str">
        <f t="shared" si="1"/>
        <v>BAMUS 2025 D80</v>
      </c>
      <c r="B40" s="7">
        <f t="shared" si="6"/>
        <v>46114</v>
      </c>
      <c r="C40" s="7">
        <f t="shared" si="7"/>
        <v>46120</v>
      </c>
      <c r="D40" s="6">
        <v>3280</v>
      </c>
      <c r="E40" s="6">
        <v>337</v>
      </c>
      <c r="F40" s="6">
        <v>4</v>
      </c>
      <c r="G40" s="15">
        <v>3</v>
      </c>
      <c r="H40" s="15">
        <v>81809</v>
      </c>
      <c r="I40" s="15" t="s">
        <v>1505</v>
      </c>
      <c r="J40" s="15">
        <v>15553396</v>
      </c>
      <c r="K40" s="15" t="s">
        <v>3773</v>
      </c>
      <c r="L40" s="15" t="s">
        <v>3775</v>
      </c>
      <c r="M40" s="15">
        <v>349900</v>
      </c>
      <c r="N40" s="9">
        <f t="shared" si="4"/>
        <v>0.8</v>
      </c>
      <c r="O40" s="8">
        <f t="shared" si="0"/>
        <v>69980</v>
      </c>
      <c r="P40" s="6" t="str">
        <f t="shared" si="5"/>
        <v>PERCENTAGE</v>
      </c>
    </row>
    <row r="41" spans="1:16" x14ac:dyDescent="0.25">
      <c r="A41" s="15" t="str">
        <f t="shared" si="1"/>
        <v>BAMUS 2025 D80</v>
      </c>
      <c r="B41" s="7">
        <f t="shared" si="6"/>
        <v>46114</v>
      </c>
      <c r="C41" s="7">
        <f t="shared" si="7"/>
        <v>46120</v>
      </c>
      <c r="D41" s="6">
        <v>3280</v>
      </c>
      <c r="E41" s="6">
        <v>337</v>
      </c>
      <c r="F41" s="6">
        <v>4</v>
      </c>
      <c r="G41" s="15">
        <v>3</v>
      </c>
      <c r="H41" s="15">
        <v>81809</v>
      </c>
      <c r="I41" s="15" t="s">
        <v>1505</v>
      </c>
      <c r="J41" s="15">
        <v>15553403</v>
      </c>
      <c r="K41" s="15" t="s">
        <v>3773</v>
      </c>
      <c r="L41" s="15" t="s">
        <v>3778</v>
      </c>
      <c r="M41" s="15">
        <v>359900</v>
      </c>
      <c r="N41" s="9">
        <f t="shared" si="4"/>
        <v>0.8</v>
      </c>
      <c r="O41" s="8">
        <f t="shared" si="0"/>
        <v>71980</v>
      </c>
      <c r="P41" s="6" t="str">
        <f t="shared" si="5"/>
        <v>PERCENTAGE</v>
      </c>
    </row>
    <row r="42" spans="1:16" x14ac:dyDescent="0.25">
      <c r="A42" s="15" t="str">
        <f t="shared" si="1"/>
        <v>BAMUS 2025 D80</v>
      </c>
      <c r="B42" s="7">
        <f t="shared" si="6"/>
        <v>46114</v>
      </c>
      <c r="C42" s="7">
        <f t="shared" si="7"/>
        <v>46120</v>
      </c>
      <c r="D42" s="6">
        <v>3280</v>
      </c>
      <c r="E42" s="6">
        <v>337</v>
      </c>
      <c r="F42" s="6">
        <v>4</v>
      </c>
      <c r="G42" s="15">
        <v>3</v>
      </c>
      <c r="H42" s="15">
        <v>81809</v>
      </c>
      <c r="I42" s="15" t="s">
        <v>1505</v>
      </c>
      <c r="J42" s="15">
        <v>15553412</v>
      </c>
      <c r="K42" s="15" t="s">
        <v>3773</v>
      </c>
      <c r="L42" s="15" t="s">
        <v>3776</v>
      </c>
      <c r="M42" s="15">
        <v>359900</v>
      </c>
      <c r="N42" s="9">
        <f t="shared" si="4"/>
        <v>0.8</v>
      </c>
      <c r="O42" s="8">
        <f t="shared" si="0"/>
        <v>71980</v>
      </c>
      <c r="P42" s="6" t="str">
        <f t="shared" si="5"/>
        <v>PERCENTAGE</v>
      </c>
    </row>
    <row r="43" spans="1:16" x14ac:dyDescent="0.25">
      <c r="A43" s="15" t="str">
        <f t="shared" si="1"/>
        <v>BAMUS 2025 D80</v>
      </c>
      <c r="B43" s="7">
        <f t="shared" si="6"/>
        <v>46114</v>
      </c>
      <c r="C43" s="7">
        <f t="shared" si="7"/>
        <v>46120</v>
      </c>
      <c r="D43" s="6">
        <v>3280</v>
      </c>
      <c r="E43" s="6">
        <v>337</v>
      </c>
      <c r="F43" s="6">
        <v>4</v>
      </c>
      <c r="G43" s="15">
        <v>3</v>
      </c>
      <c r="H43" s="15">
        <v>81809</v>
      </c>
      <c r="I43" s="15" t="s">
        <v>1505</v>
      </c>
      <c r="J43" s="15">
        <v>15553421</v>
      </c>
      <c r="K43" s="15" t="s">
        <v>3773</v>
      </c>
      <c r="L43" s="15" t="s">
        <v>3779</v>
      </c>
      <c r="M43" s="15">
        <v>359900</v>
      </c>
      <c r="N43" s="9">
        <f t="shared" si="4"/>
        <v>0.8</v>
      </c>
      <c r="O43" s="8">
        <f t="shared" si="0"/>
        <v>71980</v>
      </c>
      <c r="P43" s="6" t="str">
        <f t="shared" si="5"/>
        <v>PERCENTAGE</v>
      </c>
    </row>
    <row r="44" spans="1:16" x14ac:dyDescent="0.25">
      <c r="A44" s="15" t="str">
        <f t="shared" si="1"/>
        <v>BAMUS 2025 D80</v>
      </c>
      <c r="B44" s="7">
        <f t="shared" si="6"/>
        <v>46114</v>
      </c>
      <c r="C44" s="7">
        <f t="shared" si="7"/>
        <v>46120</v>
      </c>
      <c r="D44" s="6">
        <v>3280</v>
      </c>
      <c r="E44" s="6">
        <v>337</v>
      </c>
      <c r="F44" s="6">
        <v>4</v>
      </c>
      <c r="G44" s="15">
        <v>3</v>
      </c>
      <c r="H44" s="15">
        <v>81809</v>
      </c>
      <c r="I44" s="15" t="s">
        <v>1505</v>
      </c>
      <c r="J44" s="15">
        <v>15553850</v>
      </c>
      <c r="K44" s="15" t="s">
        <v>3741</v>
      </c>
      <c r="L44" s="15" t="s">
        <v>3742</v>
      </c>
      <c r="M44" s="15">
        <v>349900</v>
      </c>
      <c r="N44" s="9">
        <f t="shared" si="4"/>
        <v>0.8</v>
      </c>
      <c r="O44" s="8">
        <f t="shared" si="0"/>
        <v>69980</v>
      </c>
      <c r="P44" s="6" t="str">
        <f t="shared" si="5"/>
        <v>PERCENTAGE</v>
      </c>
    </row>
    <row r="45" spans="1:16" x14ac:dyDescent="0.25">
      <c r="A45" s="15" t="str">
        <f t="shared" si="1"/>
        <v>BAMUS 2025 D80</v>
      </c>
      <c r="B45" s="7">
        <f t="shared" si="6"/>
        <v>46114</v>
      </c>
      <c r="C45" s="7">
        <f t="shared" si="7"/>
        <v>46120</v>
      </c>
      <c r="D45" s="6">
        <v>3280</v>
      </c>
      <c r="E45" s="6">
        <v>337</v>
      </c>
      <c r="F45" s="6">
        <v>4</v>
      </c>
      <c r="G45" s="15">
        <v>3</v>
      </c>
      <c r="H45" s="15">
        <v>81809</v>
      </c>
      <c r="I45" s="15" t="s">
        <v>1505</v>
      </c>
      <c r="J45" s="15">
        <v>15553869</v>
      </c>
      <c r="K45" s="15" t="s">
        <v>3741</v>
      </c>
      <c r="L45" s="15" t="s">
        <v>3743</v>
      </c>
      <c r="M45" s="15">
        <v>349900</v>
      </c>
      <c r="N45" s="9">
        <f t="shared" si="4"/>
        <v>0.8</v>
      </c>
      <c r="O45" s="8">
        <f t="shared" si="0"/>
        <v>69980</v>
      </c>
      <c r="P45" s="6" t="str">
        <f t="shared" si="5"/>
        <v>PERCENTAGE</v>
      </c>
    </row>
    <row r="46" spans="1:16" x14ac:dyDescent="0.25">
      <c r="A46" s="15" t="str">
        <f t="shared" si="1"/>
        <v>BAMUS 2025 D80</v>
      </c>
      <c r="B46" s="7">
        <f t="shared" si="6"/>
        <v>46114</v>
      </c>
      <c r="C46" s="7">
        <f t="shared" si="7"/>
        <v>46120</v>
      </c>
      <c r="D46" s="6">
        <v>3280</v>
      </c>
      <c r="E46" s="6">
        <v>337</v>
      </c>
      <c r="F46" s="6">
        <v>4</v>
      </c>
      <c r="G46" s="15">
        <v>3</v>
      </c>
      <c r="H46" s="15">
        <v>81809</v>
      </c>
      <c r="I46" s="15" t="s">
        <v>1505</v>
      </c>
      <c r="J46" s="15">
        <v>15553878</v>
      </c>
      <c r="K46" s="15" t="s">
        <v>3741</v>
      </c>
      <c r="L46" s="15" t="s">
        <v>3744</v>
      </c>
      <c r="M46" s="15">
        <v>349900</v>
      </c>
      <c r="N46" s="9">
        <f t="shared" si="4"/>
        <v>0.8</v>
      </c>
      <c r="O46" s="8">
        <f t="shared" si="0"/>
        <v>69980</v>
      </c>
      <c r="P46" s="6" t="str">
        <f t="shared" si="5"/>
        <v>PERCENTAGE</v>
      </c>
    </row>
    <row r="47" spans="1:16" x14ac:dyDescent="0.25">
      <c r="A47" s="15" t="str">
        <f t="shared" si="1"/>
        <v>BAMUS 2025 D80</v>
      </c>
      <c r="B47" s="7">
        <f t="shared" si="6"/>
        <v>46114</v>
      </c>
      <c r="C47" s="7">
        <f t="shared" si="7"/>
        <v>46120</v>
      </c>
      <c r="D47" s="6">
        <v>3280</v>
      </c>
      <c r="E47" s="6">
        <v>337</v>
      </c>
      <c r="F47" s="6">
        <v>4</v>
      </c>
      <c r="G47" s="15">
        <v>3</v>
      </c>
      <c r="H47" s="15">
        <v>81809</v>
      </c>
      <c r="I47" s="15" t="s">
        <v>1505</v>
      </c>
      <c r="J47" s="15">
        <v>15553887</v>
      </c>
      <c r="K47" s="15" t="s">
        <v>3741</v>
      </c>
      <c r="L47" s="15" t="s">
        <v>4368</v>
      </c>
      <c r="M47" s="15">
        <v>359900</v>
      </c>
      <c r="N47" s="9">
        <f t="shared" si="4"/>
        <v>0.8</v>
      </c>
      <c r="O47" s="8">
        <f t="shared" si="0"/>
        <v>71980</v>
      </c>
      <c r="P47" s="6" t="str">
        <f t="shared" si="5"/>
        <v>PERCENTAGE</v>
      </c>
    </row>
    <row r="48" spans="1:16" x14ac:dyDescent="0.25">
      <c r="A48" s="15" t="str">
        <f t="shared" si="1"/>
        <v>BAMUS 2025 D80</v>
      </c>
      <c r="B48" s="7">
        <f t="shared" si="6"/>
        <v>46114</v>
      </c>
      <c r="C48" s="7">
        <f t="shared" si="7"/>
        <v>46120</v>
      </c>
      <c r="D48" s="6">
        <v>3280</v>
      </c>
      <c r="E48" s="6">
        <v>337</v>
      </c>
      <c r="F48" s="6">
        <v>4</v>
      </c>
      <c r="G48" s="15">
        <v>3</v>
      </c>
      <c r="H48" s="15">
        <v>81809</v>
      </c>
      <c r="I48" s="15" t="s">
        <v>1505</v>
      </c>
      <c r="J48" s="15">
        <v>15553896</v>
      </c>
      <c r="K48" s="15" t="s">
        <v>3741</v>
      </c>
      <c r="L48" s="15" t="s">
        <v>4369</v>
      </c>
      <c r="M48" s="15">
        <v>359900</v>
      </c>
      <c r="N48" s="9">
        <f t="shared" si="4"/>
        <v>0.8</v>
      </c>
      <c r="O48" s="8">
        <f t="shared" si="0"/>
        <v>71980</v>
      </c>
      <c r="P48" s="6" t="str">
        <f t="shared" si="5"/>
        <v>PERCENTAGE</v>
      </c>
    </row>
    <row r="49" spans="1:16" x14ac:dyDescent="0.25">
      <c r="A49" s="15" t="str">
        <f t="shared" si="1"/>
        <v>BAMUS 2025 D80</v>
      </c>
      <c r="B49" s="7">
        <f t="shared" si="6"/>
        <v>46114</v>
      </c>
      <c r="C49" s="7">
        <f t="shared" si="7"/>
        <v>46120</v>
      </c>
      <c r="D49" s="6">
        <v>3280</v>
      </c>
      <c r="E49" s="6">
        <v>337</v>
      </c>
      <c r="F49" s="6">
        <v>4</v>
      </c>
      <c r="G49" s="15">
        <v>3</v>
      </c>
      <c r="H49" s="15">
        <v>81809</v>
      </c>
      <c r="I49" s="15" t="s">
        <v>1505</v>
      </c>
      <c r="J49" s="15">
        <v>15553903</v>
      </c>
      <c r="K49" s="15" t="s">
        <v>3741</v>
      </c>
      <c r="L49" s="15" t="s">
        <v>4370</v>
      </c>
      <c r="M49" s="15">
        <v>359900</v>
      </c>
      <c r="N49" s="9">
        <f t="shared" si="4"/>
        <v>0.8</v>
      </c>
      <c r="O49" s="8">
        <f t="shared" si="0"/>
        <v>71980</v>
      </c>
      <c r="P49" s="6" t="str">
        <f t="shared" si="5"/>
        <v>PERCENTAGE</v>
      </c>
    </row>
    <row r="50" spans="1:16" x14ac:dyDescent="0.25">
      <c r="A50" s="15" t="str">
        <f t="shared" si="1"/>
        <v>BAMUS 2025 D80</v>
      </c>
      <c r="B50" s="7">
        <f t="shared" si="6"/>
        <v>46114</v>
      </c>
      <c r="C50" s="7">
        <f t="shared" si="7"/>
        <v>46120</v>
      </c>
      <c r="D50" s="6">
        <v>3280</v>
      </c>
      <c r="E50" s="6">
        <v>337</v>
      </c>
      <c r="F50" s="6">
        <v>4</v>
      </c>
      <c r="G50" s="15">
        <v>3</v>
      </c>
      <c r="H50" s="15">
        <v>81698</v>
      </c>
      <c r="I50" s="15" t="s">
        <v>1505</v>
      </c>
      <c r="J50" s="15">
        <v>50362964</v>
      </c>
      <c r="K50" s="15" t="s">
        <v>4229</v>
      </c>
      <c r="L50" s="15" t="s">
        <v>4230</v>
      </c>
      <c r="M50" s="15">
        <v>349900</v>
      </c>
      <c r="N50" s="9">
        <f t="shared" si="4"/>
        <v>0.8</v>
      </c>
      <c r="O50" s="8">
        <f t="shared" si="0"/>
        <v>69980</v>
      </c>
      <c r="P50" s="6" t="str">
        <f t="shared" si="5"/>
        <v>PERCENTAGE</v>
      </c>
    </row>
    <row r="51" spans="1:16" x14ac:dyDescent="0.25">
      <c r="A51" s="15" t="str">
        <f t="shared" si="1"/>
        <v>BAMUS 2025 D80</v>
      </c>
      <c r="B51" s="7">
        <f t="shared" si="6"/>
        <v>46114</v>
      </c>
      <c r="C51" s="7">
        <f t="shared" si="7"/>
        <v>46120</v>
      </c>
      <c r="D51" s="6">
        <v>3280</v>
      </c>
      <c r="E51" s="6">
        <v>337</v>
      </c>
      <c r="F51" s="6">
        <v>4</v>
      </c>
      <c r="G51" s="15">
        <v>3</v>
      </c>
      <c r="H51" s="15">
        <v>81698</v>
      </c>
      <c r="I51" s="15" t="s">
        <v>1505</v>
      </c>
      <c r="J51" s="15">
        <v>50362973</v>
      </c>
      <c r="K51" s="15" t="s">
        <v>4229</v>
      </c>
      <c r="L51" s="15" t="s">
        <v>4231</v>
      </c>
      <c r="M51" s="15">
        <v>349900</v>
      </c>
      <c r="N51" s="9">
        <f t="shared" si="4"/>
        <v>0.8</v>
      </c>
      <c r="O51" s="8">
        <f t="shared" si="0"/>
        <v>69980</v>
      </c>
      <c r="P51" s="6" t="str">
        <f t="shared" si="5"/>
        <v>PERCENTAGE</v>
      </c>
    </row>
    <row r="52" spans="1:16" x14ac:dyDescent="0.25">
      <c r="A52" s="15" t="str">
        <f t="shared" si="1"/>
        <v>BAMUS 2025 D80</v>
      </c>
      <c r="B52" s="7">
        <f t="shared" si="6"/>
        <v>46114</v>
      </c>
      <c r="C52" s="7">
        <f t="shared" si="7"/>
        <v>46120</v>
      </c>
      <c r="D52" s="6">
        <v>3280</v>
      </c>
      <c r="E52" s="6">
        <v>337</v>
      </c>
      <c r="F52" s="6">
        <v>4</v>
      </c>
      <c r="G52" s="15">
        <v>3</v>
      </c>
      <c r="H52" s="15">
        <v>81698</v>
      </c>
      <c r="I52" s="15" t="s">
        <v>1505</v>
      </c>
      <c r="J52" s="15">
        <v>50362982</v>
      </c>
      <c r="K52" s="15" t="s">
        <v>4229</v>
      </c>
      <c r="L52" s="15" t="s">
        <v>4232</v>
      </c>
      <c r="M52" s="15">
        <v>349900</v>
      </c>
      <c r="N52" s="9">
        <f t="shared" si="4"/>
        <v>0.8</v>
      </c>
      <c r="O52" s="8">
        <f t="shared" si="0"/>
        <v>69980</v>
      </c>
      <c r="P52" s="6" t="str">
        <f t="shared" si="5"/>
        <v>PERCENTAGE</v>
      </c>
    </row>
    <row r="53" spans="1:16" x14ac:dyDescent="0.25">
      <c r="A53" s="15" t="str">
        <f t="shared" si="1"/>
        <v>BAMUS 2025 D80</v>
      </c>
      <c r="B53" s="7">
        <f t="shared" si="6"/>
        <v>46114</v>
      </c>
      <c r="C53" s="7">
        <f t="shared" si="7"/>
        <v>46120</v>
      </c>
      <c r="D53" s="6">
        <v>3280</v>
      </c>
      <c r="E53" s="6">
        <v>337</v>
      </c>
      <c r="F53" s="6">
        <v>4</v>
      </c>
      <c r="G53" s="15">
        <v>3</v>
      </c>
      <c r="H53" s="15">
        <v>81698</v>
      </c>
      <c r="I53" s="15" t="s">
        <v>1505</v>
      </c>
      <c r="J53" s="15">
        <v>50362991</v>
      </c>
      <c r="K53" s="15" t="s">
        <v>4229</v>
      </c>
      <c r="L53" s="15" t="s">
        <v>4233</v>
      </c>
      <c r="M53" s="15">
        <v>359900</v>
      </c>
      <c r="N53" s="9">
        <f t="shared" si="4"/>
        <v>0.8</v>
      </c>
      <c r="O53" s="8">
        <f t="shared" si="0"/>
        <v>71980</v>
      </c>
      <c r="P53" s="6" t="str">
        <f t="shared" si="5"/>
        <v>PERCENTAGE</v>
      </c>
    </row>
    <row r="54" spans="1:16" x14ac:dyDescent="0.25">
      <c r="A54" s="15" t="str">
        <f t="shared" si="1"/>
        <v>BAMUS 2025 D80</v>
      </c>
      <c r="B54" s="7">
        <f t="shared" si="6"/>
        <v>46114</v>
      </c>
      <c r="C54" s="7">
        <f t="shared" si="7"/>
        <v>46120</v>
      </c>
      <c r="D54" s="6">
        <v>3280</v>
      </c>
      <c r="E54" s="6">
        <v>337</v>
      </c>
      <c r="F54" s="6">
        <v>4</v>
      </c>
      <c r="G54" s="15">
        <v>3</v>
      </c>
      <c r="H54" s="15">
        <v>81698</v>
      </c>
      <c r="I54" s="15" t="s">
        <v>1505</v>
      </c>
      <c r="J54" s="15">
        <v>50363016</v>
      </c>
      <c r="K54" s="15" t="s">
        <v>4229</v>
      </c>
      <c r="L54" s="15" t="s">
        <v>4234</v>
      </c>
      <c r="M54" s="15">
        <v>359900</v>
      </c>
      <c r="N54" s="9">
        <f t="shared" si="4"/>
        <v>0.8</v>
      </c>
      <c r="O54" s="8">
        <f t="shared" si="0"/>
        <v>71980</v>
      </c>
      <c r="P54" s="6" t="str">
        <f t="shared" si="5"/>
        <v>PERCENTAGE</v>
      </c>
    </row>
    <row r="55" spans="1:16" x14ac:dyDescent="0.25">
      <c r="A55" s="15" t="str">
        <f t="shared" si="1"/>
        <v>BAMUS 2025 D80</v>
      </c>
      <c r="B55" s="7">
        <f t="shared" si="6"/>
        <v>46114</v>
      </c>
      <c r="C55" s="7">
        <f t="shared" si="7"/>
        <v>46120</v>
      </c>
      <c r="D55" s="6">
        <v>3280</v>
      </c>
      <c r="E55" s="6">
        <v>337</v>
      </c>
      <c r="F55" s="6">
        <v>4</v>
      </c>
      <c r="G55" s="15">
        <v>3</v>
      </c>
      <c r="H55" s="15">
        <v>81698</v>
      </c>
      <c r="I55" s="15" t="s">
        <v>1505</v>
      </c>
      <c r="J55" s="15">
        <v>50363025</v>
      </c>
      <c r="K55" s="15" t="s">
        <v>4229</v>
      </c>
      <c r="L55" s="15" t="s">
        <v>4235</v>
      </c>
      <c r="M55" s="15">
        <v>359900</v>
      </c>
      <c r="N55" s="9">
        <f t="shared" si="4"/>
        <v>0.8</v>
      </c>
      <c r="O55" s="8">
        <f t="shared" si="0"/>
        <v>71980</v>
      </c>
      <c r="P55" s="6" t="str">
        <f t="shared" si="5"/>
        <v>PERCENTAGE</v>
      </c>
    </row>
    <row r="56" spans="1:16" x14ac:dyDescent="0.25">
      <c r="A56" s="15" t="str">
        <f t="shared" si="1"/>
        <v>BAMUS 2025 D80</v>
      </c>
      <c r="B56" s="7">
        <f t="shared" si="6"/>
        <v>46114</v>
      </c>
      <c r="C56" s="7">
        <f t="shared" si="7"/>
        <v>46120</v>
      </c>
      <c r="D56" s="6">
        <v>3280</v>
      </c>
      <c r="E56" s="6">
        <v>337</v>
      </c>
      <c r="F56" s="6">
        <v>4</v>
      </c>
      <c r="G56" s="15">
        <v>3</v>
      </c>
      <c r="H56" s="15">
        <v>81698</v>
      </c>
      <c r="I56" s="15" t="s">
        <v>1505</v>
      </c>
      <c r="J56" s="15">
        <v>50363098</v>
      </c>
      <c r="K56" s="15" t="s">
        <v>4236</v>
      </c>
      <c r="L56" s="15" t="s">
        <v>4237</v>
      </c>
      <c r="M56" s="15">
        <v>349900</v>
      </c>
      <c r="N56" s="9">
        <f t="shared" si="4"/>
        <v>0.8</v>
      </c>
      <c r="O56" s="8">
        <f t="shared" si="0"/>
        <v>69980</v>
      </c>
      <c r="P56" s="6" t="str">
        <f t="shared" si="5"/>
        <v>PERCENTAGE</v>
      </c>
    </row>
    <row r="57" spans="1:16" x14ac:dyDescent="0.25">
      <c r="A57" s="15" t="str">
        <f t="shared" si="1"/>
        <v>BAMUS 2025 D80</v>
      </c>
      <c r="B57" s="7">
        <f t="shared" si="6"/>
        <v>46114</v>
      </c>
      <c r="C57" s="7">
        <f t="shared" si="7"/>
        <v>46120</v>
      </c>
      <c r="D57" s="6">
        <v>3280</v>
      </c>
      <c r="E57" s="6">
        <v>337</v>
      </c>
      <c r="F57" s="6">
        <v>4</v>
      </c>
      <c r="G57" s="15">
        <v>3</v>
      </c>
      <c r="H57" s="15">
        <v>81698</v>
      </c>
      <c r="I57" s="15" t="s">
        <v>1505</v>
      </c>
      <c r="J57" s="15">
        <v>50363105</v>
      </c>
      <c r="K57" s="15" t="s">
        <v>4236</v>
      </c>
      <c r="L57" s="15" t="s">
        <v>4238</v>
      </c>
      <c r="M57" s="15">
        <v>349900</v>
      </c>
      <c r="N57" s="9">
        <f t="shared" si="4"/>
        <v>0.8</v>
      </c>
      <c r="O57" s="8">
        <f t="shared" si="0"/>
        <v>69980</v>
      </c>
      <c r="P57" s="6" t="str">
        <f t="shared" si="5"/>
        <v>PERCENTAGE</v>
      </c>
    </row>
    <row r="58" spans="1:16" x14ac:dyDescent="0.25">
      <c r="A58" s="15" t="str">
        <f t="shared" si="1"/>
        <v>BAMUS 2025 D80</v>
      </c>
      <c r="B58" s="7">
        <f t="shared" si="6"/>
        <v>46114</v>
      </c>
      <c r="C58" s="7">
        <f t="shared" si="7"/>
        <v>46120</v>
      </c>
      <c r="D58" s="6">
        <v>3280</v>
      </c>
      <c r="E58" s="6">
        <v>337</v>
      </c>
      <c r="F58" s="6">
        <v>4</v>
      </c>
      <c r="G58" s="15">
        <v>3</v>
      </c>
      <c r="H58" s="15">
        <v>81698</v>
      </c>
      <c r="I58" s="15" t="s">
        <v>1505</v>
      </c>
      <c r="J58" s="15">
        <v>50363114</v>
      </c>
      <c r="K58" s="15" t="s">
        <v>4236</v>
      </c>
      <c r="L58" s="15" t="s">
        <v>4239</v>
      </c>
      <c r="M58" s="15">
        <v>349900</v>
      </c>
      <c r="N58" s="9">
        <f t="shared" si="4"/>
        <v>0.8</v>
      </c>
      <c r="O58" s="8">
        <f t="shared" si="0"/>
        <v>69980</v>
      </c>
      <c r="P58" s="6" t="str">
        <f t="shared" si="5"/>
        <v>PERCENTAGE</v>
      </c>
    </row>
    <row r="59" spans="1:16" x14ac:dyDescent="0.25">
      <c r="A59" s="15" t="str">
        <f t="shared" si="1"/>
        <v>BAMUS 2025 D80</v>
      </c>
      <c r="B59" s="7">
        <f t="shared" si="6"/>
        <v>46114</v>
      </c>
      <c r="C59" s="7">
        <f t="shared" si="7"/>
        <v>46120</v>
      </c>
      <c r="D59" s="6">
        <v>3280</v>
      </c>
      <c r="E59" s="6">
        <v>337</v>
      </c>
      <c r="F59" s="6">
        <v>4</v>
      </c>
      <c r="G59" s="15">
        <v>3</v>
      </c>
      <c r="H59" s="15">
        <v>81698</v>
      </c>
      <c r="I59" s="15" t="s">
        <v>1505</v>
      </c>
      <c r="J59" s="15">
        <v>50363123</v>
      </c>
      <c r="K59" s="15" t="s">
        <v>4236</v>
      </c>
      <c r="L59" s="15" t="s">
        <v>4240</v>
      </c>
      <c r="M59" s="15">
        <v>359900</v>
      </c>
      <c r="N59" s="9">
        <f t="shared" si="4"/>
        <v>0.8</v>
      </c>
      <c r="O59" s="8">
        <f t="shared" si="0"/>
        <v>71980</v>
      </c>
      <c r="P59" s="6" t="str">
        <f t="shared" si="5"/>
        <v>PERCENTAGE</v>
      </c>
    </row>
    <row r="60" spans="1:16" x14ac:dyDescent="0.25">
      <c r="A60" s="15" t="str">
        <f t="shared" si="1"/>
        <v>BAMUS 2025 D80</v>
      </c>
      <c r="B60" s="7">
        <f t="shared" si="6"/>
        <v>46114</v>
      </c>
      <c r="C60" s="7">
        <f t="shared" si="7"/>
        <v>46120</v>
      </c>
      <c r="D60" s="6">
        <v>3280</v>
      </c>
      <c r="E60" s="6">
        <v>337</v>
      </c>
      <c r="F60" s="6">
        <v>4</v>
      </c>
      <c r="G60" s="15">
        <v>3</v>
      </c>
      <c r="H60" s="15">
        <v>81698</v>
      </c>
      <c r="I60" s="15" t="s">
        <v>1505</v>
      </c>
      <c r="J60" s="15">
        <v>50363132</v>
      </c>
      <c r="K60" s="15" t="s">
        <v>4236</v>
      </c>
      <c r="L60" s="15" t="s">
        <v>4241</v>
      </c>
      <c r="M60" s="15">
        <v>359900</v>
      </c>
      <c r="N60" s="9">
        <f t="shared" si="4"/>
        <v>0.8</v>
      </c>
      <c r="O60" s="8">
        <f t="shared" si="0"/>
        <v>71980</v>
      </c>
      <c r="P60" s="6" t="str">
        <f t="shared" si="5"/>
        <v>PERCENTAGE</v>
      </c>
    </row>
    <row r="61" spans="1:16" x14ac:dyDescent="0.25">
      <c r="A61" s="15" t="str">
        <f t="shared" si="1"/>
        <v>BAMUS 2025 D80</v>
      </c>
      <c r="B61" s="7">
        <f t="shared" si="6"/>
        <v>46114</v>
      </c>
      <c r="C61" s="7">
        <f t="shared" si="7"/>
        <v>46120</v>
      </c>
      <c r="D61" s="6">
        <v>3280</v>
      </c>
      <c r="E61" s="6">
        <v>337</v>
      </c>
      <c r="F61" s="6">
        <v>4</v>
      </c>
      <c r="G61" s="15">
        <v>3</v>
      </c>
      <c r="H61" s="15">
        <v>81698</v>
      </c>
      <c r="I61" s="15" t="s">
        <v>1505</v>
      </c>
      <c r="J61" s="15">
        <v>50363141</v>
      </c>
      <c r="K61" s="15" t="s">
        <v>4236</v>
      </c>
      <c r="L61" s="15" t="s">
        <v>4242</v>
      </c>
      <c r="M61" s="15">
        <v>359900</v>
      </c>
      <c r="N61" s="9">
        <f t="shared" si="4"/>
        <v>0.8</v>
      </c>
      <c r="O61" s="8">
        <f t="shared" si="0"/>
        <v>71980</v>
      </c>
      <c r="P61" s="6" t="str">
        <f t="shared" si="5"/>
        <v>PERCENTAGE</v>
      </c>
    </row>
    <row r="62" spans="1:16" x14ac:dyDescent="0.25">
      <c r="A62" s="15" t="str">
        <f t="shared" si="1"/>
        <v>BAMUS 2025 D80</v>
      </c>
      <c r="B62" s="7">
        <f t="shared" si="6"/>
        <v>46114</v>
      </c>
      <c r="C62" s="7">
        <f t="shared" si="7"/>
        <v>46120</v>
      </c>
      <c r="D62" s="6">
        <v>3280</v>
      </c>
      <c r="E62" s="6">
        <v>337</v>
      </c>
      <c r="F62" s="6">
        <v>4</v>
      </c>
      <c r="G62" s="15">
        <v>3</v>
      </c>
      <c r="H62" s="15">
        <v>81698</v>
      </c>
      <c r="I62" s="15" t="s">
        <v>1505</v>
      </c>
      <c r="J62" s="15">
        <v>50363212</v>
      </c>
      <c r="K62" s="15" t="s">
        <v>4243</v>
      </c>
      <c r="L62" s="15" t="s">
        <v>4244</v>
      </c>
      <c r="M62" s="15">
        <v>349900</v>
      </c>
      <c r="N62" s="9">
        <f t="shared" si="4"/>
        <v>0.8</v>
      </c>
      <c r="O62" s="8">
        <f t="shared" si="0"/>
        <v>69980</v>
      </c>
      <c r="P62" s="6" t="str">
        <f t="shared" si="5"/>
        <v>PERCENTAGE</v>
      </c>
    </row>
    <row r="63" spans="1:16" x14ac:dyDescent="0.25">
      <c r="A63" s="15" t="str">
        <f t="shared" si="1"/>
        <v>BAMUS 2025 D80</v>
      </c>
      <c r="B63" s="7">
        <f t="shared" si="6"/>
        <v>46114</v>
      </c>
      <c r="C63" s="7">
        <f t="shared" si="7"/>
        <v>46120</v>
      </c>
      <c r="D63" s="6">
        <v>3280</v>
      </c>
      <c r="E63" s="6">
        <v>337</v>
      </c>
      <c r="F63" s="6">
        <v>4</v>
      </c>
      <c r="G63" s="15">
        <v>3</v>
      </c>
      <c r="H63" s="15">
        <v>81698</v>
      </c>
      <c r="I63" s="15" t="s">
        <v>1505</v>
      </c>
      <c r="J63" s="15">
        <v>50363221</v>
      </c>
      <c r="K63" s="15" t="s">
        <v>4243</v>
      </c>
      <c r="L63" s="15" t="s">
        <v>4245</v>
      </c>
      <c r="M63" s="15">
        <v>349900</v>
      </c>
      <c r="N63" s="9">
        <f t="shared" si="4"/>
        <v>0.8</v>
      </c>
      <c r="O63" s="8">
        <f t="shared" si="0"/>
        <v>69980</v>
      </c>
      <c r="P63" s="6" t="str">
        <f t="shared" si="5"/>
        <v>PERCENTAGE</v>
      </c>
    </row>
    <row r="64" spans="1:16" x14ac:dyDescent="0.25">
      <c r="A64" s="15" t="str">
        <f t="shared" si="1"/>
        <v>BAMUS 2025 D80</v>
      </c>
      <c r="B64" s="7">
        <f t="shared" si="6"/>
        <v>46114</v>
      </c>
      <c r="C64" s="7">
        <f t="shared" si="7"/>
        <v>46120</v>
      </c>
      <c r="D64" s="6">
        <v>3280</v>
      </c>
      <c r="E64" s="6">
        <v>337</v>
      </c>
      <c r="F64" s="6">
        <v>4</v>
      </c>
      <c r="G64" s="15">
        <v>3</v>
      </c>
      <c r="H64" s="15">
        <v>81698</v>
      </c>
      <c r="I64" s="15" t="s">
        <v>1505</v>
      </c>
      <c r="J64" s="15">
        <v>50363230</v>
      </c>
      <c r="K64" s="15" t="s">
        <v>4243</v>
      </c>
      <c r="L64" s="15" t="s">
        <v>4246</v>
      </c>
      <c r="M64" s="15">
        <v>349900</v>
      </c>
      <c r="N64" s="9">
        <f t="shared" si="4"/>
        <v>0.8</v>
      </c>
      <c r="O64" s="8">
        <f t="shared" si="0"/>
        <v>69980</v>
      </c>
      <c r="P64" s="6" t="str">
        <f t="shared" si="5"/>
        <v>PERCENTAGE</v>
      </c>
    </row>
    <row r="65" spans="1:16" x14ac:dyDescent="0.25">
      <c r="A65" s="15" t="str">
        <f t="shared" si="1"/>
        <v>BAMUS 2025 D80</v>
      </c>
      <c r="B65" s="7">
        <f t="shared" si="6"/>
        <v>46114</v>
      </c>
      <c r="C65" s="7">
        <f t="shared" si="7"/>
        <v>46120</v>
      </c>
      <c r="D65" s="6">
        <v>3280</v>
      </c>
      <c r="E65" s="6">
        <v>337</v>
      </c>
      <c r="F65" s="6">
        <v>4</v>
      </c>
      <c r="G65" s="15">
        <v>3</v>
      </c>
      <c r="H65" s="15">
        <v>81698</v>
      </c>
      <c r="I65" s="15" t="s">
        <v>1505</v>
      </c>
      <c r="J65" s="15">
        <v>50363249</v>
      </c>
      <c r="K65" s="15" t="s">
        <v>4243</v>
      </c>
      <c r="L65" s="15" t="s">
        <v>4247</v>
      </c>
      <c r="M65" s="15">
        <v>359900</v>
      </c>
      <c r="N65" s="9">
        <f t="shared" si="4"/>
        <v>0.8</v>
      </c>
      <c r="O65" s="8">
        <f t="shared" si="0"/>
        <v>71980</v>
      </c>
      <c r="P65" s="6" t="str">
        <f t="shared" si="5"/>
        <v>PERCENTAGE</v>
      </c>
    </row>
    <row r="66" spans="1:16" x14ac:dyDescent="0.25">
      <c r="A66" s="15" t="str">
        <f t="shared" si="1"/>
        <v>BAMUS 2025 D80</v>
      </c>
      <c r="B66" s="7">
        <f t="shared" si="6"/>
        <v>46114</v>
      </c>
      <c r="C66" s="7">
        <f t="shared" si="7"/>
        <v>46120</v>
      </c>
      <c r="D66" s="6">
        <v>3280</v>
      </c>
      <c r="E66" s="6">
        <v>337</v>
      </c>
      <c r="F66" s="6">
        <v>4</v>
      </c>
      <c r="G66" s="15">
        <v>3</v>
      </c>
      <c r="H66" s="15">
        <v>81698</v>
      </c>
      <c r="I66" s="15" t="s">
        <v>1505</v>
      </c>
      <c r="J66" s="15">
        <v>50363258</v>
      </c>
      <c r="K66" s="15" t="s">
        <v>4243</v>
      </c>
      <c r="L66" s="15" t="s">
        <v>4248</v>
      </c>
      <c r="M66" s="15">
        <v>359900</v>
      </c>
      <c r="N66" s="9">
        <f t="shared" si="4"/>
        <v>0.8</v>
      </c>
      <c r="O66" s="8">
        <f t="shared" si="0"/>
        <v>71980</v>
      </c>
      <c r="P66" s="6" t="str">
        <f t="shared" si="5"/>
        <v>PERCENTAGE</v>
      </c>
    </row>
    <row r="67" spans="1:16" x14ac:dyDescent="0.25">
      <c r="A67" s="15" t="str">
        <f t="shared" si="1"/>
        <v>BAMUS 2025 D80</v>
      </c>
      <c r="B67" s="7">
        <f t="shared" ref="B67:B98" si="8">B66</f>
        <v>46114</v>
      </c>
      <c r="C67" s="7">
        <f t="shared" ref="C67:C98" si="9">C66</f>
        <v>46120</v>
      </c>
      <c r="D67" s="6">
        <v>3280</v>
      </c>
      <c r="E67" s="6">
        <v>337</v>
      </c>
      <c r="F67" s="6">
        <v>4</v>
      </c>
      <c r="G67" s="15">
        <v>3</v>
      </c>
      <c r="H67" s="15">
        <v>81698</v>
      </c>
      <c r="I67" s="15" t="s">
        <v>1505</v>
      </c>
      <c r="J67" s="15">
        <v>50363267</v>
      </c>
      <c r="K67" s="15" t="s">
        <v>4243</v>
      </c>
      <c r="L67" s="15" t="s">
        <v>4249</v>
      </c>
      <c r="M67" s="15">
        <v>359900</v>
      </c>
      <c r="N67" s="9">
        <f t="shared" si="4"/>
        <v>0.8</v>
      </c>
      <c r="O67" s="8">
        <f t="shared" ref="O67:O130" si="10">M67-((80*M67)/100)</f>
        <v>71980</v>
      </c>
      <c r="P67" s="6" t="str">
        <f t="shared" si="5"/>
        <v>PERCENTAGE</v>
      </c>
    </row>
    <row r="68" spans="1:16" x14ac:dyDescent="0.25">
      <c r="A68" s="15" t="str">
        <f t="shared" ref="A68:A131" si="11">A67</f>
        <v>BAMUS 2025 D80</v>
      </c>
      <c r="B68" s="7">
        <f t="shared" si="8"/>
        <v>46114</v>
      </c>
      <c r="C68" s="7">
        <f t="shared" si="9"/>
        <v>46120</v>
      </c>
      <c r="D68" s="6">
        <v>3280</v>
      </c>
      <c r="E68" s="6">
        <v>337</v>
      </c>
      <c r="F68" s="6">
        <v>4</v>
      </c>
      <c r="G68" s="15">
        <v>3</v>
      </c>
      <c r="H68" s="15">
        <v>81005</v>
      </c>
      <c r="I68" s="15" t="s">
        <v>1505</v>
      </c>
      <c r="J68" s="15">
        <v>51144493</v>
      </c>
      <c r="K68" s="15" t="s">
        <v>4335</v>
      </c>
      <c r="L68" s="15" t="s">
        <v>4336</v>
      </c>
      <c r="M68" s="15">
        <v>289900</v>
      </c>
      <c r="N68" s="9">
        <f t="shared" ref="N68:N131" si="12">N67</f>
        <v>0.8</v>
      </c>
      <c r="O68" s="8">
        <f t="shared" si="10"/>
        <v>57980</v>
      </c>
      <c r="P68" s="6" t="str">
        <f t="shared" ref="P68:P131" si="13">P67</f>
        <v>PERCENTAGE</v>
      </c>
    </row>
    <row r="69" spans="1:16" x14ac:dyDescent="0.25">
      <c r="A69" s="15" t="str">
        <f t="shared" si="11"/>
        <v>BAMUS 2025 D80</v>
      </c>
      <c r="B69" s="7">
        <f t="shared" si="8"/>
        <v>46114</v>
      </c>
      <c r="C69" s="7">
        <f t="shared" si="9"/>
        <v>46120</v>
      </c>
      <c r="D69" s="6">
        <v>3280</v>
      </c>
      <c r="E69" s="6">
        <v>337</v>
      </c>
      <c r="F69" s="6">
        <v>4</v>
      </c>
      <c r="G69" s="15">
        <v>3</v>
      </c>
      <c r="H69" s="15">
        <v>81005</v>
      </c>
      <c r="I69" s="15" t="s">
        <v>1505</v>
      </c>
      <c r="J69" s="15">
        <v>51144500</v>
      </c>
      <c r="K69" s="15" t="s">
        <v>4335</v>
      </c>
      <c r="L69" s="15" t="s">
        <v>4337</v>
      </c>
      <c r="M69" s="15">
        <v>289900</v>
      </c>
      <c r="N69" s="9">
        <f t="shared" si="12"/>
        <v>0.8</v>
      </c>
      <c r="O69" s="8">
        <f t="shared" si="10"/>
        <v>57980</v>
      </c>
      <c r="P69" s="6" t="str">
        <f t="shared" si="13"/>
        <v>PERCENTAGE</v>
      </c>
    </row>
    <row r="70" spans="1:16" x14ac:dyDescent="0.25">
      <c r="A70" s="15" t="str">
        <f t="shared" si="11"/>
        <v>BAMUS 2025 D80</v>
      </c>
      <c r="B70" s="7">
        <f t="shared" si="8"/>
        <v>46114</v>
      </c>
      <c r="C70" s="7">
        <f t="shared" si="9"/>
        <v>46120</v>
      </c>
      <c r="D70" s="6">
        <v>3280</v>
      </c>
      <c r="E70" s="6">
        <v>337</v>
      </c>
      <c r="F70" s="6">
        <v>4</v>
      </c>
      <c r="G70" s="15">
        <v>3</v>
      </c>
      <c r="H70" s="15">
        <v>81005</v>
      </c>
      <c r="I70" s="15" t="s">
        <v>1505</v>
      </c>
      <c r="J70" s="15">
        <v>51144519</v>
      </c>
      <c r="K70" s="15" t="s">
        <v>4335</v>
      </c>
      <c r="L70" s="15" t="s">
        <v>4338</v>
      </c>
      <c r="M70" s="15">
        <v>289900</v>
      </c>
      <c r="N70" s="9">
        <f t="shared" si="12"/>
        <v>0.8</v>
      </c>
      <c r="O70" s="8">
        <f t="shared" si="10"/>
        <v>57980</v>
      </c>
      <c r="P70" s="6" t="str">
        <f t="shared" si="13"/>
        <v>PERCENTAGE</v>
      </c>
    </row>
    <row r="71" spans="1:16" x14ac:dyDescent="0.25">
      <c r="A71" s="15" t="str">
        <f t="shared" si="11"/>
        <v>BAMUS 2025 D80</v>
      </c>
      <c r="B71" s="7">
        <f t="shared" si="8"/>
        <v>46114</v>
      </c>
      <c r="C71" s="7">
        <f t="shared" si="9"/>
        <v>46120</v>
      </c>
      <c r="D71" s="6">
        <v>3280</v>
      </c>
      <c r="E71" s="6">
        <v>337</v>
      </c>
      <c r="F71" s="6">
        <v>4</v>
      </c>
      <c r="G71" s="15">
        <v>3</v>
      </c>
      <c r="H71" s="15">
        <v>81005</v>
      </c>
      <c r="I71" s="15" t="s">
        <v>1505</v>
      </c>
      <c r="J71" s="15">
        <v>51144528</v>
      </c>
      <c r="K71" s="15" t="s">
        <v>4335</v>
      </c>
      <c r="L71" s="15" t="s">
        <v>4339</v>
      </c>
      <c r="M71" s="15">
        <v>299900</v>
      </c>
      <c r="N71" s="9">
        <f t="shared" si="12"/>
        <v>0.8</v>
      </c>
      <c r="O71" s="8">
        <f t="shared" si="10"/>
        <v>59980</v>
      </c>
      <c r="P71" s="6" t="str">
        <f t="shared" si="13"/>
        <v>PERCENTAGE</v>
      </c>
    </row>
    <row r="72" spans="1:16" x14ac:dyDescent="0.25">
      <c r="A72" s="15" t="str">
        <f t="shared" si="11"/>
        <v>BAMUS 2025 D80</v>
      </c>
      <c r="B72" s="7">
        <f t="shared" si="8"/>
        <v>46114</v>
      </c>
      <c r="C72" s="7">
        <f t="shared" si="9"/>
        <v>46120</v>
      </c>
      <c r="D72" s="6">
        <v>3280</v>
      </c>
      <c r="E72" s="6">
        <v>337</v>
      </c>
      <c r="F72" s="6">
        <v>4</v>
      </c>
      <c r="G72" s="15">
        <v>3</v>
      </c>
      <c r="H72" s="15">
        <v>81005</v>
      </c>
      <c r="I72" s="15" t="s">
        <v>1505</v>
      </c>
      <c r="J72" s="15">
        <v>51144537</v>
      </c>
      <c r="K72" s="15" t="s">
        <v>4335</v>
      </c>
      <c r="L72" s="15" t="s">
        <v>4340</v>
      </c>
      <c r="M72" s="15">
        <v>299900</v>
      </c>
      <c r="N72" s="9">
        <f t="shared" si="12"/>
        <v>0.8</v>
      </c>
      <c r="O72" s="8">
        <f t="shared" si="10"/>
        <v>59980</v>
      </c>
      <c r="P72" s="6" t="str">
        <f t="shared" si="13"/>
        <v>PERCENTAGE</v>
      </c>
    </row>
    <row r="73" spans="1:16" x14ac:dyDescent="0.25">
      <c r="A73" s="15" t="str">
        <f t="shared" si="11"/>
        <v>BAMUS 2025 D80</v>
      </c>
      <c r="B73" s="7">
        <f t="shared" si="8"/>
        <v>46114</v>
      </c>
      <c r="C73" s="7">
        <f t="shared" si="9"/>
        <v>46120</v>
      </c>
      <c r="D73" s="6">
        <v>3280</v>
      </c>
      <c r="E73" s="6">
        <v>337</v>
      </c>
      <c r="F73" s="6">
        <v>4</v>
      </c>
      <c r="G73" s="15">
        <v>3</v>
      </c>
      <c r="H73" s="15">
        <v>81005</v>
      </c>
      <c r="I73" s="15" t="s">
        <v>1505</v>
      </c>
      <c r="J73" s="15">
        <v>51144546</v>
      </c>
      <c r="K73" s="15" t="s">
        <v>4335</v>
      </c>
      <c r="L73" s="15" t="s">
        <v>4341</v>
      </c>
      <c r="M73" s="15">
        <v>299900</v>
      </c>
      <c r="N73" s="9">
        <f t="shared" si="12"/>
        <v>0.8</v>
      </c>
      <c r="O73" s="8">
        <f t="shared" si="10"/>
        <v>59980</v>
      </c>
      <c r="P73" s="6" t="str">
        <f t="shared" si="13"/>
        <v>PERCENTAGE</v>
      </c>
    </row>
    <row r="74" spans="1:16" x14ac:dyDescent="0.25">
      <c r="A74" s="15" t="str">
        <f t="shared" si="11"/>
        <v>BAMUS 2025 D80</v>
      </c>
      <c r="B74" s="7">
        <f t="shared" si="8"/>
        <v>46114</v>
      </c>
      <c r="C74" s="7">
        <f t="shared" si="9"/>
        <v>46120</v>
      </c>
      <c r="D74" s="6">
        <v>3280</v>
      </c>
      <c r="E74" s="6">
        <v>337</v>
      </c>
      <c r="F74" s="6">
        <v>4</v>
      </c>
      <c r="G74" s="15">
        <v>3</v>
      </c>
      <c r="H74" s="15">
        <v>81490</v>
      </c>
      <c r="I74" s="15" t="s">
        <v>1505</v>
      </c>
      <c r="J74" s="15">
        <v>51144555</v>
      </c>
      <c r="K74" s="15" t="s">
        <v>4345</v>
      </c>
      <c r="L74" s="15" t="s">
        <v>4371</v>
      </c>
      <c r="M74" s="15">
        <v>349900</v>
      </c>
      <c r="N74" s="9">
        <f t="shared" si="12"/>
        <v>0.8</v>
      </c>
      <c r="O74" s="8">
        <f t="shared" si="10"/>
        <v>69980</v>
      </c>
      <c r="P74" s="6" t="str">
        <f t="shared" si="13"/>
        <v>PERCENTAGE</v>
      </c>
    </row>
    <row r="75" spans="1:16" x14ac:dyDescent="0.25">
      <c r="A75" s="15" t="str">
        <f t="shared" si="11"/>
        <v>BAMUS 2025 D80</v>
      </c>
      <c r="B75" s="7">
        <f t="shared" si="8"/>
        <v>46114</v>
      </c>
      <c r="C75" s="7">
        <f t="shared" si="9"/>
        <v>46120</v>
      </c>
      <c r="D75" s="6">
        <v>3280</v>
      </c>
      <c r="E75" s="6">
        <v>337</v>
      </c>
      <c r="F75" s="6">
        <v>4</v>
      </c>
      <c r="G75" s="15">
        <v>3</v>
      </c>
      <c r="H75" s="15">
        <v>81490</v>
      </c>
      <c r="I75" s="15" t="s">
        <v>1505</v>
      </c>
      <c r="J75" s="15">
        <v>51144564</v>
      </c>
      <c r="K75" s="15" t="s">
        <v>4345</v>
      </c>
      <c r="L75" s="15" t="s">
        <v>4372</v>
      </c>
      <c r="M75" s="15">
        <v>349900</v>
      </c>
      <c r="N75" s="9">
        <f t="shared" si="12"/>
        <v>0.8</v>
      </c>
      <c r="O75" s="8">
        <f t="shared" si="10"/>
        <v>69980</v>
      </c>
      <c r="P75" s="6" t="str">
        <f t="shared" si="13"/>
        <v>PERCENTAGE</v>
      </c>
    </row>
    <row r="76" spans="1:16" x14ac:dyDescent="0.25">
      <c r="A76" s="15" t="str">
        <f t="shared" si="11"/>
        <v>BAMUS 2025 D80</v>
      </c>
      <c r="B76" s="7">
        <f t="shared" si="8"/>
        <v>46114</v>
      </c>
      <c r="C76" s="7">
        <f t="shared" si="9"/>
        <v>46120</v>
      </c>
      <c r="D76" s="6">
        <v>3280</v>
      </c>
      <c r="E76" s="6">
        <v>337</v>
      </c>
      <c r="F76" s="6">
        <v>4</v>
      </c>
      <c r="G76" s="15">
        <v>3</v>
      </c>
      <c r="H76" s="15">
        <v>81490</v>
      </c>
      <c r="I76" s="15" t="s">
        <v>1505</v>
      </c>
      <c r="J76" s="15">
        <v>51144573</v>
      </c>
      <c r="K76" s="15" t="s">
        <v>4345</v>
      </c>
      <c r="L76" s="15" t="s">
        <v>4373</v>
      </c>
      <c r="M76" s="15">
        <v>349900</v>
      </c>
      <c r="N76" s="9">
        <f t="shared" si="12"/>
        <v>0.8</v>
      </c>
      <c r="O76" s="8">
        <f t="shared" si="10"/>
        <v>69980</v>
      </c>
      <c r="P76" s="6" t="str">
        <f t="shared" si="13"/>
        <v>PERCENTAGE</v>
      </c>
    </row>
    <row r="77" spans="1:16" x14ac:dyDescent="0.25">
      <c r="A77" s="15" t="str">
        <f t="shared" si="11"/>
        <v>BAMUS 2025 D80</v>
      </c>
      <c r="B77" s="7">
        <f t="shared" si="8"/>
        <v>46114</v>
      </c>
      <c r="C77" s="7">
        <f t="shared" si="9"/>
        <v>46120</v>
      </c>
      <c r="D77" s="6">
        <v>3280</v>
      </c>
      <c r="E77" s="6">
        <v>337</v>
      </c>
      <c r="F77" s="6">
        <v>4</v>
      </c>
      <c r="G77" s="15">
        <v>3</v>
      </c>
      <c r="H77" s="15">
        <v>81490</v>
      </c>
      <c r="I77" s="15" t="s">
        <v>1505</v>
      </c>
      <c r="J77" s="15">
        <v>51144582</v>
      </c>
      <c r="K77" s="15" t="s">
        <v>4345</v>
      </c>
      <c r="L77" s="15" t="s">
        <v>4374</v>
      </c>
      <c r="M77" s="15">
        <v>359900</v>
      </c>
      <c r="N77" s="9">
        <f t="shared" si="12"/>
        <v>0.8</v>
      </c>
      <c r="O77" s="8">
        <f t="shared" si="10"/>
        <v>71980</v>
      </c>
      <c r="P77" s="6" t="str">
        <f t="shared" si="13"/>
        <v>PERCENTAGE</v>
      </c>
    </row>
    <row r="78" spans="1:16" x14ac:dyDescent="0.25">
      <c r="A78" s="15" t="str">
        <f t="shared" si="11"/>
        <v>BAMUS 2025 D80</v>
      </c>
      <c r="B78" s="7">
        <f t="shared" si="8"/>
        <v>46114</v>
      </c>
      <c r="C78" s="7">
        <f t="shared" si="9"/>
        <v>46120</v>
      </c>
      <c r="D78" s="6">
        <v>3280</v>
      </c>
      <c r="E78" s="6">
        <v>337</v>
      </c>
      <c r="F78" s="6">
        <v>4</v>
      </c>
      <c r="G78" s="15">
        <v>3</v>
      </c>
      <c r="H78" s="15">
        <v>81490</v>
      </c>
      <c r="I78" s="15" t="s">
        <v>1505</v>
      </c>
      <c r="J78" s="15">
        <v>51144591</v>
      </c>
      <c r="K78" s="15" t="s">
        <v>4345</v>
      </c>
      <c r="L78" s="15" t="s">
        <v>4375</v>
      </c>
      <c r="M78" s="15">
        <v>359900</v>
      </c>
      <c r="N78" s="9">
        <f t="shared" si="12"/>
        <v>0.8</v>
      </c>
      <c r="O78" s="8">
        <f t="shared" si="10"/>
        <v>71980</v>
      </c>
      <c r="P78" s="6" t="str">
        <f t="shared" si="13"/>
        <v>PERCENTAGE</v>
      </c>
    </row>
    <row r="79" spans="1:16" x14ac:dyDescent="0.25">
      <c r="A79" s="15" t="str">
        <f t="shared" si="11"/>
        <v>BAMUS 2025 D80</v>
      </c>
      <c r="B79" s="7">
        <f t="shared" si="8"/>
        <v>46114</v>
      </c>
      <c r="C79" s="7">
        <f t="shared" si="9"/>
        <v>46120</v>
      </c>
      <c r="D79" s="6">
        <v>3280</v>
      </c>
      <c r="E79" s="6">
        <v>337</v>
      </c>
      <c r="F79" s="6">
        <v>4</v>
      </c>
      <c r="G79" s="15">
        <v>3</v>
      </c>
      <c r="H79" s="15">
        <v>81490</v>
      </c>
      <c r="I79" s="15" t="s">
        <v>1505</v>
      </c>
      <c r="J79" s="15">
        <v>51144608</v>
      </c>
      <c r="K79" s="15" t="s">
        <v>4345</v>
      </c>
      <c r="L79" s="15" t="s">
        <v>4376</v>
      </c>
      <c r="M79" s="15">
        <v>359900</v>
      </c>
      <c r="N79" s="9">
        <f t="shared" si="12"/>
        <v>0.8</v>
      </c>
      <c r="O79" s="8">
        <f t="shared" si="10"/>
        <v>71980</v>
      </c>
      <c r="P79" s="6" t="str">
        <f t="shared" si="13"/>
        <v>PERCENTAGE</v>
      </c>
    </row>
    <row r="80" spans="1:16" x14ac:dyDescent="0.25">
      <c r="A80" s="15" t="str">
        <f t="shared" si="11"/>
        <v>BAMUS 2025 D80</v>
      </c>
      <c r="B80" s="7">
        <f t="shared" si="8"/>
        <v>46114</v>
      </c>
      <c r="C80" s="7">
        <f t="shared" si="9"/>
        <v>46120</v>
      </c>
      <c r="D80" s="6">
        <v>3280</v>
      </c>
      <c r="E80" s="6">
        <v>337</v>
      </c>
      <c r="F80" s="6">
        <v>4</v>
      </c>
      <c r="G80" s="15">
        <v>3</v>
      </c>
      <c r="H80" s="15">
        <v>81490</v>
      </c>
      <c r="I80" s="15" t="s">
        <v>1505</v>
      </c>
      <c r="J80" s="15">
        <v>51144617</v>
      </c>
      <c r="K80" s="15" t="s">
        <v>4346</v>
      </c>
      <c r="L80" s="15" t="s">
        <v>4377</v>
      </c>
      <c r="M80" s="15">
        <v>349900</v>
      </c>
      <c r="N80" s="9">
        <f t="shared" si="12"/>
        <v>0.8</v>
      </c>
      <c r="O80" s="8">
        <f t="shared" si="10"/>
        <v>69980</v>
      </c>
      <c r="P80" s="6" t="str">
        <f t="shared" si="13"/>
        <v>PERCENTAGE</v>
      </c>
    </row>
    <row r="81" spans="1:16" x14ac:dyDescent="0.25">
      <c r="A81" s="15" t="str">
        <f t="shared" si="11"/>
        <v>BAMUS 2025 D80</v>
      </c>
      <c r="B81" s="7">
        <f t="shared" si="8"/>
        <v>46114</v>
      </c>
      <c r="C81" s="7">
        <f t="shared" si="9"/>
        <v>46120</v>
      </c>
      <c r="D81" s="6">
        <v>3280</v>
      </c>
      <c r="E81" s="6">
        <v>337</v>
      </c>
      <c r="F81" s="6">
        <v>4</v>
      </c>
      <c r="G81" s="15">
        <v>3</v>
      </c>
      <c r="H81" s="15">
        <v>81490</v>
      </c>
      <c r="I81" s="15" t="s">
        <v>1505</v>
      </c>
      <c r="J81" s="15">
        <v>51144626</v>
      </c>
      <c r="K81" s="15" t="s">
        <v>4346</v>
      </c>
      <c r="L81" s="15" t="s">
        <v>4378</v>
      </c>
      <c r="M81" s="15">
        <v>349900</v>
      </c>
      <c r="N81" s="9">
        <f t="shared" si="12"/>
        <v>0.8</v>
      </c>
      <c r="O81" s="8">
        <f t="shared" si="10"/>
        <v>69980</v>
      </c>
      <c r="P81" s="6" t="str">
        <f t="shared" si="13"/>
        <v>PERCENTAGE</v>
      </c>
    </row>
    <row r="82" spans="1:16" x14ac:dyDescent="0.25">
      <c r="A82" s="15" t="str">
        <f t="shared" si="11"/>
        <v>BAMUS 2025 D80</v>
      </c>
      <c r="B82" s="7">
        <f t="shared" si="8"/>
        <v>46114</v>
      </c>
      <c r="C82" s="7">
        <f t="shared" si="9"/>
        <v>46120</v>
      </c>
      <c r="D82" s="6">
        <v>3280</v>
      </c>
      <c r="E82" s="6">
        <v>337</v>
      </c>
      <c r="F82" s="6">
        <v>4</v>
      </c>
      <c r="G82" s="15">
        <v>3</v>
      </c>
      <c r="H82" s="15">
        <v>81490</v>
      </c>
      <c r="I82" s="15" t="s">
        <v>1505</v>
      </c>
      <c r="J82" s="15">
        <v>51144635</v>
      </c>
      <c r="K82" s="15" t="s">
        <v>4346</v>
      </c>
      <c r="L82" s="15" t="s">
        <v>4379</v>
      </c>
      <c r="M82" s="15">
        <v>349900</v>
      </c>
      <c r="N82" s="9">
        <f t="shared" si="12"/>
        <v>0.8</v>
      </c>
      <c r="O82" s="8">
        <f t="shared" si="10"/>
        <v>69980</v>
      </c>
      <c r="P82" s="6" t="str">
        <f t="shared" si="13"/>
        <v>PERCENTAGE</v>
      </c>
    </row>
    <row r="83" spans="1:16" x14ac:dyDescent="0.25">
      <c r="A83" s="15" t="str">
        <f t="shared" si="11"/>
        <v>BAMUS 2025 D80</v>
      </c>
      <c r="B83" s="7">
        <f t="shared" si="8"/>
        <v>46114</v>
      </c>
      <c r="C83" s="7">
        <f t="shared" si="9"/>
        <v>46120</v>
      </c>
      <c r="D83" s="6">
        <v>3280</v>
      </c>
      <c r="E83" s="6">
        <v>337</v>
      </c>
      <c r="F83" s="6">
        <v>4</v>
      </c>
      <c r="G83" s="15">
        <v>3</v>
      </c>
      <c r="H83" s="15">
        <v>81490</v>
      </c>
      <c r="I83" s="15" t="s">
        <v>1505</v>
      </c>
      <c r="J83" s="15">
        <v>51144644</v>
      </c>
      <c r="K83" s="15" t="s">
        <v>4346</v>
      </c>
      <c r="L83" s="15" t="s">
        <v>4380</v>
      </c>
      <c r="M83" s="15">
        <v>359900</v>
      </c>
      <c r="N83" s="9">
        <f t="shared" si="12"/>
        <v>0.8</v>
      </c>
      <c r="O83" s="8">
        <f t="shared" si="10"/>
        <v>71980</v>
      </c>
      <c r="P83" s="6" t="str">
        <f t="shared" si="13"/>
        <v>PERCENTAGE</v>
      </c>
    </row>
    <row r="84" spans="1:16" x14ac:dyDescent="0.25">
      <c r="A84" s="15" t="str">
        <f t="shared" si="11"/>
        <v>BAMUS 2025 D80</v>
      </c>
      <c r="B84" s="7">
        <f t="shared" si="8"/>
        <v>46114</v>
      </c>
      <c r="C84" s="7">
        <f t="shared" si="9"/>
        <v>46120</v>
      </c>
      <c r="D84" s="6">
        <v>3280</v>
      </c>
      <c r="E84" s="6">
        <v>337</v>
      </c>
      <c r="F84" s="6">
        <v>4</v>
      </c>
      <c r="G84" s="15">
        <v>3</v>
      </c>
      <c r="H84" s="15">
        <v>81490</v>
      </c>
      <c r="I84" s="15" t="s">
        <v>1505</v>
      </c>
      <c r="J84" s="15">
        <v>51144653</v>
      </c>
      <c r="K84" s="15" t="s">
        <v>4346</v>
      </c>
      <c r="L84" s="15" t="s">
        <v>4381</v>
      </c>
      <c r="M84" s="15">
        <v>359900</v>
      </c>
      <c r="N84" s="9">
        <f t="shared" si="12"/>
        <v>0.8</v>
      </c>
      <c r="O84" s="8">
        <f t="shared" si="10"/>
        <v>71980</v>
      </c>
      <c r="P84" s="6" t="str">
        <f t="shared" si="13"/>
        <v>PERCENTAGE</v>
      </c>
    </row>
    <row r="85" spans="1:16" x14ac:dyDescent="0.25">
      <c r="A85" s="15" t="str">
        <f t="shared" si="11"/>
        <v>BAMUS 2025 D80</v>
      </c>
      <c r="B85" s="7">
        <f t="shared" si="8"/>
        <v>46114</v>
      </c>
      <c r="C85" s="7">
        <f t="shared" si="9"/>
        <v>46120</v>
      </c>
      <c r="D85" s="6">
        <v>3280</v>
      </c>
      <c r="E85" s="6">
        <v>337</v>
      </c>
      <c r="F85" s="6">
        <v>4</v>
      </c>
      <c r="G85" s="15">
        <v>3</v>
      </c>
      <c r="H85" s="15">
        <v>81490</v>
      </c>
      <c r="I85" s="15" t="s">
        <v>1505</v>
      </c>
      <c r="J85" s="15">
        <v>51144662</v>
      </c>
      <c r="K85" s="15" t="s">
        <v>4346</v>
      </c>
      <c r="L85" s="15" t="s">
        <v>4382</v>
      </c>
      <c r="M85" s="15">
        <v>359900</v>
      </c>
      <c r="N85" s="9">
        <f t="shared" si="12"/>
        <v>0.8</v>
      </c>
      <c r="O85" s="8">
        <f t="shared" si="10"/>
        <v>71980</v>
      </c>
      <c r="P85" s="6" t="str">
        <f t="shared" si="13"/>
        <v>PERCENTAGE</v>
      </c>
    </row>
    <row r="86" spans="1:16" x14ac:dyDescent="0.25">
      <c r="A86" s="15" t="str">
        <f t="shared" si="11"/>
        <v>BAMUS 2025 D80</v>
      </c>
      <c r="B86" s="7">
        <f t="shared" si="8"/>
        <v>46114</v>
      </c>
      <c r="C86" s="7">
        <f t="shared" si="9"/>
        <v>46120</v>
      </c>
      <c r="D86" s="6">
        <v>3280</v>
      </c>
      <c r="E86" s="6">
        <v>337</v>
      </c>
      <c r="F86" s="6">
        <v>4</v>
      </c>
      <c r="G86" s="15">
        <v>3</v>
      </c>
      <c r="H86" s="15">
        <v>81490</v>
      </c>
      <c r="I86" s="15" t="s">
        <v>1505</v>
      </c>
      <c r="J86" s="15">
        <v>51144671</v>
      </c>
      <c r="K86" s="15" t="s">
        <v>4347</v>
      </c>
      <c r="L86" s="15" t="s">
        <v>4383</v>
      </c>
      <c r="M86" s="15">
        <v>349900</v>
      </c>
      <c r="N86" s="9">
        <f t="shared" si="12"/>
        <v>0.8</v>
      </c>
      <c r="O86" s="8">
        <f t="shared" si="10"/>
        <v>69980</v>
      </c>
      <c r="P86" s="6" t="str">
        <f t="shared" si="13"/>
        <v>PERCENTAGE</v>
      </c>
    </row>
    <row r="87" spans="1:16" x14ac:dyDescent="0.25">
      <c r="A87" s="15" t="str">
        <f t="shared" si="11"/>
        <v>BAMUS 2025 D80</v>
      </c>
      <c r="B87" s="7">
        <f t="shared" si="8"/>
        <v>46114</v>
      </c>
      <c r="C87" s="7">
        <f t="shared" si="9"/>
        <v>46120</v>
      </c>
      <c r="D87" s="6">
        <v>3280</v>
      </c>
      <c r="E87" s="6">
        <v>337</v>
      </c>
      <c r="F87" s="6">
        <v>4</v>
      </c>
      <c r="G87" s="15">
        <v>3</v>
      </c>
      <c r="H87" s="15">
        <v>81490</v>
      </c>
      <c r="I87" s="15" t="s">
        <v>1505</v>
      </c>
      <c r="J87" s="15">
        <v>51144680</v>
      </c>
      <c r="K87" s="15" t="s">
        <v>4347</v>
      </c>
      <c r="L87" s="15" t="s">
        <v>4384</v>
      </c>
      <c r="M87" s="15">
        <v>349900</v>
      </c>
      <c r="N87" s="9">
        <f t="shared" si="12"/>
        <v>0.8</v>
      </c>
      <c r="O87" s="8">
        <f t="shared" si="10"/>
        <v>69980</v>
      </c>
      <c r="P87" s="6" t="str">
        <f t="shared" si="13"/>
        <v>PERCENTAGE</v>
      </c>
    </row>
    <row r="88" spans="1:16" x14ac:dyDescent="0.25">
      <c r="A88" s="15" t="str">
        <f t="shared" si="11"/>
        <v>BAMUS 2025 D80</v>
      </c>
      <c r="B88" s="7">
        <f t="shared" si="8"/>
        <v>46114</v>
      </c>
      <c r="C88" s="7">
        <f t="shared" si="9"/>
        <v>46120</v>
      </c>
      <c r="D88" s="6">
        <v>3280</v>
      </c>
      <c r="E88" s="6">
        <v>337</v>
      </c>
      <c r="F88" s="6">
        <v>4</v>
      </c>
      <c r="G88" s="15">
        <v>3</v>
      </c>
      <c r="H88" s="15">
        <v>81490</v>
      </c>
      <c r="I88" s="15" t="s">
        <v>1505</v>
      </c>
      <c r="J88" s="15">
        <v>51144699</v>
      </c>
      <c r="K88" s="15" t="s">
        <v>4347</v>
      </c>
      <c r="L88" s="15" t="s">
        <v>4385</v>
      </c>
      <c r="M88" s="15">
        <v>349900</v>
      </c>
      <c r="N88" s="9">
        <f t="shared" si="12"/>
        <v>0.8</v>
      </c>
      <c r="O88" s="8">
        <f t="shared" si="10"/>
        <v>69980</v>
      </c>
      <c r="P88" s="6" t="str">
        <f t="shared" si="13"/>
        <v>PERCENTAGE</v>
      </c>
    </row>
    <row r="89" spans="1:16" x14ac:dyDescent="0.25">
      <c r="A89" s="15" t="str">
        <f t="shared" si="11"/>
        <v>BAMUS 2025 D80</v>
      </c>
      <c r="B89" s="7">
        <f t="shared" si="8"/>
        <v>46114</v>
      </c>
      <c r="C89" s="7">
        <f t="shared" si="9"/>
        <v>46120</v>
      </c>
      <c r="D89" s="6">
        <v>3280</v>
      </c>
      <c r="E89" s="6">
        <v>337</v>
      </c>
      <c r="F89" s="6">
        <v>4</v>
      </c>
      <c r="G89" s="15">
        <v>3</v>
      </c>
      <c r="H89" s="15">
        <v>81490</v>
      </c>
      <c r="I89" s="15" t="s">
        <v>1505</v>
      </c>
      <c r="J89" s="15">
        <v>51144706</v>
      </c>
      <c r="K89" s="15" t="s">
        <v>4347</v>
      </c>
      <c r="L89" s="15" t="s">
        <v>4386</v>
      </c>
      <c r="M89" s="15">
        <v>359900</v>
      </c>
      <c r="N89" s="9">
        <f t="shared" si="12"/>
        <v>0.8</v>
      </c>
      <c r="O89" s="8">
        <f t="shared" si="10"/>
        <v>71980</v>
      </c>
      <c r="P89" s="6" t="str">
        <f t="shared" si="13"/>
        <v>PERCENTAGE</v>
      </c>
    </row>
    <row r="90" spans="1:16" x14ac:dyDescent="0.25">
      <c r="A90" s="15" t="str">
        <f t="shared" si="11"/>
        <v>BAMUS 2025 D80</v>
      </c>
      <c r="B90" s="7">
        <f t="shared" si="8"/>
        <v>46114</v>
      </c>
      <c r="C90" s="7">
        <f t="shared" si="9"/>
        <v>46120</v>
      </c>
      <c r="D90" s="6">
        <v>3280</v>
      </c>
      <c r="E90" s="6">
        <v>337</v>
      </c>
      <c r="F90" s="6">
        <v>4</v>
      </c>
      <c r="G90" s="15">
        <v>3</v>
      </c>
      <c r="H90" s="15">
        <v>81490</v>
      </c>
      <c r="I90" s="15" t="s">
        <v>1505</v>
      </c>
      <c r="J90" s="15">
        <v>51144715</v>
      </c>
      <c r="K90" s="15" t="s">
        <v>4347</v>
      </c>
      <c r="L90" s="15" t="s">
        <v>4387</v>
      </c>
      <c r="M90" s="15">
        <v>359900</v>
      </c>
      <c r="N90" s="9">
        <f t="shared" si="12"/>
        <v>0.8</v>
      </c>
      <c r="O90" s="8">
        <f t="shared" si="10"/>
        <v>71980</v>
      </c>
      <c r="P90" s="6" t="str">
        <f t="shared" si="13"/>
        <v>PERCENTAGE</v>
      </c>
    </row>
    <row r="91" spans="1:16" x14ac:dyDescent="0.25">
      <c r="A91" s="15" t="str">
        <f t="shared" si="11"/>
        <v>BAMUS 2025 D80</v>
      </c>
      <c r="B91" s="7">
        <f t="shared" si="8"/>
        <v>46114</v>
      </c>
      <c r="C91" s="7">
        <f t="shared" si="9"/>
        <v>46120</v>
      </c>
      <c r="D91" s="6">
        <v>3280</v>
      </c>
      <c r="E91" s="6">
        <v>337</v>
      </c>
      <c r="F91" s="6">
        <v>4</v>
      </c>
      <c r="G91" s="15">
        <v>3</v>
      </c>
      <c r="H91" s="15">
        <v>81490</v>
      </c>
      <c r="I91" s="15" t="s">
        <v>1505</v>
      </c>
      <c r="J91" s="15">
        <v>51144724</v>
      </c>
      <c r="K91" s="15" t="s">
        <v>4347</v>
      </c>
      <c r="L91" s="15" t="s">
        <v>4388</v>
      </c>
      <c r="M91" s="15">
        <v>359900</v>
      </c>
      <c r="N91" s="9">
        <f t="shared" si="12"/>
        <v>0.8</v>
      </c>
      <c r="O91" s="8">
        <f t="shared" si="10"/>
        <v>71980</v>
      </c>
      <c r="P91" s="6" t="str">
        <f t="shared" si="13"/>
        <v>PERCENTAGE</v>
      </c>
    </row>
    <row r="92" spans="1:16" x14ac:dyDescent="0.25">
      <c r="A92" s="15" t="str">
        <f t="shared" si="11"/>
        <v>BAMUS 2025 D80</v>
      </c>
      <c r="B92" s="7">
        <f t="shared" si="8"/>
        <v>46114</v>
      </c>
      <c r="C92" s="7">
        <f t="shared" si="9"/>
        <v>46120</v>
      </c>
      <c r="D92" s="6">
        <v>3280</v>
      </c>
      <c r="E92" s="6">
        <v>337</v>
      </c>
      <c r="F92" s="6">
        <v>4</v>
      </c>
      <c r="G92" s="15">
        <v>3</v>
      </c>
      <c r="H92" s="15">
        <v>81490</v>
      </c>
      <c r="I92" s="15" t="s">
        <v>1505</v>
      </c>
      <c r="J92" s="15">
        <v>51144733</v>
      </c>
      <c r="K92" s="15" t="s">
        <v>4348</v>
      </c>
      <c r="L92" s="15" t="s">
        <v>4389</v>
      </c>
      <c r="M92" s="15">
        <v>349900</v>
      </c>
      <c r="N92" s="9">
        <f t="shared" si="12"/>
        <v>0.8</v>
      </c>
      <c r="O92" s="8">
        <f t="shared" si="10"/>
        <v>69980</v>
      </c>
      <c r="P92" s="6" t="str">
        <f t="shared" si="13"/>
        <v>PERCENTAGE</v>
      </c>
    </row>
    <row r="93" spans="1:16" x14ac:dyDescent="0.25">
      <c r="A93" s="15" t="str">
        <f t="shared" si="11"/>
        <v>BAMUS 2025 D80</v>
      </c>
      <c r="B93" s="7">
        <f t="shared" si="8"/>
        <v>46114</v>
      </c>
      <c r="C93" s="7">
        <f t="shared" si="9"/>
        <v>46120</v>
      </c>
      <c r="D93" s="6">
        <v>3280</v>
      </c>
      <c r="E93" s="6">
        <v>337</v>
      </c>
      <c r="F93" s="6">
        <v>4</v>
      </c>
      <c r="G93" s="15">
        <v>3</v>
      </c>
      <c r="H93" s="15">
        <v>81490</v>
      </c>
      <c r="I93" s="15" t="s">
        <v>1505</v>
      </c>
      <c r="J93" s="15">
        <v>51144742</v>
      </c>
      <c r="K93" s="15" t="s">
        <v>4348</v>
      </c>
      <c r="L93" s="15" t="s">
        <v>4390</v>
      </c>
      <c r="M93" s="15">
        <v>349900</v>
      </c>
      <c r="N93" s="9">
        <f t="shared" si="12"/>
        <v>0.8</v>
      </c>
      <c r="O93" s="8">
        <f t="shared" si="10"/>
        <v>69980</v>
      </c>
      <c r="P93" s="6" t="str">
        <f t="shared" si="13"/>
        <v>PERCENTAGE</v>
      </c>
    </row>
    <row r="94" spans="1:16" x14ac:dyDescent="0.25">
      <c r="A94" s="15" t="str">
        <f t="shared" si="11"/>
        <v>BAMUS 2025 D80</v>
      </c>
      <c r="B94" s="7">
        <f t="shared" si="8"/>
        <v>46114</v>
      </c>
      <c r="C94" s="7">
        <f t="shared" si="9"/>
        <v>46120</v>
      </c>
      <c r="D94" s="6">
        <v>3280</v>
      </c>
      <c r="E94" s="6">
        <v>337</v>
      </c>
      <c r="F94" s="6">
        <v>4</v>
      </c>
      <c r="G94" s="15">
        <v>3</v>
      </c>
      <c r="H94" s="15">
        <v>81490</v>
      </c>
      <c r="I94" s="15" t="s">
        <v>1505</v>
      </c>
      <c r="J94" s="15">
        <v>51144751</v>
      </c>
      <c r="K94" s="15" t="s">
        <v>4348</v>
      </c>
      <c r="L94" s="15" t="s">
        <v>4391</v>
      </c>
      <c r="M94" s="15">
        <v>349900</v>
      </c>
      <c r="N94" s="9">
        <f t="shared" si="12"/>
        <v>0.8</v>
      </c>
      <c r="O94" s="8">
        <f t="shared" si="10"/>
        <v>69980</v>
      </c>
      <c r="P94" s="6" t="str">
        <f t="shared" si="13"/>
        <v>PERCENTAGE</v>
      </c>
    </row>
    <row r="95" spans="1:16" x14ac:dyDescent="0.25">
      <c r="A95" s="15" t="str">
        <f t="shared" si="11"/>
        <v>BAMUS 2025 D80</v>
      </c>
      <c r="B95" s="7">
        <f t="shared" si="8"/>
        <v>46114</v>
      </c>
      <c r="C95" s="7">
        <f t="shared" si="9"/>
        <v>46120</v>
      </c>
      <c r="D95" s="6">
        <v>3280</v>
      </c>
      <c r="E95" s="6">
        <v>337</v>
      </c>
      <c r="F95" s="6">
        <v>4</v>
      </c>
      <c r="G95" s="15">
        <v>3</v>
      </c>
      <c r="H95" s="15">
        <v>81490</v>
      </c>
      <c r="I95" s="15" t="s">
        <v>1505</v>
      </c>
      <c r="J95" s="15">
        <v>51144760</v>
      </c>
      <c r="K95" s="15" t="s">
        <v>4348</v>
      </c>
      <c r="L95" s="15" t="s">
        <v>4392</v>
      </c>
      <c r="M95" s="15">
        <v>359900</v>
      </c>
      <c r="N95" s="9">
        <f t="shared" si="12"/>
        <v>0.8</v>
      </c>
      <c r="O95" s="8">
        <f t="shared" si="10"/>
        <v>71980</v>
      </c>
      <c r="P95" s="6" t="str">
        <f t="shared" si="13"/>
        <v>PERCENTAGE</v>
      </c>
    </row>
    <row r="96" spans="1:16" x14ac:dyDescent="0.25">
      <c r="A96" s="15" t="str">
        <f t="shared" si="11"/>
        <v>BAMUS 2025 D80</v>
      </c>
      <c r="B96" s="7">
        <f t="shared" si="8"/>
        <v>46114</v>
      </c>
      <c r="C96" s="7">
        <f t="shared" si="9"/>
        <v>46120</v>
      </c>
      <c r="D96" s="6">
        <v>3280</v>
      </c>
      <c r="E96" s="6">
        <v>337</v>
      </c>
      <c r="F96" s="6">
        <v>4</v>
      </c>
      <c r="G96" s="15">
        <v>3</v>
      </c>
      <c r="H96" s="15">
        <v>81490</v>
      </c>
      <c r="I96" s="15" t="s">
        <v>1505</v>
      </c>
      <c r="J96" s="15">
        <v>51144779</v>
      </c>
      <c r="K96" s="15" t="s">
        <v>4348</v>
      </c>
      <c r="L96" s="15" t="s">
        <v>4393</v>
      </c>
      <c r="M96" s="15">
        <v>359900</v>
      </c>
      <c r="N96" s="9">
        <f t="shared" si="12"/>
        <v>0.8</v>
      </c>
      <c r="O96" s="8">
        <f t="shared" si="10"/>
        <v>71980</v>
      </c>
      <c r="P96" s="6" t="str">
        <f t="shared" si="13"/>
        <v>PERCENTAGE</v>
      </c>
    </row>
    <row r="97" spans="1:16" x14ac:dyDescent="0.25">
      <c r="A97" s="15" t="str">
        <f t="shared" si="11"/>
        <v>BAMUS 2025 D80</v>
      </c>
      <c r="B97" s="7">
        <f t="shared" si="8"/>
        <v>46114</v>
      </c>
      <c r="C97" s="7">
        <f t="shared" si="9"/>
        <v>46120</v>
      </c>
      <c r="D97" s="6">
        <v>3280</v>
      </c>
      <c r="E97" s="6">
        <v>337</v>
      </c>
      <c r="F97" s="6">
        <v>4</v>
      </c>
      <c r="G97" s="15">
        <v>3</v>
      </c>
      <c r="H97" s="15">
        <v>81490</v>
      </c>
      <c r="I97" s="15" t="s">
        <v>1505</v>
      </c>
      <c r="J97" s="15">
        <v>51144788</v>
      </c>
      <c r="K97" s="15" t="s">
        <v>4348</v>
      </c>
      <c r="L97" s="15" t="s">
        <v>4394</v>
      </c>
      <c r="M97" s="15">
        <v>359900</v>
      </c>
      <c r="N97" s="9">
        <f t="shared" si="12"/>
        <v>0.8</v>
      </c>
      <c r="O97" s="8">
        <f t="shared" si="10"/>
        <v>71980</v>
      </c>
      <c r="P97" s="6" t="str">
        <f t="shared" si="13"/>
        <v>PERCENTAGE</v>
      </c>
    </row>
    <row r="98" spans="1:16" x14ac:dyDescent="0.25">
      <c r="A98" s="15" t="str">
        <f t="shared" si="11"/>
        <v>BAMUS 2025 D80</v>
      </c>
      <c r="B98" s="7">
        <f t="shared" si="8"/>
        <v>46114</v>
      </c>
      <c r="C98" s="7">
        <f t="shared" si="9"/>
        <v>46120</v>
      </c>
      <c r="D98" s="6">
        <v>3280</v>
      </c>
      <c r="E98" s="6">
        <v>337</v>
      </c>
      <c r="F98" s="6">
        <v>4</v>
      </c>
      <c r="G98" s="15">
        <v>3</v>
      </c>
      <c r="H98" s="15">
        <v>81490</v>
      </c>
      <c r="I98" s="15" t="s">
        <v>1505</v>
      </c>
      <c r="J98" s="15">
        <v>51144797</v>
      </c>
      <c r="K98" s="15" t="s">
        <v>4349</v>
      </c>
      <c r="L98" s="15" t="s">
        <v>4395</v>
      </c>
      <c r="M98" s="15">
        <v>349900</v>
      </c>
      <c r="N98" s="9">
        <f t="shared" si="12"/>
        <v>0.8</v>
      </c>
      <c r="O98" s="8">
        <f t="shared" si="10"/>
        <v>69980</v>
      </c>
      <c r="P98" s="6" t="str">
        <f t="shared" si="13"/>
        <v>PERCENTAGE</v>
      </c>
    </row>
    <row r="99" spans="1:16" x14ac:dyDescent="0.25">
      <c r="A99" s="15" t="str">
        <f t="shared" si="11"/>
        <v>BAMUS 2025 D80</v>
      </c>
      <c r="B99" s="7">
        <f t="shared" ref="B99:B130" si="14">B98</f>
        <v>46114</v>
      </c>
      <c r="C99" s="7">
        <f t="shared" ref="C99:C130" si="15">C98</f>
        <v>46120</v>
      </c>
      <c r="D99" s="6">
        <v>3280</v>
      </c>
      <c r="E99" s="6">
        <v>337</v>
      </c>
      <c r="F99" s="6">
        <v>4</v>
      </c>
      <c r="G99" s="15">
        <v>3</v>
      </c>
      <c r="H99" s="15">
        <v>81490</v>
      </c>
      <c r="I99" s="15" t="s">
        <v>1505</v>
      </c>
      <c r="J99" s="15">
        <v>51144804</v>
      </c>
      <c r="K99" s="15" t="s">
        <v>4349</v>
      </c>
      <c r="L99" s="15" t="s">
        <v>4396</v>
      </c>
      <c r="M99" s="15">
        <v>349900</v>
      </c>
      <c r="N99" s="9">
        <f t="shared" si="12"/>
        <v>0.8</v>
      </c>
      <c r="O99" s="8">
        <f t="shared" si="10"/>
        <v>69980</v>
      </c>
      <c r="P99" s="6" t="str">
        <f t="shared" si="13"/>
        <v>PERCENTAGE</v>
      </c>
    </row>
    <row r="100" spans="1:16" x14ac:dyDescent="0.25">
      <c r="A100" s="15" t="str">
        <f t="shared" si="11"/>
        <v>BAMUS 2025 D80</v>
      </c>
      <c r="B100" s="7">
        <f t="shared" si="14"/>
        <v>46114</v>
      </c>
      <c r="C100" s="7">
        <f t="shared" si="15"/>
        <v>46120</v>
      </c>
      <c r="D100" s="6">
        <v>3280</v>
      </c>
      <c r="E100" s="6">
        <v>337</v>
      </c>
      <c r="F100" s="6">
        <v>4</v>
      </c>
      <c r="G100" s="15">
        <v>3</v>
      </c>
      <c r="H100" s="15">
        <v>81490</v>
      </c>
      <c r="I100" s="15" t="s">
        <v>1505</v>
      </c>
      <c r="J100" s="15">
        <v>51144813</v>
      </c>
      <c r="K100" s="15" t="s">
        <v>4349</v>
      </c>
      <c r="L100" s="15" t="s">
        <v>4397</v>
      </c>
      <c r="M100" s="15">
        <v>349900</v>
      </c>
      <c r="N100" s="9">
        <f t="shared" si="12"/>
        <v>0.8</v>
      </c>
      <c r="O100" s="8">
        <f t="shared" si="10"/>
        <v>69980</v>
      </c>
      <c r="P100" s="6" t="str">
        <f t="shared" si="13"/>
        <v>PERCENTAGE</v>
      </c>
    </row>
    <row r="101" spans="1:16" x14ac:dyDescent="0.25">
      <c r="A101" s="15" t="str">
        <f t="shared" si="11"/>
        <v>BAMUS 2025 D80</v>
      </c>
      <c r="B101" s="7">
        <f t="shared" si="14"/>
        <v>46114</v>
      </c>
      <c r="C101" s="7">
        <f t="shared" si="15"/>
        <v>46120</v>
      </c>
      <c r="D101" s="6">
        <v>3280</v>
      </c>
      <c r="E101" s="6">
        <v>337</v>
      </c>
      <c r="F101" s="6">
        <v>4</v>
      </c>
      <c r="G101" s="15">
        <v>3</v>
      </c>
      <c r="H101" s="15">
        <v>81490</v>
      </c>
      <c r="I101" s="15" t="s">
        <v>1505</v>
      </c>
      <c r="J101" s="15">
        <v>51144822</v>
      </c>
      <c r="K101" s="15" t="s">
        <v>4349</v>
      </c>
      <c r="L101" s="15" t="s">
        <v>4398</v>
      </c>
      <c r="M101" s="15">
        <v>359900</v>
      </c>
      <c r="N101" s="9">
        <f t="shared" si="12"/>
        <v>0.8</v>
      </c>
      <c r="O101" s="8">
        <f t="shared" si="10"/>
        <v>71980</v>
      </c>
      <c r="P101" s="6" t="str">
        <f t="shared" si="13"/>
        <v>PERCENTAGE</v>
      </c>
    </row>
    <row r="102" spans="1:16" x14ac:dyDescent="0.25">
      <c r="A102" s="15" t="str">
        <f t="shared" si="11"/>
        <v>BAMUS 2025 D80</v>
      </c>
      <c r="B102" s="7">
        <f t="shared" si="14"/>
        <v>46114</v>
      </c>
      <c r="C102" s="7">
        <f t="shared" si="15"/>
        <v>46120</v>
      </c>
      <c r="D102" s="6">
        <v>3280</v>
      </c>
      <c r="E102" s="6">
        <v>337</v>
      </c>
      <c r="F102" s="6">
        <v>4</v>
      </c>
      <c r="G102" s="15">
        <v>3</v>
      </c>
      <c r="H102" s="15">
        <v>81490</v>
      </c>
      <c r="I102" s="15" t="s">
        <v>1505</v>
      </c>
      <c r="J102" s="15">
        <v>51144831</v>
      </c>
      <c r="K102" s="15" t="s">
        <v>4349</v>
      </c>
      <c r="L102" s="15" t="s">
        <v>4399</v>
      </c>
      <c r="M102" s="15">
        <v>359900</v>
      </c>
      <c r="N102" s="9">
        <f t="shared" si="12"/>
        <v>0.8</v>
      </c>
      <c r="O102" s="8">
        <f t="shared" si="10"/>
        <v>71980</v>
      </c>
      <c r="P102" s="6" t="str">
        <f t="shared" si="13"/>
        <v>PERCENTAGE</v>
      </c>
    </row>
    <row r="103" spans="1:16" x14ac:dyDescent="0.25">
      <c r="A103" s="15" t="str">
        <f t="shared" si="11"/>
        <v>BAMUS 2025 D80</v>
      </c>
      <c r="B103" s="7">
        <f t="shared" si="14"/>
        <v>46114</v>
      </c>
      <c r="C103" s="7">
        <f t="shared" si="15"/>
        <v>46120</v>
      </c>
      <c r="D103" s="6">
        <v>3280</v>
      </c>
      <c r="E103" s="6">
        <v>337</v>
      </c>
      <c r="F103" s="6">
        <v>4</v>
      </c>
      <c r="G103" s="15">
        <v>3</v>
      </c>
      <c r="H103" s="15">
        <v>81490</v>
      </c>
      <c r="I103" s="15" t="s">
        <v>1505</v>
      </c>
      <c r="J103" s="15">
        <v>51144840</v>
      </c>
      <c r="K103" s="15" t="s">
        <v>4349</v>
      </c>
      <c r="L103" s="15" t="s">
        <v>4400</v>
      </c>
      <c r="M103" s="15">
        <v>359900</v>
      </c>
      <c r="N103" s="9">
        <f t="shared" si="12"/>
        <v>0.8</v>
      </c>
      <c r="O103" s="8">
        <f t="shared" si="10"/>
        <v>71980</v>
      </c>
      <c r="P103" s="6" t="str">
        <f t="shared" si="13"/>
        <v>PERCENTAGE</v>
      </c>
    </row>
    <row r="104" spans="1:16" x14ac:dyDescent="0.25">
      <c r="A104" s="15" t="str">
        <f t="shared" si="11"/>
        <v>BAMUS 2025 D80</v>
      </c>
      <c r="B104" s="7">
        <f t="shared" si="14"/>
        <v>46114</v>
      </c>
      <c r="C104" s="7">
        <f t="shared" si="15"/>
        <v>46120</v>
      </c>
      <c r="D104" s="6">
        <v>3280</v>
      </c>
      <c r="E104" s="6">
        <v>337</v>
      </c>
      <c r="F104" s="6">
        <v>4</v>
      </c>
      <c r="G104" s="15">
        <v>3</v>
      </c>
      <c r="H104" s="15">
        <v>81005</v>
      </c>
      <c r="I104" s="15" t="s">
        <v>1505</v>
      </c>
      <c r="J104" s="15">
        <v>51144859</v>
      </c>
      <c r="K104" s="15" t="s">
        <v>4350</v>
      </c>
      <c r="L104" s="15" t="s">
        <v>4401</v>
      </c>
      <c r="M104" s="15">
        <v>289900</v>
      </c>
      <c r="N104" s="9">
        <f t="shared" si="12"/>
        <v>0.8</v>
      </c>
      <c r="O104" s="8">
        <f t="shared" si="10"/>
        <v>57980</v>
      </c>
      <c r="P104" s="6" t="str">
        <f t="shared" si="13"/>
        <v>PERCENTAGE</v>
      </c>
    </row>
    <row r="105" spans="1:16" x14ac:dyDescent="0.25">
      <c r="A105" s="15" t="str">
        <f t="shared" si="11"/>
        <v>BAMUS 2025 D80</v>
      </c>
      <c r="B105" s="7">
        <f t="shared" si="14"/>
        <v>46114</v>
      </c>
      <c r="C105" s="7">
        <f t="shared" si="15"/>
        <v>46120</v>
      </c>
      <c r="D105" s="6">
        <v>3280</v>
      </c>
      <c r="E105" s="6">
        <v>337</v>
      </c>
      <c r="F105" s="6">
        <v>4</v>
      </c>
      <c r="G105" s="15">
        <v>3</v>
      </c>
      <c r="H105" s="15">
        <v>81005</v>
      </c>
      <c r="I105" s="15" t="s">
        <v>1505</v>
      </c>
      <c r="J105" s="15">
        <v>51144868</v>
      </c>
      <c r="K105" s="15" t="s">
        <v>4350</v>
      </c>
      <c r="L105" s="15" t="s">
        <v>4402</v>
      </c>
      <c r="M105" s="15">
        <v>289900</v>
      </c>
      <c r="N105" s="9">
        <f t="shared" si="12"/>
        <v>0.8</v>
      </c>
      <c r="O105" s="8">
        <f t="shared" si="10"/>
        <v>57980</v>
      </c>
      <c r="P105" s="6" t="str">
        <f t="shared" si="13"/>
        <v>PERCENTAGE</v>
      </c>
    </row>
    <row r="106" spans="1:16" x14ac:dyDescent="0.25">
      <c r="A106" s="15" t="str">
        <f t="shared" si="11"/>
        <v>BAMUS 2025 D80</v>
      </c>
      <c r="B106" s="7">
        <f t="shared" si="14"/>
        <v>46114</v>
      </c>
      <c r="C106" s="7">
        <f t="shared" si="15"/>
        <v>46120</v>
      </c>
      <c r="D106" s="6">
        <v>3280</v>
      </c>
      <c r="E106" s="6">
        <v>337</v>
      </c>
      <c r="F106" s="6">
        <v>4</v>
      </c>
      <c r="G106" s="15">
        <v>3</v>
      </c>
      <c r="H106" s="15">
        <v>81005</v>
      </c>
      <c r="I106" s="15" t="s">
        <v>1505</v>
      </c>
      <c r="J106" s="15">
        <v>51144877</v>
      </c>
      <c r="K106" s="15" t="s">
        <v>4350</v>
      </c>
      <c r="L106" s="15" t="s">
        <v>4403</v>
      </c>
      <c r="M106" s="15">
        <v>289900</v>
      </c>
      <c r="N106" s="9">
        <f t="shared" si="12"/>
        <v>0.8</v>
      </c>
      <c r="O106" s="8">
        <f t="shared" si="10"/>
        <v>57980</v>
      </c>
      <c r="P106" s="6" t="str">
        <f t="shared" si="13"/>
        <v>PERCENTAGE</v>
      </c>
    </row>
    <row r="107" spans="1:16" x14ac:dyDescent="0.25">
      <c r="A107" s="15" t="str">
        <f t="shared" si="11"/>
        <v>BAMUS 2025 D80</v>
      </c>
      <c r="B107" s="7">
        <f t="shared" si="14"/>
        <v>46114</v>
      </c>
      <c r="C107" s="7">
        <f t="shared" si="15"/>
        <v>46120</v>
      </c>
      <c r="D107" s="6">
        <v>3280</v>
      </c>
      <c r="E107" s="6">
        <v>337</v>
      </c>
      <c r="F107" s="6">
        <v>4</v>
      </c>
      <c r="G107" s="15">
        <v>3</v>
      </c>
      <c r="H107" s="15">
        <v>81005</v>
      </c>
      <c r="I107" s="15" t="s">
        <v>1505</v>
      </c>
      <c r="J107" s="15">
        <v>51144886</v>
      </c>
      <c r="K107" s="15" t="s">
        <v>4350</v>
      </c>
      <c r="L107" s="15" t="s">
        <v>4404</v>
      </c>
      <c r="M107" s="15">
        <v>299900</v>
      </c>
      <c r="N107" s="9">
        <f t="shared" si="12"/>
        <v>0.8</v>
      </c>
      <c r="O107" s="8">
        <f t="shared" si="10"/>
        <v>59980</v>
      </c>
      <c r="P107" s="6" t="str">
        <f t="shared" si="13"/>
        <v>PERCENTAGE</v>
      </c>
    </row>
    <row r="108" spans="1:16" x14ac:dyDescent="0.25">
      <c r="A108" s="15" t="str">
        <f t="shared" si="11"/>
        <v>BAMUS 2025 D80</v>
      </c>
      <c r="B108" s="7">
        <f t="shared" si="14"/>
        <v>46114</v>
      </c>
      <c r="C108" s="7">
        <f t="shared" si="15"/>
        <v>46120</v>
      </c>
      <c r="D108" s="6">
        <v>3280</v>
      </c>
      <c r="E108" s="6">
        <v>337</v>
      </c>
      <c r="F108" s="6">
        <v>4</v>
      </c>
      <c r="G108" s="15">
        <v>3</v>
      </c>
      <c r="H108" s="15">
        <v>81005</v>
      </c>
      <c r="I108" s="15" t="s">
        <v>1505</v>
      </c>
      <c r="J108" s="15">
        <v>51144895</v>
      </c>
      <c r="K108" s="15" t="s">
        <v>4350</v>
      </c>
      <c r="L108" s="15" t="s">
        <v>4405</v>
      </c>
      <c r="M108" s="15">
        <v>299900</v>
      </c>
      <c r="N108" s="9">
        <f t="shared" si="12"/>
        <v>0.8</v>
      </c>
      <c r="O108" s="8">
        <f t="shared" si="10"/>
        <v>59980</v>
      </c>
      <c r="P108" s="6" t="str">
        <f t="shared" si="13"/>
        <v>PERCENTAGE</v>
      </c>
    </row>
    <row r="109" spans="1:16" x14ac:dyDescent="0.25">
      <c r="A109" s="15" t="str">
        <f t="shared" si="11"/>
        <v>BAMUS 2025 D80</v>
      </c>
      <c r="B109" s="7">
        <f t="shared" si="14"/>
        <v>46114</v>
      </c>
      <c r="C109" s="7">
        <f t="shared" si="15"/>
        <v>46120</v>
      </c>
      <c r="D109" s="6">
        <v>3280</v>
      </c>
      <c r="E109" s="6">
        <v>337</v>
      </c>
      <c r="F109" s="6">
        <v>4</v>
      </c>
      <c r="G109" s="15">
        <v>3</v>
      </c>
      <c r="H109" s="15">
        <v>81005</v>
      </c>
      <c r="I109" s="15" t="s">
        <v>1505</v>
      </c>
      <c r="J109" s="15">
        <v>51144902</v>
      </c>
      <c r="K109" s="15" t="s">
        <v>4350</v>
      </c>
      <c r="L109" s="15" t="s">
        <v>4406</v>
      </c>
      <c r="M109" s="15">
        <v>299900</v>
      </c>
      <c r="N109" s="9">
        <f t="shared" si="12"/>
        <v>0.8</v>
      </c>
      <c r="O109" s="8">
        <f t="shared" si="10"/>
        <v>59980</v>
      </c>
      <c r="P109" s="6" t="str">
        <f t="shared" si="13"/>
        <v>PERCENTAGE</v>
      </c>
    </row>
    <row r="110" spans="1:16" x14ac:dyDescent="0.25">
      <c r="A110" s="15" t="str">
        <f t="shared" si="11"/>
        <v>BAMUS 2025 D80</v>
      </c>
      <c r="B110" s="7">
        <f t="shared" si="14"/>
        <v>46114</v>
      </c>
      <c r="C110" s="7">
        <f t="shared" si="15"/>
        <v>46120</v>
      </c>
      <c r="D110" s="6">
        <v>3280</v>
      </c>
      <c r="E110" s="6">
        <v>337</v>
      </c>
      <c r="F110" s="6">
        <v>4</v>
      </c>
      <c r="G110" s="15">
        <v>3</v>
      </c>
      <c r="H110" s="15">
        <v>81005</v>
      </c>
      <c r="I110" s="15" t="s">
        <v>1505</v>
      </c>
      <c r="J110" s="15">
        <v>51144911</v>
      </c>
      <c r="K110" s="15" t="s">
        <v>4071</v>
      </c>
      <c r="L110" s="15" t="s">
        <v>4094</v>
      </c>
      <c r="M110" s="15">
        <v>289900</v>
      </c>
      <c r="N110" s="9">
        <f t="shared" si="12"/>
        <v>0.8</v>
      </c>
      <c r="O110" s="8">
        <f t="shared" si="10"/>
        <v>57980</v>
      </c>
      <c r="P110" s="6" t="str">
        <f t="shared" si="13"/>
        <v>PERCENTAGE</v>
      </c>
    </row>
    <row r="111" spans="1:16" x14ac:dyDescent="0.25">
      <c r="A111" s="15" t="str">
        <f t="shared" si="11"/>
        <v>BAMUS 2025 D80</v>
      </c>
      <c r="B111" s="7">
        <f t="shared" si="14"/>
        <v>46114</v>
      </c>
      <c r="C111" s="7">
        <f t="shared" si="15"/>
        <v>46120</v>
      </c>
      <c r="D111" s="6">
        <v>3280</v>
      </c>
      <c r="E111" s="6">
        <v>337</v>
      </c>
      <c r="F111" s="6">
        <v>4</v>
      </c>
      <c r="G111" s="15">
        <v>3</v>
      </c>
      <c r="H111" s="15">
        <v>81005</v>
      </c>
      <c r="I111" s="15" t="s">
        <v>1505</v>
      </c>
      <c r="J111" s="15">
        <v>51144920</v>
      </c>
      <c r="K111" s="15" t="s">
        <v>4071</v>
      </c>
      <c r="L111" s="15" t="s">
        <v>4095</v>
      </c>
      <c r="M111" s="15">
        <v>289900</v>
      </c>
      <c r="N111" s="9">
        <f t="shared" si="12"/>
        <v>0.8</v>
      </c>
      <c r="O111" s="8">
        <f t="shared" si="10"/>
        <v>57980</v>
      </c>
      <c r="P111" s="6" t="str">
        <f t="shared" si="13"/>
        <v>PERCENTAGE</v>
      </c>
    </row>
    <row r="112" spans="1:16" x14ac:dyDescent="0.25">
      <c r="A112" s="15" t="str">
        <f t="shared" si="11"/>
        <v>BAMUS 2025 D80</v>
      </c>
      <c r="B112" s="7">
        <f t="shared" si="14"/>
        <v>46114</v>
      </c>
      <c r="C112" s="7">
        <f t="shared" si="15"/>
        <v>46120</v>
      </c>
      <c r="D112" s="6">
        <v>3280</v>
      </c>
      <c r="E112" s="6">
        <v>337</v>
      </c>
      <c r="F112" s="6">
        <v>4</v>
      </c>
      <c r="G112" s="15">
        <v>3</v>
      </c>
      <c r="H112" s="15">
        <v>81005</v>
      </c>
      <c r="I112" s="15" t="s">
        <v>1505</v>
      </c>
      <c r="J112" s="15">
        <v>51144939</v>
      </c>
      <c r="K112" s="15" t="s">
        <v>4071</v>
      </c>
      <c r="L112" s="15" t="s">
        <v>4096</v>
      </c>
      <c r="M112" s="15">
        <v>289900</v>
      </c>
      <c r="N112" s="9">
        <f t="shared" si="12"/>
        <v>0.8</v>
      </c>
      <c r="O112" s="8">
        <f t="shared" si="10"/>
        <v>57980</v>
      </c>
      <c r="P112" s="6" t="str">
        <f t="shared" si="13"/>
        <v>PERCENTAGE</v>
      </c>
    </row>
    <row r="113" spans="1:16" x14ac:dyDescent="0.25">
      <c r="A113" s="15" t="str">
        <f t="shared" si="11"/>
        <v>BAMUS 2025 D80</v>
      </c>
      <c r="B113" s="7">
        <f t="shared" si="14"/>
        <v>46114</v>
      </c>
      <c r="C113" s="7">
        <f t="shared" si="15"/>
        <v>46120</v>
      </c>
      <c r="D113" s="6">
        <v>3280</v>
      </c>
      <c r="E113" s="6">
        <v>337</v>
      </c>
      <c r="F113" s="6">
        <v>4</v>
      </c>
      <c r="G113" s="15">
        <v>3</v>
      </c>
      <c r="H113" s="15">
        <v>81005</v>
      </c>
      <c r="I113" s="15" t="s">
        <v>1505</v>
      </c>
      <c r="J113" s="15">
        <v>51144948</v>
      </c>
      <c r="K113" s="15" t="s">
        <v>4071</v>
      </c>
      <c r="L113" s="15" t="s">
        <v>4097</v>
      </c>
      <c r="M113" s="15">
        <v>299900</v>
      </c>
      <c r="N113" s="9">
        <f t="shared" si="12"/>
        <v>0.8</v>
      </c>
      <c r="O113" s="8">
        <f t="shared" si="10"/>
        <v>59980</v>
      </c>
      <c r="P113" s="6" t="str">
        <f t="shared" si="13"/>
        <v>PERCENTAGE</v>
      </c>
    </row>
    <row r="114" spans="1:16" x14ac:dyDescent="0.25">
      <c r="A114" s="15" t="str">
        <f t="shared" si="11"/>
        <v>BAMUS 2025 D80</v>
      </c>
      <c r="B114" s="7">
        <f t="shared" si="14"/>
        <v>46114</v>
      </c>
      <c r="C114" s="7">
        <f t="shared" si="15"/>
        <v>46120</v>
      </c>
      <c r="D114" s="6">
        <v>3280</v>
      </c>
      <c r="E114" s="6">
        <v>337</v>
      </c>
      <c r="F114" s="6">
        <v>4</v>
      </c>
      <c r="G114" s="15">
        <v>3</v>
      </c>
      <c r="H114" s="15">
        <v>81005</v>
      </c>
      <c r="I114" s="15" t="s">
        <v>1505</v>
      </c>
      <c r="J114" s="15">
        <v>51144957</v>
      </c>
      <c r="K114" s="15" t="s">
        <v>4071</v>
      </c>
      <c r="L114" s="15" t="s">
        <v>4098</v>
      </c>
      <c r="M114" s="15">
        <v>299900</v>
      </c>
      <c r="N114" s="9">
        <f t="shared" si="12"/>
        <v>0.8</v>
      </c>
      <c r="O114" s="8">
        <f t="shared" si="10"/>
        <v>59980</v>
      </c>
      <c r="P114" s="6" t="str">
        <f t="shared" si="13"/>
        <v>PERCENTAGE</v>
      </c>
    </row>
    <row r="115" spans="1:16" x14ac:dyDescent="0.25">
      <c r="A115" s="15" t="str">
        <f t="shared" si="11"/>
        <v>BAMUS 2025 D80</v>
      </c>
      <c r="B115" s="7">
        <f t="shared" si="14"/>
        <v>46114</v>
      </c>
      <c r="C115" s="7">
        <f t="shared" si="15"/>
        <v>46120</v>
      </c>
      <c r="D115" s="6">
        <v>3280</v>
      </c>
      <c r="E115" s="6">
        <v>337</v>
      </c>
      <c r="F115" s="6">
        <v>4</v>
      </c>
      <c r="G115" s="15">
        <v>3</v>
      </c>
      <c r="H115" s="15">
        <v>81005</v>
      </c>
      <c r="I115" s="15" t="s">
        <v>1505</v>
      </c>
      <c r="J115" s="15">
        <v>51144966</v>
      </c>
      <c r="K115" s="15" t="s">
        <v>4071</v>
      </c>
      <c r="L115" s="15" t="s">
        <v>4099</v>
      </c>
      <c r="M115" s="15">
        <v>299900</v>
      </c>
      <c r="N115" s="9">
        <f t="shared" si="12"/>
        <v>0.8</v>
      </c>
      <c r="O115" s="8">
        <f t="shared" si="10"/>
        <v>59980</v>
      </c>
      <c r="P115" s="6" t="str">
        <f t="shared" si="13"/>
        <v>PERCENTAGE</v>
      </c>
    </row>
    <row r="116" spans="1:16" x14ac:dyDescent="0.25">
      <c r="A116" s="15" t="str">
        <f t="shared" si="11"/>
        <v>BAMUS 2025 D80</v>
      </c>
      <c r="B116" s="7">
        <f t="shared" si="14"/>
        <v>46114</v>
      </c>
      <c r="C116" s="7">
        <f t="shared" si="15"/>
        <v>46120</v>
      </c>
      <c r="D116" s="6">
        <v>3280</v>
      </c>
      <c r="E116" s="6">
        <v>337</v>
      </c>
      <c r="F116" s="6">
        <v>4</v>
      </c>
      <c r="G116" s="15">
        <v>3</v>
      </c>
      <c r="H116" s="15">
        <v>81495</v>
      </c>
      <c r="I116" s="15" t="s">
        <v>1505</v>
      </c>
      <c r="J116" s="15">
        <v>51605431</v>
      </c>
      <c r="K116" s="15" t="s">
        <v>4072</v>
      </c>
      <c r="L116" s="15" t="s">
        <v>4100</v>
      </c>
      <c r="M116" s="15">
        <v>349900</v>
      </c>
      <c r="N116" s="9">
        <f t="shared" si="12"/>
        <v>0.8</v>
      </c>
      <c r="O116" s="8">
        <f t="shared" si="10"/>
        <v>69980</v>
      </c>
      <c r="P116" s="6" t="str">
        <f t="shared" si="13"/>
        <v>PERCENTAGE</v>
      </c>
    </row>
    <row r="117" spans="1:16" x14ac:dyDescent="0.25">
      <c r="A117" s="15" t="str">
        <f t="shared" si="11"/>
        <v>BAMUS 2025 D80</v>
      </c>
      <c r="B117" s="7">
        <f t="shared" si="14"/>
        <v>46114</v>
      </c>
      <c r="C117" s="7">
        <f t="shared" si="15"/>
        <v>46120</v>
      </c>
      <c r="D117" s="6">
        <v>3280</v>
      </c>
      <c r="E117" s="6">
        <v>337</v>
      </c>
      <c r="F117" s="6">
        <v>4</v>
      </c>
      <c r="G117" s="15">
        <v>3</v>
      </c>
      <c r="H117" s="15">
        <v>81495</v>
      </c>
      <c r="I117" s="15" t="s">
        <v>1505</v>
      </c>
      <c r="J117" s="15">
        <v>51605440</v>
      </c>
      <c r="K117" s="15" t="s">
        <v>4072</v>
      </c>
      <c r="L117" s="15" t="s">
        <v>4101</v>
      </c>
      <c r="M117" s="15">
        <v>349900</v>
      </c>
      <c r="N117" s="9">
        <f t="shared" si="12"/>
        <v>0.8</v>
      </c>
      <c r="O117" s="8">
        <f t="shared" si="10"/>
        <v>69980</v>
      </c>
      <c r="P117" s="6" t="str">
        <f t="shared" si="13"/>
        <v>PERCENTAGE</v>
      </c>
    </row>
    <row r="118" spans="1:16" x14ac:dyDescent="0.25">
      <c r="A118" s="15" t="str">
        <f t="shared" si="11"/>
        <v>BAMUS 2025 D80</v>
      </c>
      <c r="B118" s="7">
        <f t="shared" si="14"/>
        <v>46114</v>
      </c>
      <c r="C118" s="7">
        <f t="shared" si="15"/>
        <v>46120</v>
      </c>
      <c r="D118" s="6">
        <v>3280</v>
      </c>
      <c r="E118" s="6">
        <v>337</v>
      </c>
      <c r="F118" s="6">
        <v>4</v>
      </c>
      <c r="G118" s="15">
        <v>3</v>
      </c>
      <c r="H118" s="15">
        <v>81495</v>
      </c>
      <c r="I118" s="15" t="s">
        <v>1505</v>
      </c>
      <c r="J118" s="15">
        <v>51605459</v>
      </c>
      <c r="K118" s="15" t="s">
        <v>4072</v>
      </c>
      <c r="L118" s="15" t="s">
        <v>4102</v>
      </c>
      <c r="M118" s="15">
        <v>349900</v>
      </c>
      <c r="N118" s="9">
        <f t="shared" si="12"/>
        <v>0.8</v>
      </c>
      <c r="O118" s="8">
        <f t="shared" si="10"/>
        <v>69980</v>
      </c>
      <c r="P118" s="6" t="str">
        <f t="shared" si="13"/>
        <v>PERCENTAGE</v>
      </c>
    </row>
    <row r="119" spans="1:16" x14ac:dyDescent="0.25">
      <c r="A119" s="15" t="str">
        <f t="shared" si="11"/>
        <v>BAMUS 2025 D80</v>
      </c>
      <c r="B119" s="7">
        <f t="shared" si="14"/>
        <v>46114</v>
      </c>
      <c r="C119" s="7">
        <f t="shared" si="15"/>
        <v>46120</v>
      </c>
      <c r="D119" s="6">
        <v>3280</v>
      </c>
      <c r="E119" s="6">
        <v>337</v>
      </c>
      <c r="F119" s="6">
        <v>4</v>
      </c>
      <c r="G119" s="15">
        <v>3</v>
      </c>
      <c r="H119" s="15">
        <v>81495</v>
      </c>
      <c r="I119" s="15" t="s">
        <v>1505</v>
      </c>
      <c r="J119" s="15">
        <v>51605468</v>
      </c>
      <c r="K119" s="15" t="s">
        <v>4072</v>
      </c>
      <c r="L119" s="15" t="s">
        <v>4103</v>
      </c>
      <c r="M119" s="15">
        <v>359900</v>
      </c>
      <c r="N119" s="9">
        <f t="shared" si="12"/>
        <v>0.8</v>
      </c>
      <c r="O119" s="8">
        <f t="shared" si="10"/>
        <v>71980</v>
      </c>
      <c r="P119" s="6" t="str">
        <f t="shared" si="13"/>
        <v>PERCENTAGE</v>
      </c>
    </row>
    <row r="120" spans="1:16" x14ac:dyDescent="0.25">
      <c r="A120" s="15" t="str">
        <f t="shared" si="11"/>
        <v>BAMUS 2025 D80</v>
      </c>
      <c r="B120" s="7">
        <f t="shared" si="14"/>
        <v>46114</v>
      </c>
      <c r="C120" s="7">
        <f t="shared" si="15"/>
        <v>46120</v>
      </c>
      <c r="D120" s="6">
        <v>3280</v>
      </c>
      <c r="E120" s="6">
        <v>337</v>
      </c>
      <c r="F120" s="6">
        <v>4</v>
      </c>
      <c r="G120" s="15">
        <v>3</v>
      </c>
      <c r="H120" s="15">
        <v>81495</v>
      </c>
      <c r="I120" s="15" t="s">
        <v>1505</v>
      </c>
      <c r="J120" s="15">
        <v>51605477</v>
      </c>
      <c r="K120" s="15" t="s">
        <v>4072</v>
      </c>
      <c r="L120" s="15" t="s">
        <v>4104</v>
      </c>
      <c r="M120" s="15">
        <v>359900</v>
      </c>
      <c r="N120" s="9">
        <f t="shared" si="12"/>
        <v>0.8</v>
      </c>
      <c r="O120" s="8">
        <f t="shared" si="10"/>
        <v>71980</v>
      </c>
      <c r="P120" s="6" t="str">
        <f t="shared" si="13"/>
        <v>PERCENTAGE</v>
      </c>
    </row>
    <row r="121" spans="1:16" x14ac:dyDescent="0.25">
      <c r="A121" s="15" t="str">
        <f t="shared" si="11"/>
        <v>BAMUS 2025 D80</v>
      </c>
      <c r="B121" s="7">
        <f t="shared" si="14"/>
        <v>46114</v>
      </c>
      <c r="C121" s="7">
        <f t="shared" si="15"/>
        <v>46120</v>
      </c>
      <c r="D121" s="6">
        <v>3280</v>
      </c>
      <c r="E121" s="6">
        <v>337</v>
      </c>
      <c r="F121" s="6">
        <v>4</v>
      </c>
      <c r="G121" s="15">
        <v>3</v>
      </c>
      <c r="H121" s="15">
        <v>81495</v>
      </c>
      <c r="I121" s="15" t="s">
        <v>1505</v>
      </c>
      <c r="J121" s="15">
        <v>51605486</v>
      </c>
      <c r="K121" s="15" t="s">
        <v>4072</v>
      </c>
      <c r="L121" s="15" t="s">
        <v>4105</v>
      </c>
      <c r="M121" s="15">
        <v>359900</v>
      </c>
      <c r="N121" s="9">
        <f t="shared" si="12"/>
        <v>0.8</v>
      </c>
      <c r="O121" s="8">
        <f t="shared" si="10"/>
        <v>71980</v>
      </c>
      <c r="P121" s="6" t="str">
        <f t="shared" si="13"/>
        <v>PERCENTAGE</v>
      </c>
    </row>
    <row r="122" spans="1:16" x14ac:dyDescent="0.25">
      <c r="A122" s="15" t="str">
        <f t="shared" si="11"/>
        <v>BAMUS 2025 D80</v>
      </c>
      <c r="B122" s="7">
        <f t="shared" si="14"/>
        <v>46114</v>
      </c>
      <c r="C122" s="7">
        <f t="shared" si="15"/>
        <v>46120</v>
      </c>
      <c r="D122" s="6">
        <v>3280</v>
      </c>
      <c r="E122" s="6">
        <v>337</v>
      </c>
      <c r="F122" s="6">
        <v>4</v>
      </c>
      <c r="G122" s="15">
        <v>3</v>
      </c>
      <c r="H122" s="15">
        <v>81495</v>
      </c>
      <c r="I122" s="15" t="s">
        <v>1505</v>
      </c>
      <c r="J122" s="15">
        <v>51605495</v>
      </c>
      <c r="K122" s="15" t="s">
        <v>4073</v>
      </c>
      <c r="L122" s="15" t="s">
        <v>4106</v>
      </c>
      <c r="M122" s="15">
        <v>349900</v>
      </c>
      <c r="N122" s="9">
        <f t="shared" si="12"/>
        <v>0.8</v>
      </c>
      <c r="O122" s="8">
        <f t="shared" si="10"/>
        <v>69980</v>
      </c>
      <c r="P122" s="6" t="str">
        <f t="shared" si="13"/>
        <v>PERCENTAGE</v>
      </c>
    </row>
    <row r="123" spans="1:16" x14ac:dyDescent="0.25">
      <c r="A123" s="15" t="str">
        <f t="shared" si="11"/>
        <v>BAMUS 2025 D80</v>
      </c>
      <c r="B123" s="7">
        <f t="shared" si="14"/>
        <v>46114</v>
      </c>
      <c r="C123" s="7">
        <f t="shared" si="15"/>
        <v>46120</v>
      </c>
      <c r="D123" s="6">
        <v>3280</v>
      </c>
      <c r="E123" s="6">
        <v>337</v>
      </c>
      <c r="F123" s="6">
        <v>4</v>
      </c>
      <c r="G123" s="15">
        <v>3</v>
      </c>
      <c r="H123" s="15">
        <v>81495</v>
      </c>
      <c r="I123" s="15" t="s">
        <v>1505</v>
      </c>
      <c r="J123" s="15">
        <v>51605502</v>
      </c>
      <c r="K123" s="15" t="s">
        <v>4073</v>
      </c>
      <c r="L123" s="15" t="s">
        <v>4107</v>
      </c>
      <c r="M123" s="15">
        <v>349900</v>
      </c>
      <c r="N123" s="9">
        <f t="shared" si="12"/>
        <v>0.8</v>
      </c>
      <c r="O123" s="8">
        <f t="shared" si="10"/>
        <v>69980</v>
      </c>
      <c r="P123" s="6" t="str">
        <f t="shared" si="13"/>
        <v>PERCENTAGE</v>
      </c>
    </row>
    <row r="124" spans="1:16" x14ac:dyDescent="0.25">
      <c r="A124" s="15" t="str">
        <f t="shared" si="11"/>
        <v>BAMUS 2025 D80</v>
      </c>
      <c r="B124" s="7">
        <f t="shared" si="14"/>
        <v>46114</v>
      </c>
      <c r="C124" s="7">
        <f t="shared" si="15"/>
        <v>46120</v>
      </c>
      <c r="D124" s="6">
        <v>3280</v>
      </c>
      <c r="E124" s="6">
        <v>337</v>
      </c>
      <c r="F124" s="6">
        <v>4</v>
      </c>
      <c r="G124" s="15">
        <v>3</v>
      </c>
      <c r="H124" s="15">
        <v>81495</v>
      </c>
      <c r="I124" s="15" t="s">
        <v>1505</v>
      </c>
      <c r="J124" s="15">
        <v>51605511</v>
      </c>
      <c r="K124" s="15" t="s">
        <v>4073</v>
      </c>
      <c r="L124" s="15" t="s">
        <v>4108</v>
      </c>
      <c r="M124" s="15">
        <v>349900</v>
      </c>
      <c r="N124" s="9">
        <f t="shared" si="12"/>
        <v>0.8</v>
      </c>
      <c r="O124" s="8">
        <f t="shared" si="10"/>
        <v>69980</v>
      </c>
      <c r="P124" s="6" t="str">
        <f t="shared" si="13"/>
        <v>PERCENTAGE</v>
      </c>
    </row>
    <row r="125" spans="1:16" x14ac:dyDescent="0.25">
      <c r="A125" s="15" t="str">
        <f t="shared" si="11"/>
        <v>BAMUS 2025 D80</v>
      </c>
      <c r="B125" s="7">
        <f t="shared" si="14"/>
        <v>46114</v>
      </c>
      <c r="C125" s="7">
        <f t="shared" si="15"/>
        <v>46120</v>
      </c>
      <c r="D125" s="6">
        <v>3280</v>
      </c>
      <c r="E125" s="6">
        <v>337</v>
      </c>
      <c r="F125" s="6">
        <v>4</v>
      </c>
      <c r="G125" s="15">
        <v>3</v>
      </c>
      <c r="H125" s="15">
        <v>81495</v>
      </c>
      <c r="I125" s="15" t="s">
        <v>1505</v>
      </c>
      <c r="J125" s="15">
        <v>51605520</v>
      </c>
      <c r="K125" s="15" t="s">
        <v>4073</v>
      </c>
      <c r="L125" s="15" t="s">
        <v>4109</v>
      </c>
      <c r="M125" s="15">
        <v>359900</v>
      </c>
      <c r="N125" s="9">
        <f t="shared" si="12"/>
        <v>0.8</v>
      </c>
      <c r="O125" s="8">
        <f t="shared" si="10"/>
        <v>71980</v>
      </c>
      <c r="P125" s="6" t="str">
        <f t="shared" si="13"/>
        <v>PERCENTAGE</v>
      </c>
    </row>
    <row r="126" spans="1:16" x14ac:dyDescent="0.25">
      <c r="A126" s="15" t="str">
        <f t="shared" si="11"/>
        <v>BAMUS 2025 D80</v>
      </c>
      <c r="B126" s="7">
        <f t="shared" si="14"/>
        <v>46114</v>
      </c>
      <c r="C126" s="7">
        <f t="shared" si="15"/>
        <v>46120</v>
      </c>
      <c r="D126" s="6">
        <v>3280</v>
      </c>
      <c r="E126" s="6">
        <v>337</v>
      </c>
      <c r="F126" s="6">
        <v>4</v>
      </c>
      <c r="G126" s="15">
        <v>3</v>
      </c>
      <c r="H126" s="15">
        <v>81495</v>
      </c>
      <c r="I126" s="15" t="s">
        <v>1505</v>
      </c>
      <c r="J126" s="15">
        <v>51605539</v>
      </c>
      <c r="K126" s="15" t="s">
        <v>4073</v>
      </c>
      <c r="L126" s="15" t="s">
        <v>4110</v>
      </c>
      <c r="M126" s="15">
        <v>359900</v>
      </c>
      <c r="N126" s="9">
        <f t="shared" si="12"/>
        <v>0.8</v>
      </c>
      <c r="O126" s="8">
        <f t="shared" si="10"/>
        <v>71980</v>
      </c>
      <c r="P126" s="6" t="str">
        <f t="shared" si="13"/>
        <v>PERCENTAGE</v>
      </c>
    </row>
    <row r="127" spans="1:16" x14ac:dyDescent="0.25">
      <c r="A127" s="15" t="str">
        <f t="shared" si="11"/>
        <v>BAMUS 2025 D80</v>
      </c>
      <c r="B127" s="7">
        <f t="shared" si="14"/>
        <v>46114</v>
      </c>
      <c r="C127" s="7">
        <f t="shared" si="15"/>
        <v>46120</v>
      </c>
      <c r="D127" s="6">
        <v>3280</v>
      </c>
      <c r="E127" s="6">
        <v>337</v>
      </c>
      <c r="F127" s="6">
        <v>4</v>
      </c>
      <c r="G127" s="15">
        <v>3</v>
      </c>
      <c r="H127" s="15">
        <v>81495</v>
      </c>
      <c r="I127" s="15" t="s">
        <v>1505</v>
      </c>
      <c r="J127" s="15">
        <v>51605548</v>
      </c>
      <c r="K127" s="15" t="s">
        <v>4073</v>
      </c>
      <c r="L127" s="15" t="s">
        <v>4111</v>
      </c>
      <c r="M127" s="15">
        <v>359900</v>
      </c>
      <c r="N127" s="9">
        <f t="shared" si="12"/>
        <v>0.8</v>
      </c>
      <c r="O127" s="8">
        <f t="shared" si="10"/>
        <v>71980</v>
      </c>
      <c r="P127" s="6" t="str">
        <f t="shared" si="13"/>
        <v>PERCENTAGE</v>
      </c>
    </row>
    <row r="128" spans="1:16" x14ac:dyDescent="0.25">
      <c r="A128" s="15" t="str">
        <f t="shared" si="11"/>
        <v>BAMUS 2025 D80</v>
      </c>
      <c r="B128" s="7">
        <f t="shared" si="14"/>
        <v>46114</v>
      </c>
      <c r="C128" s="7">
        <f t="shared" si="15"/>
        <v>46120</v>
      </c>
      <c r="D128" s="6">
        <v>3280</v>
      </c>
      <c r="E128" s="6">
        <v>337</v>
      </c>
      <c r="F128" s="6">
        <v>4</v>
      </c>
      <c r="G128" s="15">
        <v>3</v>
      </c>
      <c r="H128" s="15">
        <v>81495</v>
      </c>
      <c r="I128" s="15" t="s">
        <v>1505</v>
      </c>
      <c r="J128" s="15">
        <v>51605557</v>
      </c>
      <c r="K128" s="15" t="s">
        <v>4208</v>
      </c>
      <c r="L128" s="15" t="s">
        <v>4209</v>
      </c>
      <c r="M128" s="15">
        <v>349900</v>
      </c>
      <c r="N128" s="9">
        <f t="shared" si="12"/>
        <v>0.8</v>
      </c>
      <c r="O128" s="8">
        <f t="shared" si="10"/>
        <v>69980</v>
      </c>
      <c r="P128" s="6" t="str">
        <f t="shared" si="13"/>
        <v>PERCENTAGE</v>
      </c>
    </row>
    <row r="129" spans="1:16" x14ac:dyDescent="0.25">
      <c r="A129" s="15" t="str">
        <f t="shared" si="11"/>
        <v>BAMUS 2025 D80</v>
      </c>
      <c r="B129" s="7">
        <f t="shared" si="14"/>
        <v>46114</v>
      </c>
      <c r="C129" s="7">
        <f t="shared" si="15"/>
        <v>46120</v>
      </c>
      <c r="D129" s="6">
        <v>3280</v>
      </c>
      <c r="E129" s="6">
        <v>337</v>
      </c>
      <c r="F129" s="6">
        <v>4</v>
      </c>
      <c r="G129" s="15">
        <v>3</v>
      </c>
      <c r="H129" s="15">
        <v>81495</v>
      </c>
      <c r="I129" s="15" t="s">
        <v>1505</v>
      </c>
      <c r="J129" s="15">
        <v>51605566</v>
      </c>
      <c r="K129" s="15" t="s">
        <v>4208</v>
      </c>
      <c r="L129" s="15" t="s">
        <v>4210</v>
      </c>
      <c r="M129" s="15">
        <v>349900</v>
      </c>
      <c r="N129" s="9">
        <f t="shared" si="12"/>
        <v>0.8</v>
      </c>
      <c r="O129" s="8">
        <f t="shared" si="10"/>
        <v>69980</v>
      </c>
      <c r="P129" s="6" t="str">
        <f t="shared" si="13"/>
        <v>PERCENTAGE</v>
      </c>
    </row>
    <row r="130" spans="1:16" x14ac:dyDescent="0.25">
      <c r="A130" s="15" t="str">
        <f t="shared" si="11"/>
        <v>BAMUS 2025 D80</v>
      </c>
      <c r="B130" s="7">
        <f t="shared" si="14"/>
        <v>46114</v>
      </c>
      <c r="C130" s="7">
        <f t="shared" si="15"/>
        <v>46120</v>
      </c>
      <c r="D130" s="6">
        <v>3280</v>
      </c>
      <c r="E130" s="6">
        <v>337</v>
      </c>
      <c r="F130" s="6">
        <v>4</v>
      </c>
      <c r="G130" s="15">
        <v>3</v>
      </c>
      <c r="H130" s="15">
        <v>81495</v>
      </c>
      <c r="I130" s="15" t="s">
        <v>1505</v>
      </c>
      <c r="J130" s="15">
        <v>51605575</v>
      </c>
      <c r="K130" s="15" t="s">
        <v>4208</v>
      </c>
      <c r="L130" s="15" t="s">
        <v>4211</v>
      </c>
      <c r="M130" s="15">
        <v>349900</v>
      </c>
      <c r="N130" s="9">
        <f t="shared" si="12"/>
        <v>0.8</v>
      </c>
      <c r="O130" s="8">
        <f t="shared" si="10"/>
        <v>69980</v>
      </c>
      <c r="P130" s="6" t="str">
        <f t="shared" si="13"/>
        <v>PERCENTAGE</v>
      </c>
    </row>
    <row r="131" spans="1:16" x14ac:dyDescent="0.25">
      <c r="A131" s="15" t="str">
        <f t="shared" si="11"/>
        <v>BAMUS 2025 D80</v>
      </c>
      <c r="B131" s="7">
        <f t="shared" ref="B131:B163" si="16">B130</f>
        <v>46114</v>
      </c>
      <c r="C131" s="7">
        <f t="shared" ref="C131:C163" si="17">C130</f>
        <v>46120</v>
      </c>
      <c r="D131" s="6">
        <v>3280</v>
      </c>
      <c r="E131" s="6">
        <v>337</v>
      </c>
      <c r="F131" s="6">
        <v>4</v>
      </c>
      <c r="G131" s="15">
        <v>3</v>
      </c>
      <c r="H131" s="15">
        <v>81495</v>
      </c>
      <c r="I131" s="15" t="s">
        <v>1505</v>
      </c>
      <c r="J131" s="15">
        <v>51605584</v>
      </c>
      <c r="K131" s="15" t="s">
        <v>4208</v>
      </c>
      <c r="L131" s="15" t="s">
        <v>4212</v>
      </c>
      <c r="M131" s="15">
        <v>359900</v>
      </c>
      <c r="N131" s="9">
        <f t="shared" si="12"/>
        <v>0.8</v>
      </c>
      <c r="O131" s="8">
        <f t="shared" ref="O131:O163" si="18">M131-((80*M131)/100)</f>
        <v>71980</v>
      </c>
      <c r="P131" s="6" t="str">
        <f t="shared" si="13"/>
        <v>PERCENTAGE</v>
      </c>
    </row>
    <row r="132" spans="1:16" x14ac:dyDescent="0.25">
      <c r="A132" s="15" t="str">
        <f t="shared" ref="A132:A163" si="19">A131</f>
        <v>BAMUS 2025 D80</v>
      </c>
      <c r="B132" s="7">
        <f t="shared" si="16"/>
        <v>46114</v>
      </c>
      <c r="C132" s="7">
        <f t="shared" si="17"/>
        <v>46120</v>
      </c>
      <c r="D132" s="6">
        <v>3280</v>
      </c>
      <c r="E132" s="6">
        <v>337</v>
      </c>
      <c r="F132" s="6">
        <v>4</v>
      </c>
      <c r="G132" s="15">
        <v>3</v>
      </c>
      <c r="H132" s="15">
        <v>81495</v>
      </c>
      <c r="I132" s="15" t="s">
        <v>1505</v>
      </c>
      <c r="J132" s="15">
        <v>51605593</v>
      </c>
      <c r="K132" s="15" t="s">
        <v>4208</v>
      </c>
      <c r="L132" s="15" t="s">
        <v>4213</v>
      </c>
      <c r="M132" s="15">
        <v>359900</v>
      </c>
      <c r="N132" s="9">
        <f t="shared" ref="N132:N163" si="20">N131</f>
        <v>0.8</v>
      </c>
      <c r="O132" s="8">
        <f t="shared" si="18"/>
        <v>71980</v>
      </c>
      <c r="P132" s="6" t="str">
        <f t="shared" ref="P132:P163" si="21">P131</f>
        <v>PERCENTAGE</v>
      </c>
    </row>
    <row r="133" spans="1:16" x14ac:dyDescent="0.25">
      <c r="A133" s="15" t="str">
        <f t="shared" si="19"/>
        <v>BAMUS 2025 D80</v>
      </c>
      <c r="B133" s="7">
        <f t="shared" si="16"/>
        <v>46114</v>
      </c>
      <c r="C133" s="7">
        <f t="shared" si="17"/>
        <v>46120</v>
      </c>
      <c r="D133" s="6">
        <v>3280</v>
      </c>
      <c r="E133" s="6">
        <v>337</v>
      </c>
      <c r="F133" s="6">
        <v>4</v>
      </c>
      <c r="G133" s="15">
        <v>3</v>
      </c>
      <c r="H133" s="15">
        <v>81495</v>
      </c>
      <c r="I133" s="15" t="s">
        <v>1505</v>
      </c>
      <c r="J133" s="15">
        <v>51605600</v>
      </c>
      <c r="K133" s="15" t="s">
        <v>4208</v>
      </c>
      <c r="L133" s="15" t="s">
        <v>4214</v>
      </c>
      <c r="M133" s="15">
        <v>359900</v>
      </c>
      <c r="N133" s="9">
        <f t="shared" si="20"/>
        <v>0.8</v>
      </c>
      <c r="O133" s="8">
        <f t="shared" si="18"/>
        <v>71980</v>
      </c>
      <c r="P133" s="6" t="str">
        <f t="shared" si="21"/>
        <v>PERCENTAGE</v>
      </c>
    </row>
    <row r="134" spans="1:16" x14ac:dyDescent="0.25">
      <c r="A134" s="15" t="str">
        <f t="shared" si="19"/>
        <v>BAMUS 2025 D80</v>
      </c>
      <c r="B134" s="7">
        <f t="shared" si="16"/>
        <v>46114</v>
      </c>
      <c r="C134" s="7">
        <f t="shared" si="17"/>
        <v>46120</v>
      </c>
      <c r="D134" s="6">
        <v>3280</v>
      </c>
      <c r="E134" s="6">
        <v>337</v>
      </c>
      <c r="F134" s="6">
        <v>4</v>
      </c>
      <c r="G134" s="15">
        <v>3</v>
      </c>
      <c r="H134" s="15">
        <v>81495</v>
      </c>
      <c r="I134" s="15" t="s">
        <v>1505</v>
      </c>
      <c r="J134" s="15">
        <v>51605619</v>
      </c>
      <c r="K134" s="15" t="s">
        <v>4074</v>
      </c>
      <c r="L134" s="15" t="s">
        <v>4112</v>
      </c>
      <c r="M134" s="15">
        <v>399900</v>
      </c>
      <c r="N134" s="9">
        <f t="shared" si="20"/>
        <v>0.8</v>
      </c>
      <c r="O134" s="8">
        <f t="shared" si="18"/>
        <v>79980</v>
      </c>
      <c r="P134" s="6" t="str">
        <f t="shared" si="21"/>
        <v>PERCENTAGE</v>
      </c>
    </row>
    <row r="135" spans="1:16" x14ac:dyDescent="0.25">
      <c r="A135" s="15" t="str">
        <f t="shared" si="19"/>
        <v>BAMUS 2025 D80</v>
      </c>
      <c r="B135" s="7">
        <f t="shared" si="16"/>
        <v>46114</v>
      </c>
      <c r="C135" s="7">
        <f t="shared" si="17"/>
        <v>46120</v>
      </c>
      <c r="D135" s="6">
        <v>3280</v>
      </c>
      <c r="E135" s="6">
        <v>337</v>
      </c>
      <c r="F135" s="6">
        <v>4</v>
      </c>
      <c r="G135" s="15">
        <v>3</v>
      </c>
      <c r="H135" s="15">
        <v>81495</v>
      </c>
      <c r="I135" s="15" t="s">
        <v>1505</v>
      </c>
      <c r="J135" s="15">
        <v>51605628</v>
      </c>
      <c r="K135" s="15" t="s">
        <v>4074</v>
      </c>
      <c r="L135" s="15" t="s">
        <v>4113</v>
      </c>
      <c r="M135" s="15">
        <v>399900</v>
      </c>
      <c r="N135" s="9">
        <f t="shared" si="20"/>
        <v>0.8</v>
      </c>
      <c r="O135" s="8">
        <f t="shared" si="18"/>
        <v>79980</v>
      </c>
      <c r="P135" s="6" t="str">
        <f t="shared" si="21"/>
        <v>PERCENTAGE</v>
      </c>
    </row>
    <row r="136" spans="1:16" x14ac:dyDescent="0.25">
      <c r="A136" s="15" t="str">
        <f t="shared" si="19"/>
        <v>BAMUS 2025 D80</v>
      </c>
      <c r="B136" s="7">
        <f t="shared" si="16"/>
        <v>46114</v>
      </c>
      <c r="C136" s="7">
        <f t="shared" si="17"/>
        <v>46120</v>
      </c>
      <c r="D136" s="6">
        <v>3280</v>
      </c>
      <c r="E136" s="6">
        <v>337</v>
      </c>
      <c r="F136" s="6">
        <v>4</v>
      </c>
      <c r="G136" s="15">
        <v>3</v>
      </c>
      <c r="H136" s="15">
        <v>81495</v>
      </c>
      <c r="I136" s="15" t="s">
        <v>1505</v>
      </c>
      <c r="J136" s="15">
        <v>51605637</v>
      </c>
      <c r="K136" s="15" t="s">
        <v>4074</v>
      </c>
      <c r="L136" s="15" t="s">
        <v>4114</v>
      </c>
      <c r="M136" s="15">
        <v>399900</v>
      </c>
      <c r="N136" s="9">
        <f t="shared" si="20"/>
        <v>0.8</v>
      </c>
      <c r="O136" s="8">
        <f t="shared" si="18"/>
        <v>79980</v>
      </c>
      <c r="P136" s="6" t="str">
        <f t="shared" si="21"/>
        <v>PERCENTAGE</v>
      </c>
    </row>
    <row r="137" spans="1:16" x14ac:dyDescent="0.25">
      <c r="A137" s="15" t="str">
        <f t="shared" si="19"/>
        <v>BAMUS 2025 D80</v>
      </c>
      <c r="B137" s="7">
        <f t="shared" si="16"/>
        <v>46114</v>
      </c>
      <c r="C137" s="7">
        <f t="shared" si="17"/>
        <v>46120</v>
      </c>
      <c r="D137" s="6">
        <v>3280</v>
      </c>
      <c r="E137" s="6">
        <v>337</v>
      </c>
      <c r="F137" s="6">
        <v>4</v>
      </c>
      <c r="G137" s="15">
        <v>3</v>
      </c>
      <c r="H137" s="15">
        <v>81495</v>
      </c>
      <c r="I137" s="15" t="s">
        <v>1505</v>
      </c>
      <c r="J137" s="15">
        <v>51605646</v>
      </c>
      <c r="K137" s="15" t="s">
        <v>4074</v>
      </c>
      <c r="L137" s="15" t="s">
        <v>4115</v>
      </c>
      <c r="M137" s="15">
        <v>399900</v>
      </c>
      <c r="N137" s="9">
        <f t="shared" si="20"/>
        <v>0.8</v>
      </c>
      <c r="O137" s="8">
        <f t="shared" si="18"/>
        <v>79980</v>
      </c>
      <c r="P137" s="6" t="str">
        <f t="shared" si="21"/>
        <v>PERCENTAGE</v>
      </c>
    </row>
    <row r="138" spans="1:16" x14ac:dyDescent="0.25">
      <c r="A138" s="15" t="str">
        <f t="shared" si="19"/>
        <v>BAMUS 2025 D80</v>
      </c>
      <c r="B138" s="7">
        <f t="shared" si="16"/>
        <v>46114</v>
      </c>
      <c r="C138" s="7">
        <f t="shared" si="17"/>
        <v>46120</v>
      </c>
      <c r="D138" s="6">
        <v>3280</v>
      </c>
      <c r="E138" s="6">
        <v>337</v>
      </c>
      <c r="F138" s="6">
        <v>4</v>
      </c>
      <c r="G138" s="15">
        <v>3</v>
      </c>
      <c r="H138" s="15">
        <v>81495</v>
      </c>
      <c r="I138" s="15" t="s">
        <v>1505</v>
      </c>
      <c r="J138" s="15">
        <v>51605655</v>
      </c>
      <c r="K138" s="15" t="s">
        <v>4074</v>
      </c>
      <c r="L138" s="15" t="s">
        <v>4116</v>
      </c>
      <c r="M138" s="15">
        <v>399900</v>
      </c>
      <c r="N138" s="9">
        <f t="shared" si="20"/>
        <v>0.8</v>
      </c>
      <c r="O138" s="8">
        <f t="shared" si="18"/>
        <v>79980</v>
      </c>
      <c r="P138" s="6" t="str">
        <f t="shared" si="21"/>
        <v>PERCENTAGE</v>
      </c>
    </row>
    <row r="139" spans="1:16" x14ac:dyDescent="0.25">
      <c r="A139" s="15" t="str">
        <f t="shared" si="19"/>
        <v>BAMUS 2025 D80</v>
      </c>
      <c r="B139" s="7">
        <f t="shared" si="16"/>
        <v>46114</v>
      </c>
      <c r="C139" s="7">
        <f t="shared" si="17"/>
        <v>46120</v>
      </c>
      <c r="D139" s="6">
        <v>3280</v>
      </c>
      <c r="E139" s="6">
        <v>337</v>
      </c>
      <c r="F139" s="6">
        <v>4</v>
      </c>
      <c r="G139" s="15">
        <v>3</v>
      </c>
      <c r="H139" s="15">
        <v>81495</v>
      </c>
      <c r="I139" s="15" t="s">
        <v>1505</v>
      </c>
      <c r="J139" s="15">
        <v>51605664</v>
      </c>
      <c r="K139" s="15" t="s">
        <v>4074</v>
      </c>
      <c r="L139" s="15" t="s">
        <v>4117</v>
      </c>
      <c r="M139" s="15">
        <v>399900</v>
      </c>
      <c r="N139" s="9">
        <f t="shared" si="20"/>
        <v>0.8</v>
      </c>
      <c r="O139" s="8">
        <f t="shared" si="18"/>
        <v>79980</v>
      </c>
      <c r="P139" s="6" t="str">
        <f t="shared" si="21"/>
        <v>PERCENTAGE</v>
      </c>
    </row>
    <row r="140" spans="1:16" x14ac:dyDescent="0.25">
      <c r="A140" s="15" t="str">
        <f t="shared" si="19"/>
        <v>BAMUS 2025 D80</v>
      </c>
      <c r="B140" s="7">
        <f t="shared" si="16"/>
        <v>46114</v>
      </c>
      <c r="C140" s="7">
        <f t="shared" si="17"/>
        <v>46120</v>
      </c>
      <c r="D140" s="6">
        <v>3280</v>
      </c>
      <c r="E140" s="6">
        <v>337</v>
      </c>
      <c r="F140" s="6">
        <v>4</v>
      </c>
      <c r="G140" s="15">
        <v>3</v>
      </c>
      <c r="H140" s="15">
        <v>81495</v>
      </c>
      <c r="I140" s="15" t="s">
        <v>1505</v>
      </c>
      <c r="J140" s="15">
        <v>51605673</v>
      </c>
      <c r="K140" s="15" t="s">
        <v>4215</v>
      </c>
      <c r="L140" s="15" t="s">
        <v>4216</v>
      </c>
      <c r="M140" s="15">
        <v>399900</v>
      </c>
      <c r="N140" s="9">
        <f t="shared" si="20"/>
        <v>0.8</v>
      </c>
      <c r="O140" s="8">
        <f t="shared" si="18"/>
        <v>79980</v>
      </c>
      <c r="P140" s="6" t="str">
        <f t="shared" si="21"/>
        <v>PERCENTAGE</v>
      </c>
    </row>
    <row r="141" spans="1:16" x14ac:dyDescent="0.25">
      <c r="A141" s="15" t="str">
        <f t="shared" si="19"/>
        <v>BAMUS 2025 D80</v>
      </c>
      <c r="B141" s="7">
        <f t="shared" si="16"/>
        <v>46114</v>
      </c>
      <c r="C141" s="7">
        <f t="shared" si="17"/>
        <v>46120</v>
      </c>
      <c r="D141" s="6">
        <v>3280</v>
      </c>
      <c r="E141" s="6">
        <v>337</v>
      </c>
      <c r="F141" s="6">
        <v>4</v>
      </c>
      <c r="G141" s="15">
        <v>3</v>
      </c>
      <c r="H141" s="15">
        <v>81495</v>
      </c>
      <c r="I141" s="15" t="s">
        <v>1505</v>
      </c>
      <c r="J141" s="15">
        <v>51605682</v>
      </c>
      <c r="K141" s="15" t="s">
        <v>4215</v>
      </c>
      <c r="L141" s="15" t="s">
        <v>4217</v>
      </c>
      <c r="M141" s="15">
        <v>399900</v>
      </c>
      <c r="N141" s="9">
        <f t="shared" si="20"/>
        <v>0.8</v>
      </c>
      <c r="O141" s="8">
        <f t="shared" si="18"/>
        <v>79980</v>
      </c>
      <c r="P141" s="6" t="str">
        <f t="shared" si="21"/>
        <v>PERCENTAGE</v>
      </c>
    </row>
    <row r="142" spans="1:16" x14ac:dyDescent="0.25">
      <c r="A142" s="15" t="str">
        <f t="shared" si="19"/>
        <v>BAMUS 2025 D80</v>
      </c>
      <c r="B142" s="7">
        <f t="shared" si="16"/>
        <v>46114</v>
      </c>
      <c r="C142" s="7">
        <f t="shared" si="17"/>
        <v>46120</v>
      </c>
      <c r="D142" s="6">
        <v>3280</v>
      </c>
      <c r="E142" s="6">
        <v>337</v>
      </c>
      <c r="F142" s="6">
        <v>4</v>
      </c>
      <c r="G142" s="15">
        <v>3</v>
      </c>
      <c r="H142" s="15">
        <v>81495</v>
      </c>
      <c r="I142" s="15" t="s">
        <v>1505</v>
      </c>
      <c r="J142" s="15">
        <v>51605691</v>
      </c>
      <c r="K142" s="15" t="s">
        <v>4215</v>
      </c>
      <c r="L142" s="15" t="s">
        <v>4218</v>
      </c>
      <c r="M142" s="15">
        <v>399900</v>
      </c>
      <c r="N142" s="9">
        <f t="shared" si="20"/>
        <v>0.8</v>
      </c>
      <c r="O142" s="8">
        <f t="shared" si="18"/>
        <v>79980</v>
      </c>
      <c r="P142" s="6" t="str">
        <f t="shared" si="21"/>
        <v>PERCENTAGE</v>
      </c>
    </row>
    <row r="143" spans="1:16" x14ac:dyDescent="0.25">
      <c r="A143" s="15" t="str">
        <f t="shared" si="19"/>
        <v>BAMUS 2025 D80</v>
      </c>
      <c r="B143" s="7">
        <f t="shared" si="16"/>
        <v>46114</v>
      </c>
      <c r="C143" s="7">
        <f t="shared" si="17"/>
        <v>46120</v>
      </c>
      <c r="D143" s="6">
        <v>3280</v>
      </c>
      <c r="E143" s="6">
        <v>337</v>
      </c>
      <c r="F143" s="6">
        <v>4</v>
      </c>
      <c r="G143" s="15">
        <v>3</v>
      </c>
      <c r="H143" s="15">
        <v>81495</v>
      </c>
      <c r="I143" s="15" t="s">
        <v>1505</v>
      </c>
      <c r="J143" s="15">
        <v>51605708</v>
      </c>
      <c r="K143" s="15" t="s">
        <v>4215</v>
      </c>
      <c r="L143" s="15" t="s">
        <v>4219</v>
      </c>
      <c r="M143" s="15">
        <v>399900</v>
      </c>
      <c r="N143" s="9">
        <f t="shared" si="20"/>
        <v>0.8</v>
      </c>
      <c r="O143" s="8">
        <f t="shared" si="18"/>
        <v>79980</v>
      </c>
      <c r="P143" s="6" t="str">
        <f t="shared" si="21"/>
        <v>PERCENTAGE</v>
      </c>
    </row>
    <row r="144" spans="1:16" x14ac:dyDescent="0.25">
      <c r="A144" s="15" t="str">
        <f t="shared" si="19"/>
        <v>BAMUS 2025 D80</v>
      </c>
      <c r="B144" s="7">
        <f t="shared" si="16"/>
        <v>46114</v>
      </c>
      <c r="C144" s="7">
        <f t="shared" si="17"/>
        <v>46120</v>
      </c>
      <c r="D144" s="6">
        <v>3280</v>
      </c>
      <c r="E144" s="6">
        <v>337</v>
      </c>
      <c r="F144" s="6">
        <v>4</v>
      </c>
      <c r="G144" s="15">
        <v>3</v>
      </c>
      <c r="H144" s="15">
        <v>81495</v>
      </c>
      <c r="I144" s="15" t="s">
        <v>1505</v>
      </c>
      <c r="J144" s="15">
        <v>51605717</v>
      </c>
      <c r="K144" s="15" t="s">
        <v>4215</v>
      </c>
      <c r="L144" s="15" t="s">
        <v>4220</v>
      </c>
      <c r="M144" s="15">
        <v>399900</v>
      </c>
      <c r="N144" s="9">
        <f t="shared" si="20"/>
        <v>0.8</v>
      </c>
      <c r="O144" s="8">
        <f t="shared" si="18"/>
        <v>79980</v>
      </c>
      <c r="P144" s="6" t="str">
        <f t="shared" si="21"/>
        <v>PERCENTAGE</v>
      </c>
    </row>
    <row r="145" spans="1:16" x14ac:dyDescent="0.25">
      <c r="A145" s="15" t="str">
        <f t="shared" si="19"/>
        <v>BAMUS 2025 D80</v>
      </c>
      <c r="B145" s="7">
        <f t="shared" si="16"/>
        <v>46114</v>
      </c>
      <c r="C145" s="7">
        <f t="shared" si="17"/>
        <v>46120</v>
      </c>
      <c r="D145" s="6">
        <v>3280</v>
      </c>
      <c r="E145" s="6">
        <v>337</v>
      </c>
      <c r="F145" s="6">
        <v>4</v>
      </c>
      <c r="G145" s="15">
        <v>3</v>
      </c>
      <c r="H145" s="15">
        <v>81495</v>
      </c>
      <c r="I145" s="15" t="s">
        <v>1505</v>
      </c>
      <c r="J145" s="15">
        <v>51605726</v>
      </c>
      <c r="K145" s="15" t="s">
        <v>4215</v>
      </c>
      <c r="L145" s="15" t="s">
        <v>4221</v>
      </c>
      <c r="M145" s="15">
        <v>399900</v>
      </c>
      <c r="N145" s="9">
        <f t="shared" si="20"/>
        <v>0.8</v>
      </c>
      <c r="O145" s="8">
        <f t="shared" si="18"/>
        <v>79980</v>
      </c>
      <c r="P145" s="6" t="str">
        <f t="shared" si="21"/>
        <v>PERCENTAGE</v>
      </c>
    </row>
    <row r="146" spans="1:16" x14ac:dyDescent="0.25">
      <c r="A146" s="15" t="str">
        <f t="shared" si="19"/>
        <v>BAMUS 2025 D80</v>
      </c>
      <c r="B146" s="7">
        <f t="shared" si="16"/>
        <v>46114</v>
      </c>
      <c r="C146" s="7">
        <f t="shared" si="17"/>
        <v>46120</v>
      </c>
      <c r="D146" s="6">
        <v>3280</v>
      </c>
      <c r="E146" s="6">
        <v>337</v>
      </c>
      <c r="F146" s="6">
        <v>4</v>
      </c>
      <c r="G146" s="15">
        <v>3</v>
      </c>
      <c r="H146" s="15">
        <v>81495</v>
      </c>
      <c r="I146" s="15" t="s">
        <v>1505</v>
      </c>
      <c r="J146" s="15">
        <v>51605735</v>
      </c>
      <c r="K146" s="15" t="s">
        <v>4075</v>
      </c>
      <c r="L146" s="15" t="s">
        <v>4118</v>
      </c>
      <c r="M146" s="15">
        <v>499900</v>
      </c>
      <c r="N146" s="9">
        <f t="shared" si="20"/>
        <v>0.8</v>
      </c>
      <c r="O146" s="8">
        <f t="shared" si="18"/>
        <v>99980</v>
      </c>
      <c r="P146" s="6" t="str">
        <f t="shared" si="21"/>
        <v>PERCENTAGE</v>
      </c>
    </row>
    <row r="147" spans="1:16" x14ac:dyDescent="0.25">
      <c r="A147" s="15" t="str">
        <f t="shared" si="19"/>
        <v>BAMUS 2025 D80</v>
      </c>
      <c r="B147" s="7">
        <f t="shared" si="16"/>
        <v>46114</v>
      </c>
      <c r="C147" s="7">
        <f t="shared" si="17"/>
        <v>46120</v>
      </c>
      <c r="D147" s="6">
        <v>3280</v>
      </c>
      <c r="E147" s="6">
        <v>337</v>
      </c>
      <c r="F147" s="6">
        <v>4</v>
      </c>
      <c r="G147" s="15">
        <v>3</v>
      </c>
      <c r="H147" s="15">
        <v>81495</v>
      </c>
      <c r="I147" s="15" t="s">
        <v>1505</v>
      </c>
      <c r="J147" s="15">
        <v>51605744</v>
      </c>
      <c r="K147" s="15" t="s">
        <v>4075</v>
      </c>
      <c r="L147" s="15" t="s">
        <v>4119</v>
      </c>
      <c r="M147" s="15">
        <v>499900</v>
      </c>
      <c r="N147" s="9">
        <f t="shared" si="20"/>
        <v>0.8</v>
      </c>
      <c r="O147" s="8">
        <f t="shared" si="18"/>
        <v>99980</v>
      </c>
      <c r="P147" s="6" t="str">
        <f t="shared" si="21"/>
        <v>PERCENTAGE</v>
      </c>
    </row>
    <row r="148" spans="1:16" x14ac:dyDescent="0.25">
      <c r="A148" s="15" t="str">
        <f t="shared" si="19"/>
        <v>BAMUS 2025 D80</v>
      </c>
      <c r="B148" s="7">
        <f t="shared" si="16"/>
        <v>46114</v>
      </c>
      <c r="C148" s="7">
        <f t="shared" si="17"/>
        <v>46120</v>
      </c>
      <c r="D148" s="6">
        <v>3280</v>
      </c>
      <c r="E148" s="6">
        <v>337</v>
      </c>
      <c r="F148" s="6">
        <v>4</v>
      </c>
      <c r="G148" s="15">
        <v>3</v>
      </c>
      <c r="H148" s="15">
        <v>81495</v>
      </c>
      <c r="I148" s="15" t="s">
        <v>1505</v>
      </c>
      <c r="J148" s="15">
        <v>51605753</v>
      </c>
      <c r="K148" s="15" t="s">
        <v>4075</v>
      </c>
      <c r="L148" s="15" t="s">
        <v>4120</v>
      </c>
      <c r="M148" s="15">
        <v>499900</v>
      </c>
      <c r="N148" s="9">
        <f t="shared" si="20"/>
        <v>0.8</v>
      </c>
      <c r="O148" s="8">
        <f t="shared" si="18"/>
        <v>99980</v>
      </c>
      <c r="P148" s="6" t="str">
        <f t="shared" si="21"/>
        <v>PERCENTAGE</v>
      </c>
    </row>
    <row r="149" spans="1:16" x14ac:dyDescent="0.25">
      <c r="A149" s="15" t="str">
        <f t="shared" si="19"/>
        <v>BAMUS 2025 D80</v>
      </c>
      <c r="B149" s="7">
        <f t="shared" si="16"/>
        <v>46114</v>
      </c>
      <c r="C149" s="7">
        <f t="shared" si="17"/>
        <v>46120</v>
      </c>
      <c r="D149" s="6">
        <v>3280</v>
      </c>
      <c r="E149" s="6">
        <v>337</v>
      </c>
      <c r="F149" s="6">
        <v>4</v>
      </c>
      <c r="G149" s="15">
        <v>3</v>
      </c>
      <c r="H149" s="15">
        <v>81495</v>
      </c>
      <c r="I149" s="15" t="s">
        <v>1505</v>
      </c>
      <c r="J149" s="15">
        <v>51605762</v>
      </c>
      <c r="K149" s="15" t="s">
        <v>4075</v>
      </c>
      <c r="L149" s="15" t="s">
        <v>4121</v>
      </c>
      <c r="M149" s="15">
        <v>499900</v>
      </c>
      <c r="N149" s="9">
        <f t="shared" si="20"/>
        <v>0.8</v>
      </c>
      <c r="O149" s="8">
        <f t="shared" si="18"/>
        <v>99980</v>
      </c>
      <c r="P149" s="6" t="str">
        <f t="shared" si="21"/>
        <v>PERCENTAGE</v>
      </c>
    </row>
    <row r="150" spans="1:16" x14ac:dyDescent="0.25">
      <c r="A150" s="15" t="str">
        <f t="shared" si="19"/>
        <v>BAMUS 2025 D80</v>
      </c>
      <c r="B150" s="7">
        <f t="shared" si="16"/>
        <v>46114</v>
      </c>
      <c r="C150" s="7">
        <f t="shared" si="17"/>
        <v>46120</v>
      </c>
      <c r="D150" s="6">
        <v>3280</v>
      </c>
      <c r="E150" s="6">
        <v>337</v>
      </c>
      <c r="F150" s="6">
        <v>4</v>
      </c>
      <c r="G150" s="15">
        <v>3</v>
      </c>
      <c r="H150" s="15">
        <v>81495</v>
      </c>
      <c r="I150" s="15" t="s">
        <v>1505</v>
      </c>
      <c r="J150" s="15">
        <v>51605771</v>
      </c>
      <c r="K150" s="15" t="s">
        <v>4075</v>
      </c>
      <c r="L150" s="15" t="s">
        <v>4122</v>
      </c>
      <c r="M150" s="15">
        <v>499900</v>
      </c>
      <c r="N150" s="9">
        <f t="shared" si="20"/>
        <v>0.8</v>
      </c>
      <c r="O150" s="8">
        <f t="shared" si="18"/>
        <v>99980</v>
      </c>
      <c r="P150" s="6" t="str">
        <f t="shared" si="21"/>
        <v>PERCENTAGE</v>
      </c>
    </row>
    <row r="151" spans="1:16" x14ac:dyDescent="0.25">
      <c r="A151" s="15" t="str">
        <f t="shared" si="19"/>
        <v>BAMUS 2025 D80</v>
      </c>
      <c r="B151" s="7">
        <f t="shared" si="16"/>
        <v>46114</v>
      </c>
      <c r="C151" s="7">
        <f t="shared" si="17"/>
        <v>46120</v>
      </c>
      <c r="D151" s="6">
        <v>3280</v>
      </c>
      <c r="E151" s="6">
        <v>337</v>
      </c>
      <c r="F151" s="6">
        <v>4</v>
      </c>
      <c r="G151" s="15">
        <v>3</v>
      </c>
      <c r="H151" s="15">
        <v>81495</v>
      </c>
      <c r="I151" s="15" t="s">
        <v>1505</v>
      </c>
      <c r="J151" s="15">
        <v>51605780</v>
      </c>
      <c r="K151" s="15" t="s">
        <v>4075</v>
      </c>
      <c r="L151" s="15" t="s">
        <v>4123</v>
      </c>
      <c r="M151" s="15">
        <v>499900</v>
      </c>
      <c r="N151" s="9">
        <f t="shared" si="20"/>
        <v>0.8</v>
      </c>
      <c r="O151" s="8">
        <f t="shared" si="18"/>
        <v>99980</v>
      </c>
      <c r="P151" s="6" t="str">
        <f t="shared" si="21"/>
        <v>PERCENTAGE</v>
      </c>
    </row>
    <row r="152" spans="1:16" x14ac:dyDescent="0.25">
      <c r="A152" s="15" t="str">
        <f t="shared" si="19"/>
        <v>BAMUS 2025 D80</v>
      </c>
      <c r="B152" s="7">
        <f t="shared" si="16"/>
        <v>46114</v>
      </c>
      <c r="C152" s="7">
        <f t="shared" si="17"/>
        <v>46120</v>
      </c>
      <c r="D152" s="6">
        <v>3280</v>
      </c>
      <c r="E152" s="6">
        <v>337</v>
      </c>
      <c r="F152" s="6">
        <v>4</v>
      </c>
      <c r="G152" s="15">
        <v>3</v>
      </c>
      <c r="H152" s="15">
        <v>81495</v>
      </c>
      <c r="I152" s="15" t="s">
        <v>1505</v>
      </c>
      <c r="J152" s="15">
        <v>51605799</v>
      </c>
      <c r="K152" s="15" t="s">
        <v>4222</v>
      </c>
      <c r="L152" s="15" t="s">
        <v>4223</v>
      </c>
      <c r="M152" s="15">
        <v>499900</v>
      </c>
      <c r="N152" s="9">
        <f t="shared" si="20"/>
        <v>0.8</v>
      </c>
      <c r="O152" s="8">
        <f t="shared" si="18"/>
        <v>99980</v>
      </c>
      <c r="P152" s="6" t="str">
        <f t="shared" si="21"/>
        <v>PERCENTAGE</v>
      </c>
    </row>
    <row r="153" spans="1:16" x14ac:dyDescent="0.25">
      <c r="A153" s="15" t="str">
        <f t="shared" si="19"/>
        <v>BAMUS 2025 D80</v>
      </c>
      <c r="B153" s="7">
        <f t="shared" si="16"/>
        <v>46114</v>
      </c>
      <c r="C153" s="7">
        <f t="shared" si="17"/>
        <v>46120</v>
      </c>
      <c r="D153" s="6">
        <v>3280</v>
      </c>
      <c r="E153" s="6">
        <v>337</v>
      </c>
      <c r="F153" s="6">
        <v>4</v>
      </c>
      <c r="G153" s="15">
        <v>3</v>
      </c>
      <c r="H153" s="15">
        <v>81495</v>
      </c>
      <c r="I153" s="15" t="s">
        <v>1505</v>
      </c>
      <c r="J153" s="15">
        <v>51605806</v>
      </c>
      <c r="K153" s="15" t="s">
        <v>4222</v>
      </c>
      <c r="L153" s="15" t="s">
        <v>4224</v>
      </c>
      <c r="M153" s="15">
        <v>499900</v>
      </c>
      <c r="N153" s="9">
        <f t="shared" si="20"/>
        <v>0.8</v>
      </c>
      <c r="O153" s="8">
        <f t="shared" si="18"/>
        <v>99980</v>
      </c>
      <c r="P153" s="6" t="str">
        <f t="shared" si="21"/>
        <v>PERCENTAGE</v>
      </c>
    </row>
    <row r="154" spans="1:16" x14ac:dyDescent="0.25">
      <c r="A154" s="15" t="str">
        <f t="shared" si="19"/>
        <v>BAMUS 2025 D80</v>
      </c>
      <c r="B154" s="7">
        <f t="shared" si="16"/>
        <v>46114</v>
      </c>
      <c r="C154" s="7">
        <f t="shared" si="17"/>
        <v>46120</v>
      </c>
      <c r="D154" s="6">
        <v>3280</v>
      </c>
      <c r="E154" s="6">
        <v>337</v>
      </c>
      <c r="F154" s="6">
        <v>4</v>
      </c>
      <c r="G154" s="15">
        <v>3</v>
      </c>
      <c r="H154" s="15">
        <v>81495</v>
      </c>
      <c r="I154" s="15" t="s">
        <v>1505</v>
      </c>
      <c r="J154" s="15">
        <v>51605815</v>
      </c>
      <c r="K154" s="15" t="s">
        <v>4222</v>
      </c>
      <c r="L154" s="15" t="s">
        <v>4225</v>
      </c>
      <c r="M154" s="15">
        <v>499900</v>
      </c>
      <c r="N154" s="9">
        <f t="shared" si="20"/>
        <v>0.8</v>
      </c>
      <c r="O154" s="8">
        <f t="shared" si="18"/>
        <v>99980</v>
      </c>
      <c r="P154" s="6" t="str">
        <f t="shared" si="21"/>
        <v>PERCENTAGE</v>
      </c>
    </row>
    <row r="155" spans="1:16" x14ac:dyDescent="0.25">
      <c r="A155" s="15" t="str">
        <f t="shared" si="19"/>
        <v>BAMUS 2025 D80</v>
      </c>
      <c r="B155" s="7">
        <f t="shared" si="16"/>
        <v>46114</v>
      </c>
      <c r="C155" s="7">
        <f t="shared" si="17"/>
        <v>46120</v>
      </c>
      <c r="D155" s="6">
        <v>3280</v>
      </c>
      <c r="E155" s="6">
        <v>337</v>
      </c>
      <c r="F155" s="6">
        <v>4</v>
      </c>
      <c r="G155" s="15">
        <v>3</v>
      </c>
      <c r="H155" s="15">
        <v>81495</v>
      </c>
      <c r="I155" s="15" t="s">
        <v>1505</v>
      </c>
      <c r="J155" s="15">
        <v>51605824</v>
      </c>
      <c r="K155" s="15" t="s">
        <v>4222</v>
      </c>
      <c r="L155" s="15" t="s">
        <v>4226</v>
      </c>
      <c r="M155" s="15">
        <v>499900</v>
      </c>
      <c r="N155" s="9">
        <f t="shared" si="20"/>
        <v>0.8</v>
      </c>
      <c r="O155" s="8">
        <f t="shared" si="18"/>
        <v>99980</v>
      </c>
      <c r="P155" s="6" t="str">
        <f t="shared" si="21"/>
        <v>PERCENTAGE</v>
      </c>
    </row>
    <row r="156" spans="1:16" x14ac:dyDescent="0.25">
      <c r="A156" s="15" t="str">
        <f t="shared" si="19"/>
        <v>BAMUS 2025 D80</v>
      </c>
      <c r="B156" s="7">
        <f t="shared" si="16"/>
        <v>46114</v>
      </c>
      <c r="C156" s="7">
        <f t="shared" si="17"/>
        <v>46120</v>
      </c>
      <c r="D156" s="6">
        <v>3280</v>
      </c>
      <c r="E156" s="6">
        <v>337</v>
      </c>
      <c r="F156" s="6">
        <v>4</v>
      </c>
      <c r="G156" s="15">
        <v>3</v>
      </c>
      <c r="H156" s="15">
        <v>81495</v>
      </c>
      <c r="I156" s="15" t="s">
        <v>1505</v>
      </c>
      <c r="J156" s="15">
        <v>51605833</v>
      </c>
      <c r="K156" s="15" t="s">
        <v>4222</v>
      </c>
      <c r="L156" s="15" t="s">
        <v>4227</v>
      </c>
      <c r="M156" s="15">
        <v>499900</v>
      </c>
      <c r="N156" s="9">
        <f t="shared" si="20"/>
        <v>0.8</v>
      </c>
      <c r="O156" s="8">
        <f t="shared" si="18"/>
        <v>99980</v>
      </c>
      <c r="P156" s="6" t="str">
        <f t="shared" si="21"/>
        <v>PERCENTAGE</v>
      </c>
    </row>
    <row r="157" spans="1:16" x14ac:dyDescent="0.25">
      <c r="A157" s="15" t="str">
        <f t="shared" si="19"/>
        <v>BAMUS 2025 D80</v>
      </c>
      <c r="B157" s="7">
        <f t="shared" si="16"/>
        <v>46114</v>
      </c>
      <c r="C157" s="7">
        <f t="shared" si="17"/>
        <v>46120</v>
      </c>
      <c r="D157" s="6">
        <v>3280</v>
      </c>
      <c r="E157" s="6">
        <v>337</v>
      </c>
      <c r="F157" s="6">
        <v>4</v>
      </c>
      <c r="G157" s="15">
        <v>3</v>
      </c>
      <c r="H157" s="15">
        <v>81495</v>
      </c>
      <c r="I157" s="15" t="s">
        <v>1505</v>
      </c>
      <c r="J157" s="15">
        <v>51605842</v>
      </c>
      <c r="K157" s="15" t="s">
        <v>4222</v>
      </c>
      <c r="L157" s="15" t="s">
        <v>4228</v>
      </c>
      <c r="M157" s="15">
        <v>499900</v>
      </c>
      <c r="N157" s="9">
        <f t="shared" si="20"/>
        <v>0.8</v>
      </c>
      <c r="O157" s="8">
        <f t="shared" si="18"/>
        <v>99980</v>
      </c>
      <c r="P157" s="6" t="str">
        <f t="shared" si="21"/>
        <v>PERCENTAGE</v>
      </c>
    </row>
    <row r="158" spans="1:16" x14ac:dyDescent="0.25">
      <c r="A158" s="15" t="str">
        <f t="shared" si="19"/>
        <v>BAMUS 2025 D80</v>
      </c>
      <c r="B158" s="7">
        <f t="shared" si="16"/>
        <v>46114</v>
      </c>
      <c r="C158" s="7">
        <f t="shared" si="17"/>
        <v>46120</v>
      </c>
      <c r="D158" s="6">
        <v>3280</v>
      </c>
      <c r="E158" s="6">
        <v>337</v>
      </c>
      <c r="F158" s="6">
        <v>4</v>
      </c>
      <c r="G158" s="15">
        <v>3</v>
      </c>
      <c r="H158" s="15">
        <v>81005</v>
      </c>
      <c r="I158" s="15" t="s">
        <v>1505</v>
      </c>
      <c r="J158" s="15">
        <v>52384697</v>
      </c>
      <c r="K158" s="15" t="s">
        <v>4250</v>
      </c>
      <c r="L158" s="15" t="s">
        <v>4251</v>
      </c>
      <c r="M158" s="15">
        <v>289900</v>
      </c>
      <c r="N158" s="9">
        <f t="shared" si="20"/>
        <v>0.8</v>
      </c>
      <c r="O158" s="8">
        <f t="shared" si="18"/>
        <v>57980</v>
      </c>
      <c r="P158" s="6" t="str">
        <f t="shared" si="21"/>
        <v>PERCENTAGE</v>
      </c>
    </row>
    <row r="159" spans="1:16" x14ac:dyDescent="0.25">
      <c r="A159" s="15" t="str">
        <f t="shared" si="19"/>
        <v>BAMUS 2025 D80</v>
      </c>
      <c r="B159" s="7">
        <f t="shared" si="16"/>
        <v>46114</v>
      </c>
      <c r="C159" s="7">
        <f t="shared" si="17"/>
        <v>46120</v>
      </c>
      <c r="D159" s="6">
        <v>3280</v>
      </c>
      <c r="E159" s="6">
        <v>337</v>
      </c>
      <c r="F159" s="6">
        <v>4</v>
      </c>
      <c r="G159" s="15">
        <v>3</v>
      </c>
      <c r="H159" s="15">
        <v>81005</v>
      </c>
      <c r="I159" s="15" t="s">
        <v>1505</v>
      </c>
      <c r="J159" s="15">
        <v>52384704</v>
      </c>
      <c r="K159" s="15" t="s">
        <v>4250</v>
      </c>
      <c r="L159" s="15" t="s">
        <v>4252</v>
      </c>
      <c r="M159" s="15">
        <v>289900</v>
      </c>
      <c r="N159" s="9">
        <f t="shared" si="20"/>
        <v>0.8</v>
      </c>
      <c r="O159" s="8">
        <f t="shared" si="18"/>
        <v>57980</v>
      </c>
      <c r="P159" s="6" t="str">
        <f t="shared" si="21"/>
        <v>PERCENTAGE</v>
      </c>
    </row>
    <row r="160" spans="1:16" x14ac:dyDescent="0.25">
      <c r="A160" s="15" t="str">
        <f t="shared" si="19"/>
        <v>BAMUS 2025 D80</v>
      </c>
      <c r="B160" s="7">
        <f t="shared" si="16"/>
        <v>46114</v>
      </c>
      <c r="C160" s="7">
        <f t="shared" si="17"/>
        <v>46120</v>
      </c>
      <c r="D160" s="6">
        <v>3280</v>
      </c>
      <c r="E160" s="6">
        <v>337</v>
      </c>
      <c r="F160" s="6">
        <v>4</v>
      </c>
      <c r="G160" s="15">
        <v>3</v>
      </c>
      <c r="H160" s="15">
        <v>81005</v>
      </c>
      <c r="I160" s="15" t="s">
        <v>1505</v>
      </c>
      <c r="J160" s="15">
        <v>52384713</v>
      </c>
      <c r="K160" s="15" t="s">
        <v>4250</v>
      </c>
      <c r="L160" s="15" t="s">
        <v>4253</v>
      </c>
      <c r="M160" s="15">
        <v>289900</v>
      </c>
      <c r="N160" s="9">
        <f t="shared" si="20"/>
        <v>0.8</v>
      </c>
      <c r="O160" s="8">
        <f t="shared" si="18"/>
        <v>57980</v>
      </c>
      <c r="P160" s="6" t="str">
        <f t="shared" si="21"/>
        <v>PERCENTAGE</v>
      </c>
    </row>
    <row r="161" spans="1:16" x14ac:dyDescent="0.25">
      <c r="A161" s="15" t="str">
        <f t="shared" si="19"/>
        <v>BAMUS 2025 D80</v>
      </c>
      <c r="B161" s="7">
        <f t="shared" si="16"/>
        <v>46114</v>
      </c>
      <c r="C161" s="7">
        <f t="shared" si="17"/>
        <v>46120</v>
      </c>
      <c r="D161" s="6">
        <v>3280</v>
      </c>
      <c r="E161" s="6">
        <v>337</v>
      </c>
      <c r="F161" s="6">
        <v>4</v>
      </c>
      <c r="G161" s="15">
        <v>3</v>
      </c>
      <c r="H161" s="15">
        <v>81005</v>
      </c>
      <c r="I161" s="15" t="s">
        <v>1505</v>
      </c>
      <c r="J161" s="15">
        <v>52384722</v>
      </c>
      <c r="K161" s="15" t="s">
        <v>4250</v>
      </c>
      <c r="L161" s="15" t="s">
        <v>4254</v>
      </c>
      <c r="M161" s="15">
        <v>299900</v>
      </c>
      <c r="N161" s="9">
        <f t="shared" si="20"/>
        <v>0.8</v>
      </c>
      <c r="O161" s="8">
        <f t="shared" si="18"/>
        <v>59980</v>
      </c>
      <c r="P161" s="6" t="str">
        <f t="shared" si="21"/>
        <v>PERCENTAGE</v>
      </c>
    </row>
    <row r="162" spans="1:16" x14ac:dyDescent="0.25">
      <c r="A162" s="15" t="str">
        <f t="shared" si="19"/>
        <v>BAMUS 2025 D80</v>
      </c>
      <c r="B162" s="7">
        <f t="shared" si="16"/>
        <v>46114</v>
      </c>
      <c r="C162" s="7">
        <f t="shared" si="17"/>
        <v>46120</v>
      </c>
      <c r="D162" s="6">
        <v>3280</v>
      </c>
      <c r="E162" s="6">
        <v>337</v>
      </c>
      <c r="F162" s="6">
        <v>4</v>
      </c>
      <c r="G162" s="15">
        <v>3</v>
      </c>
      <c r="H162" s="15">
        <v>81005</v>
      </c>
      <c r="I162" s="15" t="s">
        <v>1505</v>
      </c>
      <c r="J162" s="15">
        <v>52384731</v>
      </c>
      <c r="K162" s="15" t="s">
        <v>4250</v>
      </c>
      <c r="L162" s="15" t="s">
        <v>4255</v>
      </c>
      <c r="M162" s="15">
        <v>299900</v>
      </c>
      <c r="N162" s="9">
        <f t="shared" si="20"/>
        <v>0.8</v>
      </c>
      <c r="O162" s="8">
        <f t="shared" si="18"/>
        <v>59980</v>
      </c>
      <c r="P162" s="6" t="str">
        <f t="shared" si="21"/>
        <v>PERCENTAGE</v>
      </c>
    </row>
    <row r="163" spans="1:16" x14ac:dyDescent="0.25">
      <c r="A163" s="15" t="str">
        <f t="shared" si="19"/>
        <v>BAMUS 2025 D80</v>
      </c>
      <c r="B163" s="7">
        <f t="shared" si="16"/>
        <v>46114</v>
      </c>
      <c r="C163" s="7">
        <f t="shared" si="17"/>
        <v>46120</v>
      </c>
      <c r="D163" s="6">
        <v>3280</v>
      </c>
      <c r="E163" s="6">
        <v>337</v>
      </c>
      <c r="F163" s="6">
        <v>4</v>
      </c>
      <c r="G163" s="15">
        <v>3</v>
      </c>
      <c r="H163" s="15">
        <v>81005</v>
      </c>
      <c r="I163" s="15" t="s">
        <v>1505</v>
      </c>
      <c r="J163" s="15">
        <v>52384740</v>
      </c>
      <c r="K163" s="15" t="s">
        <v>4250</v>
      </c>
      <c r="L163" s="15" t="s">
        <v>4256</v>
      </c>
      <c r="M163" s="15">
        <v>299900</v>
      </c>
      <c r="N163" s="9">
        <f t="shared" si="20"/>
        <v>0.8</v>
      </c>
      <c r="O163" s="8">
        <f t="shared" si="18"/>
        <v>59980</v>
      </c>
      <c r="P163" s="6" t="str">
        <f t="shared" si="21"/>
        <v>PERCENTAGE</v>
      </c>
    </row>
  </sheetData>
  <conditionalFormatting sqref="J1">
    <cfRule type="duplicateValues" dxfId="2" priority="3"/>
    <cfRule type="duplicateValues" dxfId="1" priority="4"/>
  </conditionalFormatting>
  <conditionalFormatting sqref="J1:J1048576">
    <cfRule type="duplicateValues" dxfId="0" priority="1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2019 ALL D95</vt:lpstr>
      <vt:lpstr>2020-2021 ALL D90</vt:lpstr>
      <vt:lpstr>2022 ALL D90</vt:lpstr>
      <vt:lpstr>2023 ALL D90</vt:lpstr>
      <vt:lpstr>2024 JAN-JUN D75</vt:lpstr>
      <vt:lpstr>2024 JUL-OCT D75</vt:lpstr>
      <vt:lpstr>2024 NOV-DEC D75</vt:lpstr>
      <vt:lpstr>2025 H1 D80</vt:lpstr>
      <vt:lpstr>BAMUS 2025 D80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Maydelline Pui</cp:lastModifiedBy>
  <dcterms:created xsi:type="dcterms:W3CDTF">2023-12-06T09:25:54Z</dcterms:created>
  <dcterms:modified xsi:type="dcterms:W3CDTF">2026-03-31T06:55:29Z</dcterms:modified>
</cp:coreProperties>
</file>